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📋 Instrucciones" sheetId="1" r:id="rId5"/>
    <sheet state="visible" name="Configuración" sheetId="2" r:id="rId6"/>
    <sheet state="visible" name="Abril 2026 - Ventas" sheetId="3" r:id="rId7"/>
    <sheet state="visible" name="Abril 2026 - Resumen" sheetId="4" r:id="rId8"/>
    <sheet state="visible" name="Marzo 2026 - Ventas" sheetId="5" r:id="rId9"/>
    <sheet state="visible" name="Marzo 2026 - Resumen" sheetId="6" r:id="rId10"/>
    <sheet state="visible" name="Febrero 2026 - Ventas" sheetId="7" r:id="rId11"/>
    <sheet state="visible" name="Febrero 2026 - Resumen" sheetId="8" r:id="rId12"/>
    <sheet state="visible" name="📊 Ranking Productos" sheetId="9" r:id="rId13"/>
    <sheet state="visible" name="📦 Rotación &amp; Repos." sheetId="10" r:id="rId14"/>
    <sheet state="visible" name="Historial Anual" sheetId="11" r:id="rId15"/>
    <sheet state="visible" name="Catálogo Productos" sheetId="12" r:id="rId16"/>
    <sheet state="visible" name="PLANTILLA - Ventas" sheetId="13" r:id="rId17"/>
    <sheet state="visible" name="Copia de PLANTILLA - Resumen" sheetId="14" r:id="rId18"/>
  </sheets>
  <definedNames>
    <definedName name="ListaCategorias">'Catálogo Productos'!$C$3:$C$52</definedName>
    <definedName name="ListaProductos">'Catálogo Productos'!$B$3:$B$200</definedName>
  </definedNames>
  <calcPr/>
</workbook>
</file>

<file path=xl/sharedStrings.xml><?xml version="1.0" encoding="utf-8"?>
<sst xmlns="http://schemas.openxmlformats.org/spreadsheetml/2006/main" count="1361" uniqueCount="256">
  <si>
    <t>ÁVILA MUSIC - CÓMO AGREGAR UN NUEVO MES</t>
  </si>
  <si>
    <t>PASOS PARA CREAR EL REGISTRO DE UN NUEVO MES:</t>
  </si>
  <si>
    <t>PASO 1: Haz clic derecho en la pestaña 'Febrero 2026 - Ventas'</t>
  </si>
  <si>
    <t xml:space="preserve">         → Selecciona 'Mover o copiar'</t>
  </si>
  <si>
    <t xml:space="preserve">         → Marca la casilla 'Crear una copia'</t>
  </si>
  <si>
    <t xml:space="preserve">         → Renombra la nueva hoja como: 'Abril 2026 - Ventas'</t>
  </si>
  <si>
    <t>PASO 2: Haz lo mismo con 'PLANTILLA - Resumen'</t>
  </si>
  <si>
    <t xml:space="preserve">         → Renombra la nueva hoja como: 'Abril 2026 - Resumen'</t>
  </si>
  <si>
    <t>PASO 3: En la nueva hoja 'Abril 2026 - Resumen',</t>
  </si>
  <si>
    <t xml:space="preserve">         cambia todas las referencias de 'Febrero 2026 - Ventas'</t>
  </si>
  <si>
    <t xml:space="preserve">         por 'Abril 2026 - Ventas'</t>
  </si>
  <si>
    <t>PASO 4: Ve a 'Configuración' y actualiza el Mes y Año activo</t>
  </si>
  <si>
    <t xml:space="preserve">         (esto actualiza los títulos automáticamente)</t>
  </si>
  <si>
    <t>PASO 5: Al cerrar el mes, copia los totales de 'Abril 2026 - Resumen'</t>
  </si>
  <si>
    <t xml:space="preserve">         manualmente al 'Historial Anual'</t>
  </si>
  <si>
    <t>CATÁLOGO DE PRODUCTOS:</t>
  </si>
  <si>
    <t xml:space="preserve">  → Agrega tus productos en la hoja 'Catálogo Productos'</t>
  </si>
  <si>
    <t xml:space="preserve">  → Los productos aparecerán automáticamente como</t>
  </si>
  <si>
    <t xml:space="preserve">    lista desplegable en la columna 'Producto' del registro</t>
  </si>
  <si>
    <t xml:space="preserve">  → Al seleccionar un producto, la Categoría y Costo</t>
  </si>
  <si>
    <t xml:space="preserve">    se rellenan solos ✓</t>
  </si>
  <si>
    <t>COSTO DE ENVÍO:</t>
  </si>
  <si>
    <t xml:space="preserve">  → El costo de envío de todas las ventas se toma</t>
  </si>
  <si>
    <t xml:space="preserve">    automáticamente de Configuración → C6 (actualmente $1.30)</t>
  </si>
  <si>
    <t xml:space="preserve">  → Si cambia, solo modifica ese valor y se actualiza todo ✓</t>
  </si>
  <si>
    <t>PRECIOS CONGELADOS AL MOMENTO DE LA VENTA:</t>
  </si>
  <si>
    <t xml:space="preserve">  -&gt; Al seleccionar un producto, Costo y Precio se llenan automaticamente</t>
  </si>
  <si>
    <t xml:space="preserve">     desde el Catalogo mediante VLOOKUP.</t>
  </si>
  <si>
    <t xml:space="preserve">  -&gt; Los meses CERRADOS tienen Costo y Precio guardados como valores</t>
  </si>
  <si>
    <t xml:space="preserve">     fijos, por lo que cambios en el Catalogo NO afectan meses anteriores.</t>
  </si>
  <si>
    <t>COMO CONGELAR PRECIOS AL CERRAR UN MES:</t>
  </si>
  <si>
    <t xml:space="preserve">  1. Selecciona el rango E5:F54 en la hoja de Ventas del mes</t>
  </si>
  <si>
    <t xml:space="preserve">  2. Copia (Ctrl+C)</t>
  </si>
  <si>
    <t xml:space="preserve">  3. Sin mover la seleccion: Inicio -&gt; Pegar -&gt; Pegado especial</t>
  </si>
  <si>
    <t xml:space="preserve">  4. Elige "Valores" y acepta</t>
  </si>
  <si>
    <t xml:space="preserve">  -&gt; Los precios quedan fijos y no cambian si editas el Catalogo.</t>
  </si>
  <si>
    <t>NOTA: Febrero y Marzo 2026 ya tienen sus precios congelados.</t>
  </si>
  <si>
    <t>ÁVILA MUSIC - CONFIGURACIÓN FINANCIERA</t>
  </si>
  <si>
    <t>COMISIONES Y COSTOS MERCADOLIBRE</t>
  </si>
  <si>
    <t>Días del Mes</t>
  </si>
  <si>
    <t>Días del mes activo — ajusta si el mes tiene 28, 29 o 30 días</t>
  </si>
  <si>
    <t>Comisión MercadoLibre (%)</t>
  </si>
  <si>
    <t>Porcentaje que cobra ML por cada venta</t>
  </si>
  <si>
    <t>Costo de Envío por Venta (USD)</t>
  </si>
  <si>
    <t>Configurable — baja si superas 50 ventas/mes</t>
  </si>
  <si>
    <t>Tasa de referencia (USD)</t>
  </si>
  <si>
    <t>Referencia interna — no se usa en cálculos USD</t>
  </si>
  <si>
    <t>Factor de ajuste (%)</t>
  </si>
  <si>
    <t>No aplica en modelo 100% USD</t>
  </si>
  <si>
    <t>Lead Time Proveedor (meses)</t>
  </si>
  <si>
    <t>Meses desde pedido hasta recibir (producción + envío)</t>
  </si>
  <si>
    <t>Colchón de Seguridad (meses)</t>
  </si>
  <si>
    <t>Meses de colchón de seguridad (recomendado: 1 mes mínimo con 4 meses lead time)</t>
  </si>
  <si>
    <t>Días Transcurridos del Mes</t>
  </si>
  <si>
    <t>Días ya transcurridos del mes activo (actualiza regularmente)</t>
  </si>
  <si>
    <t>DISTRIBUCIÓN DE GANANCIA NETA</t>
  </si>
  <si>
    <t>% Reinversión</t>
  </si>
  <si>
    <t>Para comprar más inventario y hacer crecer el negocio</t>
  </si>
  <si>
    <t>% Sueldo / Ganancia Personal</t>
  </si>
  <si>
    <t>Tu compensación — úsalo para ti o para decisiones</t>
  </si>
  <si>
    <t>Total (%)</t>
  </si>
  <si>
    <t>MES ACTIVO DE REGISTRO</t>
  </si>
  <si>
    <t>Mes</t>
  </si>
  <si>
    <t>Abril</t>
  </si>
  <si>
    <t>Nombre del mes que estás registrando</t>
  </si>
  <si>
    <t>Año</t>
  </si>
  <si>
    <t>Año actual</t>
  </si>
  <si>
    <t>LEYENDA</t>
  </si>
  <si>
    <t>Celdas amarillas + texto azul</t>
  </si>
  <si>
    <t>Datos que TU modificas (inputs)</t>
  </si>
  <si>
    <t>Celdas grises + texto negro</t>
  </si>
  <si>
    <t>Formulas automaticas (NO tocar)</t>
  </si>
  <si>
    <t>ÁVILA MUSIC - REGISTRO DE VENTAS DETALLADO</t>
  </si>
  <si>
    <t>Al cerrar el mes: selecciona E5:F54 -&gt; Copiar -&gt; Pegado Especial -&gt; Valores (congela precios historicos)</t>
  </si>
  <si>
    <t>#</t>
  </si>
  <si>
    <t>Fecha</t>
  </si>
  <si>
    <t>Producto</t>
  </si>
  <si>
    <t>Categoría</t>
  </si>
  <si>
    <t>Costo
USD</t>
  </si>
  <si>
    <t>Precio Venta
USD</t>
  </si>
  <si>
    <t>Comisión
ML</t>
  </si>
  <si>
    <t>Envío
Gratis</t>
  </si>
  <si>
    <t>Costo
Envío USD</t>
  </si>
  <si>
    <t>Ingreso
Neto USD</t>
  </si>
  <si>
    <t>Ganancia
Bruta USD</t>
  </si>
  <si>
    <t>Margen
%</t>
  </si>
  <si>
    <t>Descuento
USD</t>
  </si>
  <si>
    <t>Cuerdas de Violin 4/4</t>
  </si>
  <si>
    <t>SÍ</t>
  </si>
  <si>
    <t>Cuerdas Alice Clasica A106</t>
  </si>
  <si>
    <t>Cuerdas Alice Electrica SL</t>
  </si>
  <si>
    <t>No</t>
  </si>
  <si>
    <t>Cable Hebikuo XA03</t>
  </si>
  <si>
    <t>Base pared Guitarra/Bajo</t>
  </si>
  <si>
    <t>Capotraste</t>
  </si>
  <si>
    <t>Cuerdas Alice Electrica L</t>
  </si>
  <si>
    <t>Cuerdas Bajo 4C Alice</t>
  </si>
  <si>
    <t>Pickguard Negro Guitarra Acustica</t>
  </si>
  <si>
    <t>NO</t>
  </si>
  <si>
    <t>Hombrera Violin 3/4 4/4</t>
  </si>
  <si>
    <t>Baqueta Bateria 5B</t>
  </si>
  <si>
    <t>Pines de Correa</t>
  </si>
  <si>
    <t>Cuerdas Alice Folk 11-52</t>
  </si>
  <si>
    <t>Correa Guitarra/Bajo</t>
  </si>
  <si>
    <t>Clavijas Guitarra Clasica Plateadas</t>
  </si>
  <si>
    <t>Cejilla/Cejuela</t>
  </si>
  <si>
    <t>Clavijas Guitarra Clasica Doradas</t>
  </si>
  <si>
    <t>Baqueta Bateria 5A</t>
  </si>
  <si>
    <t>Baqueta Bateria 7A</t>
  </si>
  <si>
    <t>Cuerdas de Viola A90</t>
  </si>
  <si>
    <t>Puente Violin 3/4</t>
  </si>
  <si>
    <t>Puente Violin 4/4</t>
  </si>
  <si>
    <t>TOTALES DEL MES</t>
  </si>
  <si>
    <t>Total ventas registradas:</t>
  </si>
  <si>
    <t>RESUMEN DE INGRESOS</t>
  </si>
  <si>
    <t>Ventas Totales (USD)</t>
  </si>
  <si>
    <t>(-) Comisiones MercadoLibre</t>
  </si>
  <si>
    <t>(-) Costos de Envío</t>
  </si>
  <si>
    <t>Ingreso Neto (lo que recibes)</t>
  </si>
  <si>
    <t>(-) Costo Total de Mercancía</t>
  </si>
  <si>
    <t>GANANCIA BRUTA</t>
  </si>
  <si>
    <t>ANÁLISIS DE GANANCIA</t>
  </si>
  <si>
    <t>Ingreso Neto (USD)</t>
  </si>
  <si>
    <t>Lo que recibes después de comisiones y envíos</t>
  </si>
  <si>
    <t>Ganancia Bruta (USD)</t>
  </si>
  <si>
    <t>Ventas netas menos costo de mercancía</t>
  </si>
  <si>
    <t>(-) Costo de Mercancía (USD)</t>
  </si>
  <si>
    <t>GANANCIA NETA (USD)</t>
  </si>
  <si>
    <t>DISTRIBUCIÓN DE GANANCIA REAL</t>
  </si>
  <si>
    <t>Ganancia Neta del Mes</t>
  </si>
  <si>
    <t>→ Para Reinversión</t>
  </si>
  <si>
    <t>Para comprar más inventario</t>
  </si>
  <si>
    <t>→ Tu Sueldo / Ganancia Personal</t>
  </si>
  <si>
    <t>Disponible para ti o para decisiones</t>
  </si>
  <si>
    <t>INDICADORES CLAVE (KPIs)</t>
  </si>
  <si>
    <t>Total de ventas del mes</t>
  </si>
  <si>
    <t>Cantidad de transacciones</t>
  </si>
  <si>
    <t>Ticket promedio (USD)</t>
  </si>
  <si>
    <t>Venta promedio por transacción</t>
  </si>
  <si>
    <t>Ganancia neta promedio por venta</t>
  </si>
  <si>
    <t>Cuánto ganas en promedio por venta</t>
  </si>
  <si>
    <t>Margen neto real (%)</t>
  </si>
  <si>
    <t>% ganancia real sobre ingreso neto</t>
  </si>
  <si>
    <t>Total pagado a ML (comisiones + envíos)</t>
  </si>
  <si>
    <t>Lo que le pagas a MercadoLibre</t>
  </si>
  <si>
    <t>ROI del mes (%)</t>
  </si>
  <si>
    <t>Retorno sobre inversión en inventario</t>
  </si>
  <si>
    <t>SEMÁFORO DE SALUD DEL NEGOCIO</t>
  </si>
  <si>
    <t>¿Recuperaste la inversión?</t>
  </si>
  <si>
    <t>Ganancia real positiva</t>
  </si>
  <si>
    <t>¿El negocio se autosostiene?</t>
  </si>
  <si>
    <t>Hay fondos para reinversión</t>
  </si>
  <si>
    <t>¿Genera sueldo para ti?</t>
  </si>
  <si>
    <t>Hay ganancia personal disponible</t>
  </si>
  <si>
    <t>¿Superaste 50 ventas?</t>
  </si>
  <si>
    <t>Meta para reducir costo de envío</t>
  </si>
  <si>
    <t>24/03/0206</t>
  </si>
  <si>
    <t>02/03/0206</t>
  </si>
  <si>
    <t>Cable Pedales</t>
  </si>
  <si>
    <t>ÁVILA MUSIC - RESUMEN FINANCIERO MENSUAL</t>
  </si>
  <si>
    <t>Clavijas de Bajo Mariposa Detallado</t>
  </si>
  <si>
    <t>ÁVILA MUSIC — RANKING DE PRODUCTOS</t>
  </si>
  <si>
    <t>ℹ️  Los datos se toman de "Marzo 2026 - Ventas". Al crear un mes nuevo, actualiza las referencias COUNTIF/SUMIF al nuevo nombre de hoja.</t>
  </si>
  <si>
    <t>🏆  RANKING POR PRODUCTO — Ventas del Mes</t>
  </si>
  <si>
    <t>Uds
Vendidas</t>
  </si>
  <si>
    <t>Ganancia
USD</t>
  </si>
  <si>
    <t>Stock
Total</t>
  </si>
  <si>
    <t>🚦 Estado</t>
  </si>
  <si>
    <t>TOTALES</t>
  </si>
  <si>
    <t>💡 Para ordenar: selecciona cualquier celda de la tabla → Datos → Ordenar por la columna que prefieras (Uds, Ganancia, Margen).</t>
  </si>
  <si>
    <t>📦  ROTACIÓN DE INVENTARIO &amp; PROYECCIÓN DE REPOSICIÓN</t>
  </si>
  <si>
    <t>Mes activo:  Abril   —   Días del mes: 31   —   Días transcurridos: ver Configuración C11</t>
  </si>
  <si>
    <t>ℹ️  Promedio Proyectado = ventas del mes en curso × (días del mes ÷ días transcurridos). Actualiza C11 en Configuración cada semana. Al cambiar de mes, actualiza también la hoja referenciada en la fórmula de columna E (actualmente: Abril 2026 - Ventas).</t>
  </si>
  <si>
    <t>📊  ANÁLISIS POR PRODUCTO</t>
  </si>
  <si>
    <t>Uds
Vendidas
(mes activo)</t>
  </si>
  <si>
    <t>Días
del Mes</t>
  </si>
  <si>
    <t>Días por
Unidad
(rotación)</t>
  </si>
  <si>
    <t>Días hasta
Agotamiento</t>
  </si>
  <si>
    <t>Fecha Est.
Agotamiento</t>
  </si>
  <si>
    <t>Estado
Rotación</t>
  </si>
  <si>
    <t>Stock
Mínimo</t>
  </si>
  <si>
    <t>🚦 Urgencia
Reposición</t>
  </si>
  <si>
    <t>Prom.
Mensual
Proyectado</t>
  </si>
  <si>
    <t>Cantidad
Sugerida
a Pedir</t>
  </si>
  <si>
    <t>Fecha Límite
Hacer Pedido</t>
  </si>
  <si>
    <t>🚦 Plan de Reposición</t>
  </si>
  <si>
    <t>Meses
Cubiertos</t>
  </si>
  <si>
    <t>📋  RESUMEN EJECUTIVO</t>
  </si>
  <si>
    <t>Indicador</t>
  </si>
  <si>
    <t>Valor</t>
  </si>
  <si>
    <t>Productos con rotación rápida (≤15 días/ud)</t>
  </si>
  <si>
    <t>Productos con rotación lenta (&gt;30 días/ud)</t>
  </si>
  <si>
    <t>Productos sin ventas este mes</t>
  </si>
  <si>
    <t>Productos que requieren reposición urgente (🔴)</t>
  </si>
  <si>
    <t>Productos a reponer pronto (🟡)</t>
  </si>
  <si>
    <t>Capital "dormido" en rotación lenta (USD al costo)</t>
  </si>
  <si>
    <t>💡 Consejo: Ordena la tabla por "Días hasta Agotamiento" (col H) de menor a mayor para ver qué productos necesitan reposición primero. Datos → Ordenar → Columna H.</t>
  </si>
  <si>
    <t>ÁVILA MUSIC - HISTORIAL ANUAL 2026</t>
  </si>
  <si>
    <t># Ventas</t>
  </si>
  <si>
    <t>Ventas
Total USD</t>
  </si>
  <si>
    <t>Comisiones
+ Envío</t>
  </si>
  <si>
    <t>Costo
Mercancía</t>
  </si>
  <si>
    <t>Ganancia
Real USD</t>
  </si>
  <si>
    <t>Reinversión
USD</t>
  </si>
  <si>
    <t>Sueldo
USD</t>
  </si>
  <si>
    <t>ROI %</t>
  </si>
  <si>
    <t>Enero</t>
  </si>
  <si>
    <t>Marzo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</si>
  <si>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</si>
  <si>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</si>
  <si>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</si>
  <si>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</si>
  <si>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</si>
  <si>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</si>
  <si>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</si>
  <si>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</si>
  <si>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 ANUAL</t>
  </si>
  <si>
    <t>NOTA: Marzo está vinculado automáticamente. Para los demás meses, copia los totales del Resumen Mensual manualmente al cerrar cada mes.</t>
  </si>
  <si>
    <t>ÁVILA MUSIC - CATÁLOGO DE PRODUCTOS Y COSTOS</t>
  </si>
  <si>
    <t>Costo USD</t>
  </si>
  <si>
    <t>Notas</t>
  </si>
  <si>
    <t>Guitarra Clasica</t>
  </si>
  <si>
    <t>Guitarra Electrica</t>
  </si>
  <si>
    <t>Guitarra Acustica</t>
  </si>
  <si>
    <t>Violin</t>
  </si>
  <si>
    <t>Correas</t>
  </si>
  <si>
    <t>Bases, Stand, Atriles</t>
  </si>
  <si>
    <t>Capostraste</t>
  </si>
  <si>
    <t>Cables</t>
  </si>
  <si>
    <t xml:space="preserve"> Bajo Electrico</t>
  </si>
  <si>
    <t>Viola</t>
  </si>
  <si>
    <t>Bateria</t>
  </si>
  <si>
    <t>Daddario 10-46 Electrica</t>
  </si>
  <si>
    <t>Daddario 09-44 Electrica</t>
  </si>
  <si>
    <t>Bajo</t>
  </si>
  <si>
    <t>Revisar</t>
  </si>
  <si>
    <t>Ernie Ball Power Slinky</t>
  </si>
  <si>
    <t>Ernie Ball Super Slinky</t>
  </si>
  <si>
    <t>Ernie Ball Regular Slinky</t>
  </si>
  <si>
    <t>📦  INVENTARIO POR SEDE</t>
  </si>
  <si>
    <t>💡 Al agregar un nuevo producto en el catálogo arriba, aparecerá automáticamente aquí. Ingresa el inventario en las columnas amarillas.</t>
  </si>
  <si>
    <t>Inv.
Av. Baralt</t>
  </si>
  <si>
    <t>Inv.
Candelaria</t>
  </si>
  <si>
    <t>Total
Unidades</t>
  </si>
  <si>
    <t>Valor
Costo USD</t>
  </si>
  <si>
    <t>Valor
Venta USD</t>
  </si>
  <si>
    <t>🚦 Estado
(Total)</t>
  </si>
  <si>
    <t>RESUMEN DE INVENTARIO</t>
  </si>
  <si>
    <t>Concepto</t>
  </si>
  <si>
    <t>Av. Baralt</t>
  </si>
  <si>
    <t>Candelaria</t>
  </si>
  <si>
    <t>TOTAL</t>
  </si>
  <si>
    <t>Unidades en inventario</t>
  </si>
  <si>
    <t>Valor invertido (al COSTO, USD)</t>
  </si>
  <si>
    <t>Valor potencial (PRECIO VENTA, USD)</t>
  </si>
  <si>
    <t>Ganancia potencial (si vendes todo)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</si>
</sst>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.0%"/>
    <numFmt numFmtId="165" formatCode="\$#,##0.00"/>
    <numFmt numFmtId="166" formatCode="dd/mm/yyyy"/>
    <numFmt numFmtId="167" formatCode="#,##0.00&quot; Bs&quot;"/>
    <numFmt numFmtId="168" formatCode="\$#,##0.00;&quot;($&quot;#,##0.00\);\-"/>
    <numFmt numFmtId="169" formatCode="0.0"/>
    <numFmt numFmtId="170" formatCode="dd/mm/yy"/>
  </numFmts>
  <fonts count="46">
    <font>
      <sz val="11.0"/>
      <color theme="1"/>
      <name val="Calibri"/>
      <scheme val="minor"/>
    </font>
    <font>
      <b/>
      <sz val="14.0"/>
      <color rgb="FF1F3864"/>
      <name val="Cambria"/>
    </font>
    <font>
      <sz val="11.0"/>
      <color theme="1"/>
      <name val="Calibri"/>
    </font>
    <font>
      <sz val="11.0"/>
      <color theme="1"/>
      <name val="Cambria"/>
    </font>
    <font>
      <b/>
      <sz val="11.0"/>
      <color rgb="FF2F5496"/>
      <name val="Cambria"/>
    </font>
    <font>
      <b/>
      <sz val="10.0"/>
      <color theme="1"/>
      <name val="Arial"/>
    </font>
    <font>
      <sz val="10.0"/>
      <color theme="1"/>
      <name val="Arial"/>
    </font>
    <font>
      <b/>
      <sz val="16.0"/>
      <color rgb="FFFFFFFF"/>
      <name val="Arial"/>
    </font>
    <font/>
    <font>
      <b/>
      <sz val="12.0"/>
      <color rgb="FFFFFFFF"/>
      <name val="Arial"/>
    </font>
    <font>
      <b/>
      <sz val="10.0"/>
      <color rgb="FF333333"/>
      <name val="Arial"/>
    </font>
    <font>
      <sz val="10.0"/>
      <color rgb="FF0000FF"/>
      <name val="Arial"/>
    </font>
    <font>
      <sz val="10.0"/>
      <color rgb="FF333333"/>
      <name val="Arial"/>
    </font>
    <font>
      <b/>
      <sz val="11.0"/>
      <color rgb="FF0000FF"/>
      <name val="Cambria"/>
    </font>
    <font>
      <sz val="11.0"/>
      <color rgb="FF0000FF"/>
      <name val="Cambria"/>
    </font>
    <font>
      <sz val="10.0"/>
      <color rgb="FF000000"/>
      <name val="Arial"/>
    </font>
    <font>
      <i/>
      <sz val="11.0"/>
      <color rgb="FFFFFFFF"/>
      <name val="Arial"/>
    </font>
    <font>
      <i/>
      <sz val="9.0"/>
      <color rgb="FFFF6600"/>
      <name val="Arial"/>
    </font>
    <font>
      <b/>
      <sz val="10.0"/>
      <color rgb="FFFFFFFF"/>
      <name val="Arial"/>
    </font>
    <font>
      <sz val="11.0"/>
      <color rgb="FF0000FF"/>
      <name val="Arial"/>
    </font>
    <font>
      <sz val="11.0"/>
      <color theme="1"/>
      <name val="Arial"/>
    </font>
    <font>
      <sz val="9.0"/>
      <color rgb="FF0000FF"/>
      <name val="Arial"/>
    </font>
    <font>
      <sz val="9.0"/>
      <color rgb="FF000000"/>
      <name val="Arial"/>
    </font>
    <font>
      <color rgb="FF0000FF"/>
      <name val="Arial"/>
    </font>
    <font>
      <color theme="1"/>
      <name val="Arial"/>
    </font>
    <font>
      <sz val="9.0"/>
      <color theme="1"/>
      <name val="Arial"/>
    </font>
    <font>
      <b/>
      <sz val="9.0"/>
      <color rgb="FF000000"/>
      <name val="Arial"/>
    </font>
    <font>
      <i/>
      <sz val="11.0"/>
      <color rgb="FFFFFF00"/>
      <name val="Arial"/>
    </font>
    <font>
      <b/>
      <sz val="11.0"/>
      <color rgb="FFFFFFFF"/>
      <name val="Arial"/>
    </font>
    <font>
      <i/>
      <sz val="9.0"/>
      <color rgb="FF666666"/>
      <name val="Arial"/>
    </font>
    <font>
      <b/>
      <sz val="10.0"/>
      <color rgb="FFE74C3C"/>
      <name val="Arial"/>
    </font>
    <font>
      <i/>
      <sz val="9.0"/>
      <color rgb="FFE74C3C"/>
      <name val="Arial"/>
    </font>
    <font>
      <b/>
      <sz val="10.0"/>
      <color rgb="FF27AE60"/>
      <name val="Arial"/>
    </font>
    <font>
      <b/>
      <sz val="14.0"/>
      <color rgb="FFFFFFFF"/>
      <name val="Arial"/>
    </font>
    <font>
      <sz val="10.0"/>
      <color rgb="FFFFFFFF"/>
      <name val="Arial"/>
    </font>
    <font>
      <i/>
      <sz val="8.0"/>
      <color rgb="FF666666"/>
      <name val="Arial"/>
    </font>
    <font>
      <b/>
      <sz val="9.0"/>
      <color rgb="FF1B2A4A"/>
      <name val="Arial"/>
    </font>
    <font>
      <sz val="9.0"/>
      <color rgb="FF006400"/>
      <name val="Arial"/>
    </font>
    <font>
      <b/>
      <sz val="9.0"/>
      <color rgb="FFFFFFFF"/>
      <name val="Arial"/>
    </font>
    <font>
      <i/>
      <sz val="8.0"/>
      <color rgb="FF4472C4"/>
      <name val="Arial"/>
    </font>
    <font>
      <b/>
      <sz val="13.0"/>
      <color rgb="FFFFFFFF"/>
      <name val="Arial"/>
    </font>
    <font>
      <b/>
      <sz val="9.0"/>
      <color rgb="FFFFFFFF"/>
      <name val="Cambria"/>
    </font>
    <font>
      <b/>
      <sz val="9.0"/>
      <color theme="1"/>
      <name val="Arial"/>
    </font>
    <font>
      <sz val="9.0"/>
      <color rgb="FF1B2A4A"/>
      <name val="Arial"/>
    </font>
    <font>
      <b/>
      <sz val="10.0"/>
      <color rgb="FF000000"/>
      <name val="Arial"/>
    </font>
    <font>
      <i/>
      <sz val="9.0"/>
      <color rgb="FF4472C4"/>
      <name val="Arial"/>
    </font>
  </fonts>
  <fills count="23">
    <fill>
      <patternFill patternType="none"/>
    </fill>
    <fill>
      <patternFill patternType="lightGray"/>
    </fill>
    <fill>
      <patternFill patternType="solid">
        <fgColor rgb="FF1B2A4A"/>
        <bgColor rgb="FF1B2A4A"/>
      </patternFill>
    </fill>
    <fill>
      <patternFill patternType="solid">
        <fgColor rgb="FF2E75B6"/>
        <bgColor rgb="FF2E75B6"/>
      </patternFill>
    </fill>
    <fill>
      <patternFill patternType="solid">
        <fgColor rgb="FFFFFFFF"/>
        <bgColor rgb="FFFFFFFF"/>
      </patternFill>
    </fill>
    <fill>
      <patternFill patternType="solid">
        <fgColor rgb="FFFFF9E6"/>
        <bgColor rgb="FFFFF9E6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27AE60"/>
        <bgColor rgb="FF27AE60"/>
      </patternFill>
    </fill>
    <fill>
      <patternFill patternType="solid">
        <fgColor rgb="FFE67E22"/>
        <bgColor rgb="FFE67E22"/>
      </patternFill>
    </fill>
    <fill>
      <patternFill patternType="solid">
        <fgColor rgb="FFF7F9FC"/>
        <bgColor rgb="FFF7F9FC"/>
      </patternFill>
    </fill>
    <fill>
      <patternFill patternType="solid">
        <fgColor rgb="FFD9E2F3"/>
        <bgColor rgb="FFD9E2F3"/>
      </patternFill>
    </fill>
    <fill>
      <patternFill patternType="solid">
        <fgColor rgb="FFE74C3C"/>
        <bgColor rgb="FFE74C3C"/>
      </patternFill>
    </fill>
    <fill>
      <patternFill patternType="solid">
        <fgColor rgb="FF2E4D7B"/>
        <bgColor rgb="FF2E4D7B"/>
      </patternFill>
    </fill>
    <fill>
      <patternFill patternType="solid">
        <fgColor rgb="FFF5F5F5"/>
        <bgColor rgb="FFF5F5F5"/>
      </patternFill>
    </fill>
    <fill>
      <patternFill patternType="solid">
        <fgColor rgb="FFEAF4E8"/>
        <bgColor rgb="FFEAF4E8"/>
      </patternFill>
    </fill>
    <fill>
      <patternFill patternType="solid">
        <fgColor rgb="FFEBF3FB"/>
        <bgColor rgb="FFEBF3FB"/>
      </patternFill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FFCCCC"/>
        <bgColor rgb="FFFFCCCC"/>
      </patternFill>
    </fill>
    <fill>
      <patternFill patternType="solid">
        <fgColor rgb="FFE8E8E8"/>
        <bgColor rgb="FFE8E8E8"/>
      </patternFill>
    </fill>
    <fill>
      <patternFill patternType="solid">
        <fgColor rgb="FFE8F4E8"/>
        <bgColor rgb="FFE8F4E8"/>
      </patternFill>
    </fill>
  </fills>
  <borders count="11">
    <border/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left/>
      <top/>
      <bottom/>
    </border>
    <border>
      <top/>
      <bottom/>
    </border>
    <border>
      <right/>
      <top/>
      <bottom/>
    </border>
    <border>
      <right/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8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2" numFmtId="0" xfId="0" applyFont="1"/>
    <xf borderId="1" fillId="2" fontId="7" numFmtId="0" xfId="0" applyAlignment="1" applyBorder="1" applyFill="1" applyFont="1">
      <alignment horizontal="center" shrinkToFit="0" vertical="center" wrapText="1"/>
    </xf>
    <xf borderId="2" fillId="0" fontId="8" numFmtId="0" xfId="0" applyBorder="1" applyFont="1"/>
    <xf borderId="3" fillId="0" fontId="8" numFmtId="0" xfId="0" applyBorder="1" applyFont="1"/>
    <xf borderId="1" fillId="3" fontId="9" numFmtId="0" xfId="0" applyAlignment="1" applyBorder="1" applyFill="1" applyFont="1">
      <alignment horizontal="center" shrinkToFit="0" vertical="center" wrapText="1"/>
    </xf>
    <xf borderId="4" fillId="4" fontId="10" numFmtId="0" xfId="0" applyAlignment="1" applyBorder="1" applyFill="1" applyFont="1">
      <alignment horizontal="left" shrinkToFit="0" vertical="center" wrapText="1"/>
    </xf>
    <xf borderId="4" fillId="5" fontId="11" numFmtId="3" xfId="0" applyAlignment="1" applyBorder="1" applyFill="1" applyFont="1" applyNumberFormat="1">
      <alignment horizontal="center" vertical="center"/>
    </xf>
    <xf borderId="4" fillId="6" fontId="12" numFmtId="0" xfId="0" applyAlignment="1" applyBorder="1" applyFill="1" applyFont="1">
      <alignment horizontal="left" shrinkToFit="0" vertical="center" wrapText="1"/>
    </xf>
    <xf borderId="5" fillId="4" fontId="10" numFmtId="0" xfId="0" applyAlignment="1" applyBorder="1" applyFont="1">
      <alignment horizontal="left" shrinkToFit="0" vertical="center" wrapText="1"/>
    </xf>
    <xf borderId="5" fillId="5" fontId="11" numFmtId="164" xfId="0" applyAlignment="1" applyBorder="1" applyFont="1" applyNumberFormat="1">
      <alignment horizontal="center" shrinkToFit="0" vertical="center" wrapText="1"/>
    </xf>
    <xf borderId="5" fillId="6" fontId="12" numFmtId="0" xfId="0" applyAlignment="1" applyBorder="1" applyFont="1">
      <alignment horizontal="left" shrinkToFit="0" vertical="center" wrapText="1"/>
    </xf>
    <xf borderId="5" fillId="5" fontId="11" numFmtId="165" xfId="0" applyAlignment="1" applyBorder="1" applyFont="1" applyNumberFormat="1">
      <alignment horizontal="center" shrinkToFit="0" vertical="center" wrapText="1"/>
    </xf>
    <xf borderId="4" fillId="5" fontId="11" numFmtId="4" xfId="0" applyAlignment="1" applyBorder="1" applyFont="1" applyNumberFormat="1">
      <alignment horizontal="center" shrinkToFit="0" vertical="center" wrapText="1"/>
    </xf>
    <xf borderId="0" fillId="0" fontId="13" numFmtId="0" xfId="0" applyAlignment="1" applyFont="1">
      <alignment vertical="bottom"/>
    </xf>
    <xf borderId="4" fillId="7" fontId="14" numFmtId="0" xfId="0" applyAlignment="1" applyBorder="1" applyFill="1" applyFont="1">
      <alignment vertical="bottom"/>
    </xf>
    <xf borderId="5" fillId="8" fontId="9" numFmtId="0" xfId="0" applyAlignment="1" applyBorder="1" applyFill="1" applyFont="1">
      <alignment horizontal="center" shrinkToFit="0" vertical="bottom" wrapText="1"/>
    </xf>
    <xf borderId="2" fillId="0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6" fillId="0" fontId="2" numFmtId="0" xfId="0" applyAlignment="1" applyBorder="1" applyFont="1">
      <alignment vertical="bottom"/>
    </xf>
    <xf borderId="0" fillId="0" fontId="2" numFmtId="10" xfId="0" applyAlignment="1" applyFont="1" applyNumberFormat="1">
      <alignment vertical="bottom"/>
    </xf>
    <xf borderId="5" fillId="9" fontId="9" numFmtId="0" xfId="0" applyAlignment="1" applyBorder="1" applyFill="1" applyFont="1">
      <alignment horizontal="center" shrinkToFit="0" vertical="bottom" wrapText="1"/>
    </xf>
    <xf borderId="5" fillId="2" fontId="9" numFmtId="0" xfId="0" applyAlignment="1" applyBorder="1" applyFont="1">
      <alignment horizontal="center" shrinkToFit="0" vertical="bottom" wrapText="1"/>
    </xf>
    <xf borderId="5" fillId="5" fontId="11" numFmtId="0" xfId="0" applyAlignment="1" applyBorder="1" applyFont="1">
      <alignment horizontal="left" shrinkToFit="0" vertical="center" wrapText="1"/>
    </xf>
    <xf borderId="5" fillId="4" fontId="12" numFmtId="0" xfId="0" applyAlignment="1" applyBorder="1" applyFont="1">
      <alignment horizontal="left" shrinkToFit="0" vertical="center" wrapText="1"/>
    </xf>
    <xf borderId="5" fillId="6" fontId="15" numFmtId="0" xfId="0" applyAlignment="1" applyBorder="1" applyFont="1">
      <alignment horizontal="left" shrinkToFit="0" vertical="center" wrapText="1"/>
    </xf>
    <xf borderId="1" fillId="3" fontId="16" numFmtId="0" xfId="0" applyAlignment="1" applyBorder="1" applyFont="1">
      <alignment horizontal="center" shrinkToFit="0" vertical="center" wrapText="1"/>
    </xf>
    <xf borderId="0" fillId="0" fontId="17" numFmtId="0" xfId="0" applyAlignment="1" applyFont="1">
      <alignment vertical="bottom"/>
    </xf>
    <xf borderId="5" fillId="2" fontId="18" numFmtId="0" xfId="0" applyAlignment="1" applyBorder="1" applyFont="1">
      <alignment horizontal="center" shrinkToFit="0" vertical="center" wrapText="1"/>
    </xf>
    <xf borderId="5" fillId="4" fontId="12" numFmtId="0" xfId="0" applyAlignment="1" applyBorder="1" applyFont="1">
      <alignment horizontal="center" shrinkToFit="0" vertical="center" wrapText="1"/>
    </xf>
    <xf borderId="5" fillId="5" fontId="19" numFmtId="166" xfId="0" applyAlignment="1" applyBorder="1" applyFont="1" applyNumberFormat="1">
      <alignment horizontal="center" shrinkToFit="0" vertical="bottom" wrapText="1"/>
    </xf>
    <xf borderId="5" fillId="5" fontId="19" numFmtId="166" xfId="0" applyAlignment="1" applyBorder="1" applyFont="1" applyNumberFormat="1">
      <alignment shrinkToFit="0" vertical="bottom" wrapText="1"/>
    </xf>
    <xf borderId="5" fillId="5" fontId="19" numFmtId="0" xfId="0" applyAlignment="1" applyBorder="1" applyFont="1">
      <alignment horizontal="center" shrinkToFit="0" vertical="bottom" wrapText="1"/>
    </xf>
    <xf borderId="5" fillId="5" fontId="19" numFmtId="165" xfId="0" applyAlignment="1" applyBorder="1" applyFont="1" applyNumberFormat="1">
      <alignment horizontal="right" vertical="bottom"/>
    </xf>
    <xf borderId="5" fillId="5" fontId="19" numFmtId="167" xfId="0" applyAlignment="1" applyBorder="1" applyFont="1" applyNumberFormat="1">
      <alignment horizontal="right" vertical="bottom"/>
    </xf>
    <xf borderId="5" fillId="6" fontId="20" numFmtId="165" xfId="0" applyAlignment="1" applyBorder="1" applyFont="1" applyNumberFormat="1">
      <alignment horizontal="right" vertical="bottom"/>
    </xf>
    <xf borderId="5" fillId="6" fontId="2" numFmtId="165" xfId="0" applyAlignment="1" applyBorder="1" applyFont="1" applyNumberFormat="1">
      <alignment vertical="bottom"/>
    </xf>
    <xf borderId="5" fillId="6" fontId="2" numFmtId="0" xfId="0" applyAlignment="1" applyBorder="1" applyFont="1">
      <alignment vertical="bottom"/>
    </xf>
    <xf borderId="5" fillId="5" fontId="19" numFmtId="165" xfId="0" applyAlignment="1" applyBorder="1" applyFont="1" applyNumberFormat="1">
      <alignment horizontal="center" shrinkToFit="0" vertical="bottom" wrapText="1"/>
    </xf>
    <xf borderId="5" fillId="6" fontId="20" numFmtId="168" xfId="0" applyAlignment="1" applyBorder="1" applyFont="1" applyNumberFormat="1">
      <alignment horizontal="right" vertical="bottom"/>
    </xf>
    <xf borderId="5" fillId="5" fontId="21" numFmtId="165" xfId="0" applyAlignment="1" applyBorder="1" applyFont="1" applyNumberFormat="1">
      <alignment horizontal="center" vertical="center"/>
    </xf>
    <xf borderId="5" fillId="10" fontId="12" numFmtId="0" xfId="0" applyAlignment="1" applyBorder="1" applyFill="1" applyFont="1">
      <alignment horizontal="center" shrinkToFit="0" vertical="center" wrapText="1"/>
    </xf>
    <xf borderId="5" fillId="5" fontId="19" numFmtId="0" xfId="0" applyAlignment="1" applyBorder="1" applyFont="1">
      <alignment shrinkToFit="0" vertical="bottom" wrapText="1"/>
    </xf>
    <xf borderId="5" fillId="10" fontId="20" numFmtId="165" xfId="0" applyAlignment="1" applyBorder="1" applyFont="1" applyNumberFormat="1">
      <alignment horizontal="right" vertical="bottom"/>
    </xf>
    <xf borderId="5" fillId="10" fontId="2" numFmtId="165" xfId="0" applyAlignment="1" applyBorder="1" applyFont="1" applyNumberFormat="1">
      <alignment vertical="bottom"/>
    </xf>
    <xf borderId="5" fillId="10" fontId="20" numFmtId="168" xfId="0" applyAlignment="1" applyBorder="1" applyFont="1" applyNumberFormat="1">
      <alignment horizontal="right" vertical="bottom"/>
    </xf>
    <xf borderId="5" fillId="5" fontId="11" numFmtId="166" xfId="0" applyAlignment="1" applyBorder="1" applyFont="1" applyNumberFormat="1">
      <alignment horizontal="center" shrinkToFit="0" vertical="center" wrapText="1"/>
    </xf>
    <xf borderId="5" fillId="5" fontId="11" numFmtId="0" xfId="0" applyAlignment="1" applyBorder="1" applyFont="1">
      <alignment horizontal="center" shrinkToFit="0" vertical="center" wrapText="1"/>
    </xf>
    <xf borderId="5" fillId="5" fontId="11" numFmtId="165" xfId="0" applyAlignment="1" applyBorder="1" applyFont="1" applyNumberFormat="1">
      <alignment horizontal="right" vertical="center"/>
    </xf>
    <xf borderId="5" fillId="5" fontId="11" numFmtId="167" xfId="0" applyAlignment="1" applyBorder="1" applyFont="1" applyNumberFormat="1">
      <alignment horizontal="right" vertical="center"/>
    </xf>
    <xf borderId="5" fillId="6" fontId="15" numFmtId="165" xfId="0" applyAlignment="1" applyBorder="1" applyFont="1" applyNumberFormat="1">
      <alignment horizontal="right" vertical="center"/>
    </xf>
    <xf borderId="5" fillId="6" fontId="15" numFmtId="168" xfId="0" applyAlignment="1" applyBorder="1" applyFont="1" applyNumberFormat="1">
      <alignment horizontal="right" vertical="center"/>
    </xf>
    <xf borderId="5" fillId="10" fontId="15" numFmtId="165" xfId="0" applyAlignment="1" applyBorder="1" applyFont="1" applyNumberFormat="1">
      <alignment horizontal="right" vertical="center"/>
    </xf>
    <xf borderId="5" fillId="10" fontId="15" numFmtId="168" xfId="0" applyAlignment="1" applyBorder="1" applyFont="1" applyNumberFormat="1">
      <alignment horizontal="right" vertical="center"/>
    </xf>
    <xf borderId="5" fillId="5" fontId="21" numFmtId="165" xfId="0" applyAlignment="1" applyBorder="1" applyFont="1" applyNumberFormat="1">
      <alignment horizontal="center" readingOrder="0" vertical="center"/>
    </xf>
    <xf borderId="5" fillId="6" fontId="22" numFmtId="0" xfId="0" applyAlignment="1" applyBorder="1" applyFont="1">
      <alignment horizontal="center" vertical="center"/>
    </xf>
    <xf borderId="5" fillId="5" fontId="11" numFmtId="0" xfId="0" applyAlignment="1" applyBorder="1" applyFont="1">
      <alignment horizontal="left" readingOrder="0" shrinkToFit="0" vertical="center" wrapText="1"/>
    </xf>
    <xf borderId="5" fillId="10" fontId="15" numFmtId="165" xfId="0" applyAlignment="1" applyBorder="1" applyFont="1" applyNumberFormat="1">
      <alignment horizontal="right" readingOrder="0" vertical="center"/>
    </xf>
    <xf borderId="5" fillId="6" fontId="22" numFmtId="0" xfId="0" applyAlignment="1" applyBorder="1" applyFont="1">
      <alignment horizontal="center" readingOrder="0" vertical="center"/>
    </xf>
    <xf borderId="5" fillId="10" fontId="12" numFmtId="0" xfId="0" applyAlignment="1" applyBorder="1" applyFont="1">
      <alignment horizontal="center" readingOrder="0" shrinkToFit="0" vertical="center" wrapText="1"/>
    </xf>
    <xf borderId="5" fillId="5" fontId="23" numFmtId="0" xfId="0" applyAlignment="1" applyBorder="1" applyFont="1">
      <alignment shrinkToFit="0" wrapText="1"/>
    </xf>
    <xf borderId="5" fillId="5" fontId="23" numFmtId="0" xfId="0" applyAlignment="1" applyBorder="1" applyFont="1">
      <alignment horizontal="center" shrinkToFit="0" wrapText="1"/>
    </xf>
    <xf borderId="5" fillId="5" fontId="23" numFmtId="165" xfId="0" applyAlignment="1" applyBorder="1" applyFont="1" applyNumberFormat="1">
      <alignment horizontal="right"/>
    </xf>
    <xf borderId="5" fillId="5" fontId="23" numFmtId="167" xfId="0" applyAlignment="1" applyBorder="1" applyFont="1" applyNumberFormat="1">
      <alignment horizontal="right"/>
    </xf>
    <xf borderId="5" fillId="10" fontId="24" numFmtId="165" xfId="0" applyAlignment="1" applyBorder="1" applyFont="1" applyNumberFormat="1">
      <alignment horizontal="right"/>
    </xf>
    <xf borderId="5" fillId="6" fontId="25" numFmtId="0" xfId="0" applyAlignment="1" applyBorder="1" applyFont="1">
      <alignment horizontal="center"/>
    </xf>
    <xf borderId="5" fillId="5" fontId="23" numFmtId="165" xfId="0" applyAlignment="1" applyBorder="1" applyFont="1" applyNumberFormat="1">
      <alignment horizontal="center" shrinkToFit="0" wrapText="1"/>
    </xf>
    <xf borderId="5" fillId="10" fontId="24" numFmtId="168" xfId="0" applyAlignment="1" applyBorder="1" applyFont="1" applyNumberFormat="1">
      <alignment horizontal="right"/>
    </xf>
    <xf borderId="5" fillId="5" fontId="11" numFmtId="166" xfId="0" applyAlignment="1" applyBorder="1" applyFont="1" applyNumberFormat="1">
      <alignment horizontal="center" readingOrder="0" shrinkToFit="0" vertical="center" wrapText="1"/>
    </xf>
    <xf borderId="5" fillId="10" fontId="24" numFmtId="165" xfId="0" applyAlignment="1" applyBorder="1" applyFont="1" applyNumberFormat="1">
      <alignment horizontal="right" readingOrder="0"/>
    </xf>
    <xf borderId="5" fillId="6" fontId="25" numFmtId="0" xfId="0" applyAlignment="1" applyBorder="1" applyFont="1">
      <alignment horizontal="center" readingOrder="0"/>
    </xf>
    <xf borderId="5" fillId="5" fontId="23" numFmtId="166" xfId="0" applyAlignment="1" applyBorder="1" applyFont="1" applyNumberFormat="1">
      <alignment shrinkToFit="0" wrapText="1"/>
    </xf>
    <xf borderId="5" fillId="6" fontId="24" numFmtId="165" xfId="0" applyAlignment="1" applyBorder="1" applyFont="1" applyNumberFormat="1">
      <alignment horizontal="right"/>
    </xf>
    <xf borderId="5" fillId="6" fontId="24" numFmtId="168" xfId="0" applyAlignment="1" applyBorder="1" applyFont="1" applyNumberFormat="1">
      <alignment horizontal="right"/>
    </xf>
    <xf borderId="5" fillId="6" fontId="2" numFmtId="165" xfId="0" applyAlignment="1" applyBorder="1" applyFont="1" applyNumberFormat="1">
      <alignment readingOrder="0" vertical="bottom"/>
    </xf>
    <xf borderId="5" fillId="6" fontId="15" numFmtId="165" xfId="0" applyAlignment="1" applyBorder="1" applyFont="1" applyNumberFormat="1">
      <alignment horizontal="right" readingOrder="0" vertical="center"/>
    </xf>
    <xf borderId="5" fillId="6" fontId="2" numFmtId="0" xfId="0" applyAlignment="1" applyBorder="1" applyFont="1">
      <alignment readingOrder="0" vertical="bottom"/>
    </xf>
    <xf borderId="5" fillId="5" fontId="23" numFmtId="166" xfId="0" applyAlignment="1" applyBorder="1" applyFont="1" applyNumberFormat="1">
      <alignment horizontal="center" shrinkToFit="0" wrapText="1"/>
    </xf>
    <xf borderId="5" fillId="5" fontId="23" numFmtId="0" xfId="0" applyAlignment="1" applyBorder="1" applyFont="1">
      <alignment readingOrder="0" shrinkToFit="0" wrapText="1"/>
    </xf>
    <xf borderId="5" fillId="5" fontId="23" numFmtId="166" xfId="0" applyAlignment="1" applyBorder="1" applyFont="1" applyNumberFormat="1">
      <alignment horizontal="center" readingOrder="0" shrinkToFit="0" wrapText="1"/>
    </xf>
    <xf borderId="5" fillId="5" fontId="19" numFmtId="166" xfId="0" applyAlignment="1" applyBorder="1" applyFont="1" applyNumberFormat="1">
      <alignment horizontal="center" readingOrder="0" shrinkToFit="0" vertical="bottom" wrapText="1"/>
    </xf>
    <xf borderId="1" fillId="2" fontId="18" numFmtId="0" xfId="0" applyAlignment="1" applyBorder="1" applyFont="1">
      <alignment horizontal="center" shrinkToFit="0" vertical="center" wrapText="1"/>
    </xf>
    <xf borderId="5" fillId="2" fontId="18" numFmtId="165" xfId="0" applyAlignment="1" applyBorder="1" applyFont="1" applyNumberFormat="1">
      <alignment horizontal="right" vertical="center"/>
    </xf>
    <xf borderId="5" fillId="2" fontId="18" numFmtId="167" xfId="0" applyAlignment="1" applyBorder="1" applyFont="1" applyNumberFormat="1">
      <alignment horizontal="center" shrinkToFit="0" vertical="center" wrapText="1"/>
    </xf>
    <xf borderId="4" fillId="11" fontId="2" numFmtId="0" xfId="0" applyAlignment="1" applyBorder="1" applyFill="1" applyFont="1">
      <alignment vertical="bottom"/>
    </xf>
    <xf borderId="5" fillId="2" fontId="18" numFmtId="165" xfId="0" applyAlignment="1" applyBorder="1" applyFont="1" applyNumberFormat="1">
      <alignment horizontal="center" shrinkToFit="0" vertical="center" wrapText="1"/>
    </xf>
    <xf borderId="5" fillId="11" fontId="26" numFmtId="165" xfId="0" applyAlignment="1" applyBorder="1" applyFont="1" applyNumberFormat="1">
      <alignment horizontal="center" vertical="center"/>
    </xf>
    <xf borderId="5" fillId="6" fontId="10" numFmtId="3" xfId="0" applyAlignment="1" applyBorder="1" applyFont="1" applyNumberFormat="1">
      <alignment horizontal="center" shrinkToFit="0" vertical="center" wrapText="1"/>
    </xf>
    <xf borderId="5" fillId="5" fontId="23" numFmtId="0" xfId="0" applyAlignment="1" applyBorder="1" applyFont="1">
      <alignment shrinkToFit="0" wrapText="1"/>
    </xf>
    <xf borderId="1" fillId="2" fontId="7" numFmtId="0" xfId="0" applyAlignment="1" applyBorder="1" applyFont="1">
      <alignment horizontal="center" readingOrder="0" shrinkToFit="0" vertical="center" wrapText="1"/>
    </xf>
    <xf borderId="1" fillId="3" fontId="27" numFmtId="0" xfId="0" applyAlignment="1" applyBorder="1" applyFont="1">
      <alignment horizontal="center" shrinkToFit="0" vertical="center" wrapText="1"/>
    </xf>
    <xf borderId="5" fillId="8" fontId="28" numFmtId="0" xfId="0" applyAlignment="1" applyBorder="1" applyFont="1">
      <alignment horizontal="left" shrinkToFit="0" vertical="center" wrapText="1"/>
    </xf>
    <xf borderId="5" fillId="8" fontId="28" numFmtId="165" xfId="0" applyAlignment="1" applyBorder="1" applyFont="1" applyNumberFormat="1">
      <alignment horizontal="right" vertical="center"/>
    </xf>
    <xf borderId="5" fillId="8" fontId="2" numFmtId="0" xfId="0" applyAlignment="1" applyBorder="1" applyFont="1">
      <alignment vertical="bottom"/>
    </xf>
    <xf borderId="1" fillId="9" fontId="9" numFmtId="0" xfId="0" applyAlignment="1" applyBorder="1" applyFont="1">
      <alignment horizontal="center" shrinkToFit="0" vertical="center" wrapText="1"/>
    </xf>
    <xf borderId="5" fillId="6" fontId="29" numFmtId="0" xfId="0" applyAlignment="1" applyBorder="1" applyFont="1">
      <alignment horizontal="left" shrinkToFit="0" vertical="center" wrapText="1"/>
    </xf>
    <xf borderId="5" fillId="12" fontId="18" numFmtId="0" xfId="0" applyAlignment="1" applyBorder="1" applyFill="1" applyFont="1">
      <alignment horizontal="left" shrinkToFit="0" vertical="center" wrapText="1"/>
    </xf>
    <xf borderId="5" fillId="12" fontId="18" numFmtId="165" xfId="0" applyAlignment="1" applyBorder="1" applyFont="1" applyNumberFormat="1">
      <alignment horizontal="right" vertical="center"/>
    </xf>
    <xf borderId="5" fillId="12" fontId="2" numFmtId="0" xfId="0" applyAlignment="1" applyBorder="1" applyFont="1">
      <alignment vertical="bottom"/>
    </xf>
    <xf borderId="5" fillId="4" fontId="30" numFmtId="0" xfId="0" applyAlignment="1" applyBorder="1" applyFont="1">
      <alignment horizontal="left" shrinkToFit="0" vertical="center" wrapText="1"/>
    </xf>
    <xf borderId="5" fillId="6" fontId="30" numFmtId="165" xfId="0" applyAlignment="1" applyBorder="1" applyFont="1" applyNumberFormat="1">
      <alignment horizontal="right" vertical="center"/>
    </xf>
    <xf borderId="5" fillId="6" fontId="31" numFmtId="0" xfId="0" applyAlignment="1" applyBorder="1" applyFont="1">
      <alignment horizontal="left" shrinkToFit="0" vertical="center" wrapText="1"/>
    </xf>
    <xf borderId="1" fillId="8" fontId="9" numFmtId="0" xfId="0" applyAlignment="1" applyBorder="1" applyFont="1">
      <alignment horizontal="center" shrinkToFit="0" vertical="center" wrapText="1"/>
    </xf>
    <xf borderId="5" fillId="6" fontId="32" numFmtId="9" xfId="0" applyAlignment="1" applyBorder="1" applyFont="1" applyNumberFormat="1">
      <alignment horizontal="center" shrinkToFit="0" vertical="center" wrapText="1"/>
    </xf>
    <xf borderId="1" fillId="2" fontId="9" numFmtId="0" xfId="0" applyAlignment="1" applyBorder="1" applyFont="1">
      <alignment horizontal="center" shrinkToFit="0" vertical="center" wrapText="1"/>
    </xf>
    <xf borderId="5" fillId="6" fontId="15" numFmtId="3" xfId="0" applyAlignment="1" applyBorder="1" applyFont="1" applyNumberFormat="1">
      <alignment horizontal="right" vertical="center"/>
    </xf>
    <xf borderId="5" fillId="6" fontId="15" numFmtId="164" xfId="0" applyAlignment="1" applyBorder="1" applyFont="1" applyNumberFormat="1">
      <alignment horizontal="right" vertical="center"/>
    </xf>
    <xf borderId="5" fillId="6" fontId="15" numFmtId="0" xfId="0" applyAlignment="1" applyBorder="1" applyFont="1">
      <alignment horizontal="center" shrinkToFit="0" vertical="center" wrapText="1"/>
    </xf>
    <xf borderId="5" fillId="6" fontId="25" numFmtId="0" xfId="0" applyAlignment="1" applyBorder="1" applyFont="1">
      <alignment horizontal="center" vertical="bottom"/>
    </xf>
    <xf borderId="5" fillId="5" fontId="21" numFmtId="165" xfId="0" applyAlignment="1" applyBorder="1" applyFont="1" applyNumberFormat="1">
      <alignment horizontal="center" vertical="bottom"/>
    </xf>
    <xf borderId="7" fillId="2" fontId="33" numFmtId="0" xfId="0" applyAlignment="1" applyBorder="1" applyFont="1">
      <alignment horizontal="left" vertical="center"/>
    </xf>
    <xf borderId="8" fillId="0" fontId="8" numFmtId="0" xfId="0" applyBorder="1" applyFont="1"/>
    <xf borderId="9" fillId="0" fontId="8" numFmtId="0" xfId="0" applyBorder="1" applyFont="1"/>
    <xf borderId="7" fillId="13" fontId="34" numFmtId="0" xfId="0" applyAlignment="1" applyBorder="1" applyFill="1" applyFont="1">
      <alignment horizontal="left" vertical="center"/>
    </xf>
    <xf borderId="7" fillId="14" fontId="35" numFmtId="0" xfId="0" applyAlignment="1" applyBorder="1" applyFill="1" applyFont="1">
      <alignment horizontal="left" vertical="center"/>
    </xf>
    <xf borderId="7" fillId="2" fontId="28" numFmtId="0" xfId="0" applyAlignment="1" applyBorder="1" applyFont="1">
      <alignment horizontal="left" vertical="center"/>
    </xf>
    <xf borderId="5" fillId="11" fontId="36" numFmtId="0" xfId="0" applyAlignment="1" applyBorder="1" applyFont="1">
      <alignment horizontal="center" shrinkToFit="0" vertical="center" wrapText="1"/>
    </xf>
    <xf borderId="5" fillId="11" fontId="36" numFmtId="0" xfId="0" applyAlignment="1" applyBorder="1" applyFont="1">
      <alignment horizontal="left" shrinkToFit="0" vertical="center" wrapText="1"/>
    </xf>
    <xf borderId="5" fillId="6" fontId="37" numFmtId="0" xfId="0" applyAlignment="1" applyBorder="1" applyFont="1">
      <alignment horizontal="left" vertical="center"/>
    </xf>
    <xf borderId="5" fillId="15" fontId="26" numFmtId="3" xfId="0" applyAlignment="1" applyBorder="1" applyFill="1" applyFont="1" applyNumberFormat="1">
      <alignment horizontal="center" vertical="center"/>
    </xf>
    <xf borderId="5" fillId="6" fontId="22" numFmtId="165" xfId="0" applyAlignment="1" applyBorder="1" applyFont="1" applyNumberFormat="1">
      <alignment horizontal="center" vertical="center"/>
    </xf>
    <xf borderId="5" fillId="6" fontId="22" numFmtId="164" xfId="0" applyAlignment="1" applyBorder="1" applyFont="1" applyNumberFormat="1">
      <alignment horizontal="center" vertical="center"/>
    </xf>
    <xf borderId="5" fillId="6" fontId="22" numFmtId="3" xfId="0" applyAlignment="1" applyBorder="1" applyFont="1" applyNumberFormat="1">
      <alignment horizontal="center" vertical="center"/>
    </xf>
    <xf borderId="5" fillId="4" fontId="25" numFmtId="0" xfId="0" applyAlignment="1" applyBorder="1" applyFont="1">
      <alignment horizontal="center" vertical="center"/>
    </xf>
    <xf borderId="5" fillId="6" fontId="22" numFmtId="3" xfId="0" applyAlignment="1" applyBorder="1" applyFont="1" applyNumberFormat="1">
      <alignment horizontal="center" readingOrder="0" vertical="center"/>
    </xf>
    <xf borderId="7" fillId="13" fontId="18" numFmtId="0" xfId="0" applyAlignment="1" applyBorder="1" applyFont="1">
      <alignment horizontal="left" vertical="center"/>
    </xf>
    <xf borderId="5" fillId="13" fontId="38" numFmtId="3" xfId="0" applyAlignment="1" applyBorder="1" applyFont="1" applyNumberFormat="1">
      <alignment horizontal="center" vertical="center"/>
    </xf>
    <xf borderId="5" fillId="13" fontId="38" numFmtId="165" xfId="0" applyAlignment="1" applyBorder="1" applyFont="1" applyNumberFormat="1">
      <alignment horizontal="center" vertical="center"/>
    </xf>
    <xf borderId="5" fillId="13" fontId="38" numFmtId="164" xfId="0" applyAlignment="1" applyBorder="1" applyFont="1" applyNumberFormat="1">
      <alignment horizontal="center" vertical="center"/>
    </xf>
    <xf borderId="4" fillId="13" fontId="2" numFmtId="0" xfId="0" applyAlignment="1" applyBorder="1" applyFont="1">
      <alignment vertical="bottom"/>
    </xf>
    <xf borderId="7" fillId="16" fontId="39" numFmtId="0" xfId="0" applyAlignment="1" applyBorder="1" applyFill="1" applyFont="1">
      <alignment horizontal="left" shrinkToFit="0" vertical="center" wrapText="1"/>
    </xf>
    <xf borderId="7" fillId="2" fontId="40" numFmtId="0" xfId="0" applyAlignment="1" applyBorder="1" applyFont="1">
      <alignment horizontal="left" vertical="center"/>
    </xf>
    <xf borderId="4" fillId="17" fontId="4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shrinkToFit="0" vertical="bottom" wrapText="1"/>
    </xf>
    <xf borderId="5" fillId="18" fontId="22" numFmtId="3" xfId="0" applyAlignment="1" applyBorder="1" applyFill="1" applyFont="1" applyNumberFormat="1">
      <alignment horizontal="center" readingOrder="0" vertical="center"/>
    </xf>
    <xf borderId="5" fillId="18" fontId="22" numFmtId="3" xfId="0" applyAlignment="1" applyBorder="1" applyFont="1" applyNumberFormat="1">
      <alignment horizontal="center" vertical="center"/>
    </xf>
    <xf borderId="5" fillId="6" fontId="22" numFmtId="169" xfId="0" applyAlignment="1" applyBorder="1" applyFont="1" applyNumberFormat="1">
      <alignment horizontal="center" vertical="center"/>
    </xf>
    <xf borderId="5" fillId="6" fontId="22" numFmtId="1" xfId="0" applyAlignment="1" applyBorder="1" applyFont="1" applyNumberFormat="1">
      <alignment horizontal="center" vertical="center"/>
    </xf>
    <xf borderId="5" fillId="6" fontId="22" numFmtId="166" xfId="0" applyAlignment="1" applyBorder="1" applyFont="1" applyNumberFormat="1">
      <alignment horizontal="center" vertical="center"/>
    </xf>
    <xf borderId="5" fillId="4" fontId="22" numFmtId="0" xfId="0" applyAlignment="1" applyBorder="1" applyFont="1">
      <alignment horizontal="center" vertical="center"/>
    </xf>
    <xf borderId="5" fillId="6" fontId="37" numFmtId="3" xfId="0" applyAlignment="1" applyBorder="1" applyFont="1" applyNumberFormat="1">
      <alignment horizontal="center" vertical="center"/>
    </xf>
    <xf borderId="5" fillId="4" fontId="42" numFmtId="0" xfId="0" applyAlignment="1" applyBorder="1" applyFont="1">
      <alignment horizontal="center" vertical="center"/>
    </xf>
    <xf borderId="0" fillId="0" fontId="2" numFmtId="169" xfId="0" applyAlignment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170" xfId="0" applyAlignment="1" applyFont="1" applyNumberFormat="1">
      <alignment horizontal="center" vertical="center"/>
    </xf>
    <xf borderId="0" fillId="0" fontId="2" numFmtId="0" xfId="0" applyAlignment="1" applyFont="1">
      <alignment horizontal="left" shrinkToFit="0" vertical="center" wrapText="1"/>
    </xf>
    <xf borderId="1" fillId="11" fontId="36" numFmtId="0" xfId="0" applyAlignment="1" applyBorder="1" applyFont="1">
      <alignment horizontal="center" shrinkToFit="0" vertical="center" wrapText="1"/>
    </xf>
    <xf borderId="10" fillId="0" fontId="8" numFmtId="0" xfId="0" applyBorder="1" applyFont="1"/>
    <xf borderId="1" fillId="14" fontId="43" numFmtId="0" xfId="0" applyAlignment="1" applyBorder="1" applyFont="1">
      <alignment horizontal="left" vertical="center"/>
    </xf>
    <xf borderId="1" fillId="18" fontId="44" numFmtId="3" xfId="0" applyAlignment="1" applyBorder="1" applyFont="1" applyNumberFormat="1">
      <alignment horizontal="center" vertical="center"/>
    </xf>
    <xf borderId="1" fillId="19" fontId="44" numFmtId="3" xfId="0" applyAlignment="1" applyBorder="1" applyFill="1" applyFont="1" applyNumberFormat="1">
      <alignment horizontal="center" vertical="center"/>
    </xf>
    <xf borderId="1" fillId="6" fontId="44" numFmtId="3" xfId="0" applyAlignment="1" applyBorder="1" applyFont="1" applyNumberFormat="1">
      <alignment horizontal="center" vertical="center"/>
    </xf>
    <xf borderId="1" fillId="20" fontId="44" numFmtId="3" xfId="0" applyAlignment="1" applyBorder="1" applyFill="1" applyFont="1" applyNumberFormat="1">
      <alignment horizontal="center" vertical="center"/>
    </xf>
    <xf borderId="1" fillId="19" fontId="44" numFmtId="165" xfId="0" applyAlignment="1" applyBorder="1" applyFont="1" applyNumberFormat="1">
      <alignment horizontal="center" vertical="center"/>
    </xf>
    <xf borderId="5" fillId="4" fontId="11" numFmtId="3" xfId="0" applyAlignment="1" applyBorder="1" applyFont="1" applyNumberFormat="1">
      <alignment horizontal="right" vertical="center"/>
    </xf>
    <xf borderId="5" fillId="4" fontId="11" numFmtId="165" xfId="0" applyAlignment="1" applyBorder="1" applyFont="1" applyNumberFormat="1">
      <alignment horizontal="right" vertical="center"/>
    </xf>
    <xf borderId="5" fillId="4" fontId="11" numFmtId="164" xfId="0" applyAlignment="1" applyBorder="1" applyFont="1" applyNumberFormat="1">
      <alignment horizontal="right" vertical="center"/>
    </xf>
    <xf borderId="5" fillId="4" fontId="15" numFmtId="3" xfId="0" applyAlignment="1" applyBorder="1" applyFont="1" applyNumberFormat="1">
      <alignment horizontal="right" vertical="center"/>
    </xf>
    <xf borderId="5" fillId="5" fontId="15" numFmtId="165" xfId="0" applyAlignment="1" applyBorder="1" applyFont="1" applyNumberFormat="1">
      <alignment horizontal="right" vertical="center"/>
    </xf>
    <xf borderId="5" fillId="4" fontId="15" numFmtId="165" xfId="0" applyAlignment="1" applyBorder="1" applyFont="1" applyNumberFormat="1">
      <alignment horizontal="right" vertical="center"/>
    </xf>
    <xf borderId="5" fillId="4" fontId="15" numFmtId="164" xfId="0" applyAlignment="1" applyBorder="1" applyFont="1" applyNumberFormat="1">
      <alignment horizontal="right" vertical="center"/>
    </xf>
    <xf borderId="5" fillId="5" fontId="10" numFmtId="0" xfId="0" applyAlignment="1" applyBorder="1" applyFont="1">
      <alignment horizontal="left" shrinkToFit="0" vertical="center" wrapText="1"/>
    </xf>
    <xf borderId="5" fillId="5" fontId="15" numFmtId="3" xfId="0" applyAlignment="1" applyBorder="1" applyFont="1" applyNumberFormat="1">
      <alignment horizontal="right" vertical="center"/>
    </xf>
    <xf borderId="5" fillId="5" fontId="15" numFmtId="164" xfId="0" applyAlignment="1" applyBorder="1" applyFont="1" applyNumberFormat="1">
      <alignment horizontal="right" vertical="center"/>
    </xf>
    <xf borderId="5" fillId="2" fontId="18" numFmtId="3" xfId="0" applyAlignment="1" applyBorder="1" applyFont="1" applyNumberFormat="1">
      <alignment horizontal="right" vertical="center"/>
    </xf>
    <xf borderId="5" fillId="2" fontId="18" numFmtId="164" xfId="0" applyAlignment="1" applyBorder="1" applyFont="1" applyNumberFormat="1">
      <alignment horizontal="right" vertical="center"/>
    </xf>
    <xf borderId="1" fillId="6" fontId="29" numFmtId="0" xfId="0" applyAlignment="1" applyBorder="1" applyFont="1">
      <alignment horizontal="center" shrinkToFit="0" vertical="center" wrapText="1"/>
    </xf>
    <xf borderId="5" fillId="5" fontId="11" numFmtId="4" xfId="0" applyAlignment="1" applyBorder="1" applyFont="1" applyNumberFormat="1">
      <alignment horizontal="right" vertical="center"/>
    </xf>
    <xf borderId="5" fillId="5" fontId="21" numFmtId="3" xfId="0" applyAlignment="1" applyBorder="1" applyFont="1" applyNumberFormat="1">
      <alignment horizontal="center" vertical="center"/>
    </xf>
    <xf borderId="5" fillId="5" fontId="11" numFmtId="0" xfId="0" applyAlignment="1" applyBorder="1" applyFont="1">
      <alignment horizontal="center" readingOrder="0" shrinkToFit="0" vertical="center" wrapText="1"/>
    </xf>
    <xf borderId="5" fillId="5" fontId="11" numFmtId="165" xfId="0" applyAlignment="1" applyBorder="1" applyFont="1" applyNumberFormat="1">
      <alignment horizontal="right" readingOrder="0" vertical="center"/>
    </xf>
    <xf borderId="5" fillId="5" fontId="11" numFmtId="4" xfId="0" applyAlignment="1" applyBorder="1" applyFont="1" applyNumberFormat="1">
      <alignment horizontal="right" readingOrder="0" vertical="center"/>
    </xf>
    <xf borderId="5" fillId="5" fontId="21" numFmtId="3" xfId="0" applyAlignment="1" applyBorder="1" applyFont="1" applyNumberFormat="1">
      <alignment horizontal="center" readingOrder="0" vertical="center"/>
    </xf>
    <xf borderId="7" fillId="16" fontId="45" numFmtId="0" xfId="0" applyAlignment="1" applyBorder="1" applyFont="1">
      <alignment horizontal="left" vertical="center"/>
    </xf>
    <xf borderId="5" fillId="6" fontId="37" numFmtId="165" xfId="0" applyAlignment="1" applyBorder="1" applyFont="1" applyNumberFormat="1">
      <alignment horizontal="center" vertical="center"/>
    </xf>
    <xf borderId="5" fillId="21" fontId="26" numFmtId="3" xfId="0" applyAlignment="1" applyBorder="1" applyFill="1" applyFont="1" applyNumberFormat="1">
      <alignment horizontal="center" vertical="center"/>
    </xf>
    <xf borderId="5" fillId="22" fontId="22" numFmtId="165" xfId="0" applyAlignment="1" applyBorder="1" applyFill="1" applyFont="1" applyNumberFormat="1">
      <alignment horizontal="center" vertical="center"/>
    </xf>
    <xf borderId="7" fillId="13" fontId="28" numFmtId="0" xfId="0" applyAlignment="1" applyBorder="1" applyFont="1">
      <alignment horizontal="left" vertical="center"/>
    </xf>
    <xf borderId="1" fillId="11" fontId="36" numFmtId="0" xfId="0" applyAlignment="1" applyBorder="1" applyFont="1">
      <alignment horizontal="center" vertical="center"/>
    </xf>
    <xf borderId="5" fillId="11" fontId="36" numFmtId="0" xfId="0" applyAlignment="1" applyBorder="1" applyFont="1">
      <alignment horizontal="center" vertical="center"/>
    </xf>
    <xf borderId="5" fillId="15" fontId="15" numFmtId="3" xfId="0" applyAlignment="1" applyBorder="1" applyFont="1" applyNumberFormat="1">
      <alignment horizontal="center" vertical="center"/>
    </xf>
    <xf borderId="5" fillId="15" fontId="15" numFmtId="165" xfId="0" applyAlignment="1" applyBorder="1" applyFont="1" applyNumberFormat="1">
      <alignment horizontal="center" vertical="center"/>
    </xf>
    <xf borderId="1" fillId="18" fontId="44" numFmtId="165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0.0"/>
    <col customWidth="1" min="2" max="6" width="8.71"/>
  </cols>
  <sheetData>
    <row r="1" ht="17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0" customHeight="1">
      <c r="A3" s="4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A4" s="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4" t="s">
        <v>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0" customHeight="1">
      <c r="A6" s="3" t="s">
        <v>3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3" t="s">
        <v>4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0" customHeight="1">
      <c r="A8" s="3" t="s">
        <v>5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3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4" t="s">
        <v>6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3" t="s">
        <v>7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3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0" customHeight="1">
      <c r="A13" s="4" t="s">
        <v>8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0" customHeight="1">
      <c r="A14" s="3" t="s">
        <v>9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0" customHeight="1">
      <c r="A15" s="3" t="s">
        <v>10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0" customHeight="1">
      <c r="A16" s="3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0" customHeight="1">
      <c r="A17" s="4" t="s">
        <v>11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0" customHeight="1">
      <c r="A18" s="3" t="s">
        <v>12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0" customHeight="1">
      <c r="A19" s="3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0" customHeight="1">
      <c r="A20" s="4" t="s">
        <v>13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0" customHeight="1">
      <c r="A21" s="3" t="s">
        <v>14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0" customHeight="1">
      <c r="A22" s="3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0" customHeight="1">
      <c r="A23" s="4" t="s">
        <v>15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0" customHeight="1">
      <c r="A24" s="3" t="s">
        <v>16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0" customHeight="1">
      <c r="A25" s="3" t="s">
        <v>17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0" customHeight="1">
      <c r="A26" s="3" t="s">
        <v>18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0" customHeight="1">
      <c r="A27" s="3" t="s">
        <v>19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0" customHeight="1">
      <c r="A28" s="3" t="s">
        <v>20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0" customHeight="1">
      <c r="A29" s="3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0" customHeight="1">
      <c r="A30" s="4" t="s">
        <v>21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0" customHeight="1">
      <c r="A31" s="3" t="s">
        <v>22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0" customHeight="1">
      <c r="A32" s="3" t="s">
        <v>23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0" customHeight="1">
      <c r="A33" s="3" t="s">
        <v>24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5" t="s">
        <v>25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6" t="s">
        <v>26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6" t="s">
        <v>27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6" t="s">
        <v>28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6" t="s">
        <v>29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5" t="s">
        <v>30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6" t="s">
        <v>31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6" t="s">
        <v>32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6" t="s">
        <v>33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6" t="s">
        <v>34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6" t="s">
        <v>35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5" t="s">
        <v>36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7"/>
      <c r="B249" s="7"/>
      <c r="C249" s="7"/>
      <c r="D249" s="7"/>
      <c r="E249" s="7"/>
      <c r="F249" s="7"/>
    </row>
    <row r="250" ht="15.75" customHeight="1">
      <c r="A250" s="7"/>
      <c r="B250" s="7"/>
      <c r="C250" s="7"/>
      <c r="D250" s="7"/>
      <c r="E250" s="7"/>
      <c r="F250" s="7"/>
    </row>
    <row r="251" ht="15.75" customHeight="1">
      <c r="A251" s="7"/>
      <c r="B251" s="7"/>
      <c r="C251" s="7"/>
      <c r="D251" s="7"/>
      <c r="E251" s="7"/>
      <c r="F251" s="7"/>
    </row>
    <row r="252" ht="15.75" customHeight="1">
      <c r="A252" s="7"/>
      <c r="B252" s="7"/>
      <c r="C252" s="7"/>
      <c r="D252" s="7"/>
      <c r="E252" s="7"/>
      <c r="F252" s="7"/>
    </row>
    <row r="253" ht="15.75" customHeight="1">
      <c r="A253" s="7"/>
      <c r="B253" s="7"/>
      <c r="C253" s="7"/>
      <c r="D253" s="7"/>
      <c r="E253" s="7"/>
      <c r="F253" s="7"/>
    </row>
    <row r="254" ht="15.75" customHeight="1">
      <c r="A254" s="7"/>
      <c r="B254" s="7"/>
      <c r="C254" s="7"/>
      <c r="D254" s="7"/>
      <c r="E254" s="7"/>
      <c r="F254" s="7"/>
    </row>
    <row r="255" ht="15.75" customHeight="1">
      <c r="A255" s="7"/>
      <c r="B255" s="7"/>
      <c r="C255" s="7"/>
      <c r="D255" s="7"/>
      <c r="E255" s="7"/>
      <c r="F255" s="7"/>
    </row>
    <row r="256" ht="15.75" customHeight="1">
      <c r="A256" s="7"/>
      <c r="B256" s="7"/>
      <c r="C256" s="7"/>
      <c r="D256" s="7"/>
      <c r="E256" s="7"/>
      <c r="F256" s="7"/>
    </row>
    <row r="257" ht="15.75" customHeight="1">
      <c r="A257" s="7"/>
      <c r="B257" s="7"/>
      <c r="C257" s="7"/>
      <c r="D257" s="7"/>
      <c r="E257" s="7"/>
      <c r="F257" s="7"/>
    </row>
    <row r="258" ht="15.75" customHeight="1">
      <c r="A258" s="7"/>
      <c r="B258" s="7"/>
      <c r="C258" s="7"/>
      <c r="D258" s="7"/>
      <c r="E258" s="7"/>
      <c r="F258" s="7"/>
    </row>
    <row r="259" ht="15.75" customHeight="1">
      <c r="A259" s="7"/>
      <c r="B259" s="7"/>
      <c r="C259" s="7"/>
      <c r="D259" s="7"/>
      <c r="E259" s="7"/>
      <c r="F259" s="7"/>
    </row>
    <row r="260" ht="15.75" customHeight="1">
      <c r="A260" s="7"/>
      <c r="B260" s="7"/>
      <c r="C260" s="7"/>
      <c r="D260" s="7"/>
      <c r="E260" s="7"/>
      <c r="F260" s="7"/>
    </row>
    <row r="261" ht="15.75" customHeight="1">
      <c r="A261" s="7"/>
      <c r="B261" s="7"/>
      <c r="C261" s="7"/>
      <c r="D261" s="7"/>
      <c r="E261" s="7"/>
      <c r="F261" s="7"/>
    </row>
    <row r="262" ht="15.75" customHeight="1">
      <c r="A262" s="7"/>
      <c r="B262" s="7"/>
      <c r="C262" s="7"/>
      <c r="D262" s="7"/>
      <c r="E262" s="7"/>
      <c r="F262" s="7"/>
    </row>
    <row r="263" ht="15.75" customHeight="1">
      <c r="A263" s="7"/>
      <c r="B263" s="7"/>
      <c r="C263" s="7"/>
      <c r="D263" s="7"/>
      <c r="E263" s="7"/>
      <c r="F263" s="7"/>
    </row>
    <row r="264" ht="15.75" customHeight="1">
      <c r="A264" s="7"/>
      <c r="B264" s="7"/>
      <c r="C264" s="7"/>
      <c r="D264" s="7"/>
      <c r="E264" s="7"/>
      <c r="F264" s="7"/>
    </row>
    <row r="265" ht="15.75" customHeight="1">
      <c r="A265" s="7"/>
      <c r="B265" s="7"/>
      <c r="C265" s="7"/>
      <c r="D265" s="7"/>
      <c r="E265" s="7"/>
      <c r="F265" s="7"/>
    </row>
    <row r="266" ht="15.75" customHeight="1">
      <c r="A266" s="7"/>
      <c r="B266" s="7"/>
      <c r="C266" s="7"/>
      <c r="D266" s="7"/>
      <c r="E266" s="7"/>
      <c r="F266" s="7"/>
    </row>
    <row r="267" ht="15.75" customHeight="1">
      <c r="A267" s="7"/>
      <c r="B267" s="7"/>
      <c r="C267" s="7"/>
      <c r="D267" s="7"/>
      <c r="E267" s="7"/>
      <c r="F267" s="7"/>
    </row>
    <row r="268" ht="15.75" customHeight="1">
      <c r="A268" s="7"/>
      <c r="B268" s="7"/>
      <c r="C268" s="7"/>
      <c r="D268" s="7"/>
      <c r="E268" s="7"/>
      <c r="F268" s="7"/>
    </row>
    <row r="269" ht="15.75" customHeight="1">
      <c r="A269" s="7"/>
      <c r="B269" s="7"/>
      <c r="C269" s="7"/>
      <c r="D269" s="7"/>
      <c r="E269" s="7"/>
      <c r="F269" s="7"/>
    </row>
    <row r="270" ht="15.75" customHeight="1">
      <c r="A270" s="7"/>
      <c r="B270" s="7"/>
      <c r="C270" s="7"/>
      <c r="D270" s="7"/>
      <c r="E270" s="7"/>
      <c r="F270" s="7"/>
    </row>
    <row r="271" ht="15.75" customHeight="1">
      <c r="A271" s="7"/>
      <c r="B271" s="7"/>
      <c r="C271" s="7"/>
      <c r="D271" s="7"/>
      <c r="E271" s="7"/>
      <c r="F271" s="7"/>
    </row>
    <row r="272" ht="15.75" customHeight="1">
      <c r="A272" s="7"/>
      <c r="B272" s="7"/>
      <c r="C272" s="7"/>
      <c r="D272" s="7"/>
      <c r="E272" s="7"/>
      <c r="F272" s="7"/>
    </row>
    <row r="273" ht="15.75" customHeight="1">
      <c r="A273" s="7"/>
      <c r="B273" s="7"/>
      <c r="C273" s="7"/>
      <c r="D273" s="7"/>
      <c r="E273" s="7"/>
      <c r="F273" s="7"/>
    </row>
    <row r="274" ht="15.75" customHeight="1">
      <c r="A274" s="7"/>
      <c r="B274" s="7"/>
      <c r="C274" s="7"/>
      <c r="D274" s="7"/>
      <c r="E274" s="7"/>
      <c r="F274" s="7"/>
    </row>
    <row r="275" ht="15.75" customHeight="1">
      <c r="A275" s="7"/>
      <c r="B275" s="7"/>
      <c r="C275" s="7"/>
      <c r="D275" s="7"/>
      <c r="E275" s="7"/>
      <c r="F275" s="7"/>
    </row>
    <row r="276" ht="15.75" customHeight="1">
      <c r="A276" s="7"/>
      <c r="B276" s="7"/>
      <c r="C276" s="7"/>
      <c r="D276" s="7"/>
      <c r="E276" s="7"/>
      <c r="F276" s="7"/>
    </row>
    <row r="277" ht="15.75" customHeight="1">
      <c r="A277" s="7"/>
      <c r="B277" s="7"/>
      <c r="C277" s="7"/>
      <c r="D277" s="7"/>
      <c r="E277" s="7"/>
      <c r="F277" s="7"/>
    </row>
    <row r="278" ht="15.75" customHeight="1">
      <c r="A278" s="7"/>
      <c r="B278" s="7"/>
      <c r="C278" s="7"/>
      <c r="D278" s="7"/>
      <c r="E278" s="7"/>
      <c r="F278" s="7"/>
    </row>
    <row r="279" ht="15.75" customHeight="1">
      <c r="A279" s="7"/>
      <c r="B279" s="7"/>
      <c r="C279" s="7"/>
      <c r="D279" s="7"/>
      <c r="E279" s="7"/>
      <c r="F279" s="7"/>
    </row>
    <row r="280" ht="15.75" customHeight="1">
      <c r="A280" s="7"/>
      <c r="B280" s="7"/>
      <c r="C280" s="7"/>
      <c r="D280" s="7"/>
      <c r="E280" s="7"/>
      <c r="F280" s="7"/>
    </row>
    <row r="281" ht="15.75" customHeight="1">
      <c r="A281" s="7"/>
      <c r="B281" s="7"/>
      <c r="C281" s="7"/>
      <c r="D281" s="7"/>
      <c r="E281" s="7"/>
      <c r="F281" s="7"/>
    </row>
    <row r="282" ht="15.75" customHeight="1">
      <c r="A282" s="7"/>
      <c r="B282" s="7"/>
      <c r="C282" s="7"/>
      <c r="D282" s="7"/>
      <c r="E282" s="7"/>
      <c r="F282" s="7"/>
    </row>
    <row r="283" ht="15.75" customHeight="1">
      <c r="A283" s="7"/>
      <c r="B283" s="7"/>
      <c r="C283" s="7"/>
      <c r="D283" s="7"/>
      <c r="E283" s="7"/>
      <c r="F283" s="7"/>
    </row>
    <row r="284" ht="15.75" customHeight="1">
      <c r="A284" s="7"/>
      <c r="B284" s="7"/>
      <c r="C284" s="7"/>
      <c r="D284" s="7"/>
      <c r="E284" s="7"/>
      <c r="F284" s="7"/>
    </row>
    <row r="285" ht="15.75" customHeight="1">
      <c r="A285" s="7"/>
      <c r="B285" s="7"/>
      <c r="C285" s="7"/>
      <c r="D285" s="7"/>
      <c r="E285" s="7"/>
      <c r="F285" s="7"/>
    </row>
    <row r="286" ht="15.75" customHeight="1">
      <c r="A286" s="7"/>
      <c r="B286" s="7"/>
      <c r="C286" s="7"/>
      <c r="D286" s="7"/>
      <c r="E286" s="7"/>
      <c r="F286" s="7"/>
    </row>
    <row r="287" ht="15.75" customHeight="1">
      <c r="A287" s="7"/>
      <c r="B287" s="7"/>
      <c r="C287" s="7"/>
      <c r="D287" s="7"/>
      <c r="E287" s="7"/>
      <c r="F287" s="7"/>
    </row>
    <row r="288" ht="15.75" customHeight="1">
      <c r="A288" s="7"/>
      <c r="B288" s="7"/>
      <c r="C288" s="7"/>
      <c r="D288" s="7"/>
      <c r="E288" s="7"/>
      <c r="F288" s="7"/>
    </row>
    <row r="289" ht="15.75" customHeight="1">
      <c r="A289" s="7"/>
      <c r="B289" s="7"/>
      <c r="C289" s="7"/>
      <c r="D289" s="7"/>
      <c r="E289" s="7"/>
      <c r="F289" s="7"/>
    </row>
    <row r="290" ht="15.75" customHeight="1">
      <c r="A290" s="7"/>
      <c r="B290" s="7"/>
      <c r="C290" s="7"/>
      <c r="D290" s="7"/>
      <c r="E290" s="7"/>
      <c r="F290" s="7"/>
    </row>
    <row r="291" ht="15.75" customHeight="1">
      <c r="A291" s="7"/>
      <c r="B291" s="7"/>
      <c r="C291" s="7"/>
      <c r="D291" s="7"/>
      <c r="E291" s="7"/>
      <c r="F291" s="7"/>
    </row>
    <row r="292" ht="15.75" customHeight="1">
      <c r="A292" s="7"/>
      <c r="B292" s="7"/>
      <c r="C292" s="7"/>
      <c r="D292" s="7"/>
      <c r="E292" s="7"/>
      <c r="F292" s="7"/>
    </row>
    <row r="293" ht="15.75" customHeight="1">
      <c r="A293" s="7"/>
      <c r="B293" s="7"/>
      <c r="C293" s="7"/>
      <c r="D293" s="7"/>
      <c r="E293" s="7"/>
      <c r="F293" s="7"/>
    </row>
    <row r="294" ht="15.75" customHeight="1">
      <c r="A294" s="7"/>
      <c r="B294" s="7"/>
      <c r="C294" s="7"/>
      <c r="D294" s="7"/>
      <c r="E294" s="7"/>
      <c r="F294" s="7"/>
    </row>
    <row r="295" ht="15.75" customHeight="1">
      <c r="A295" s="7"/>
      <c r="B295" s="7"/>
      <c r="C295" s="7"/>
      <c r="D295" s="7"/>
      <c r="E295" s="7"/>
      <c r="F295" s="7"/>
    </row>
    <row r="296" ht="15.75" customHeight="1">
      <c r="A296" s="7"/>
      <c r="B296" s="7"/>
      <c r="C296" s="7"/>
      <c r="D296" s="7"/>
      <c r="E296" s="7"/>
      <c r="F296" s="7"/>
    </row>
    <row r="297" ht="15.75" customHeight="1">
      <c r="A297" s="7"/>
      <c r="B297" s="7"/>
      <c r="C297" s="7"/>
      <c r="D297" s="7"/>
      <c r="E297" s="7"/>
      <c r="F297" s="7"/>
    </row>
    <row r="298" ht="15.75" customHeight="1">
      <c r="A298" s="7"/>
      <c r="B298" s="7"/>
      <c r="C298" s="7"/>
      <c r="D298" s="7"/>
      <c r="E298" s="7"/>
      <c r="F298" s="7"/>
    </row>
    <row r="299" ht="15.75" customHeight="1">
      <c r="A299" s="7"/>
      <c r="B299" s="7"/>
      <c r="C299" s="7"/>
      <c r="D299" s="7"/>
      <c r="E299" s="7"/>
      <c r="F299" s="7"/>
    </row>
    <row r="300" ht="15.75" customHeight="1">
      <c r="A300" s="7"/>
      <c r="B300" s="7"/>
      <c r="C300" s="7"/>
      <c r="D300" s="7"/>
      <c r="E300" s="7"/>
      <c r="F300" s="7"/>
    </row>
    <row r="301" ht="15.75" customHeight="1">
      <c r="A301" s="7"/>
      <c r="B301" s="7"/>
      <c r="C301" s="7"/>
      <c r="D301" s="7"/>
      <c r="E301" s="7"/>
      <c r="F301" s="7"/>
    </row>
    <row r="302" ht="15.75" customHeight="1">
      <c r="A302" s="7"/>
      <c r="B302" s="7"/>
      <c r="C302" s="7"/>
      <c r="D302" s="7"/>
      <c r="E302" s="7"/>
      <c r="F302" s="7"/>
    </row>
    <row r="303" ht="15.75" customHeight="1">
      <c r="A303" s="7"/>
      <c r="B303" s="7"/>
      <c r="C303" s="7"/>
      <c r="D303" s="7"/>
      <c r="E303" s="7"/>
      <c r="F303" s="7"/>
    </row>
    <row r="304" ht="15.75" customHeight="1">
      <c r="A304" s="7"/>
      <c r="B304" s="7"/>
      <c r="C304" s="7"/>
      <c r="D304" s="7"/>
      <c r="E304" s="7"/>
      <c r="F304" s="7"/>
    </row>
    <row r="305" ht="15.75" customHeight="1">
      <c r="A305" s="7"/>
      <c r="B305" s="7"/>
      <c r="C305" s="7"/>
      <c r="D305" s="7"/>
      <c r="E305" s="7"/>
      <c r="F305" s="7"/>
    </row>
    <row r="306" ht="15.75" customHeight="1">
      <c r="A306" s="7"/>
      <c r="B306" s="7"/>
      <c r="C306" s="7"/>
      <c r="D306" s="7"/>
      <c r="E306" s="7"/>
      <c r="F306" s="7"/>
    </row>
    <row r="307" ht="15.75" customHeight="1">
      <c r="A307" s="7"/>
      <c r="B307" s="7"/>
      <c r="C307" s="7"/>
      <c r="D307" s="7"/>
      <c r="E307" s="7"/>
      <c r="F307" s="7"/>
    </row>
    <row r="308" ht="15.75" customHeight="1">
      <c r="A308" s="7"/>
      <c r="B308" s="7"/>
      <c r="C308" s="7"/>
      <c r="D308" s="7"/>
      <c r="E308" s="7"/>
      <c r="F308" s="7"/>
    </row>
    <row r="309" ht="15.75" customHeight="1">
      <c r="A309" s="7"/>
      <c r="B309" s="7"/>
      <c r="C309" s="7"/>
      <c r="D309" s="7"/>
      <c r="E309" s="7"/>
      <c r="F309" s="7"/>
    </row>
    <row r="310" ht="15.75" customHeight="1">
      <c r="A310" s="7"/>
      <c r="B310" s="7"/>
      <c r="C310" s="7"/>
      <c r="D310" s="7"/>
      <c r="E310" s="7"/>
      <c r="F310" s="7"/>
    </row>
    <row r="311" ht="15.75" customHeight="1">
      <c r="A311" s="7"/>
      <c r="B311" s="7"/>
      <c r="C311" s="7"/>
      <c r="D311" s="7"/>
      <c r="E311" s="7"/>
      <c r="F311" s="7"/>
    </row>
    <row r="312" ht="15.75" customHeight="1">
      <c r="A312" s="7"/>
      <c r="B312" s="7"/>
      <c r="C312" s="7"/>
      <c r="D312" s="7"/>
      <c r="E312" s="7"/>
      <c r="F312" s="7"/>
    </row>
    <row r="313" ht="15.75" customHeight="1">
      <c r="A313" s="7"/>
      <c r="B313" s="7"/>
      <c r="C313" s="7"/>
      <c r="D313" s="7"/>
      <c r="E313" s="7"/>
      <c r="F313" s="7"/>
    </row>
    <row r="314" ht="15.75" customHeight="1">
      <c r="A314" s="7"/>
      <c r="B314" s="7"/>
      <c r="C314" s="7"/>
      <c r="D314" s="7"/>
      <c r="E314" s="7"/>
      <c r="F314" s="7"/>
    </row>
    <row r="315" ht="15.75" customHeight="1">
      <c r="A315" s="7"/>
      <c r="B315" s="7"/>
      <c r="C315" s="7"/>
      <c r="D315" s="7"/>
      <c r="E315" s="7"/>
      <c r="F315" s="7"/>
    </row>
    <row r="316" ht="15.75" customHeight="1">
      <c r="A316" s="7"/>
      <c r="B316" s="7"/>
      <c r="C316" s="7"/>
      <c r="D316" s="7"/>
      <c r="E316" s="7"/>
      <c r="F316" s="7"/>
    </row>
    <row r="317" ht="15.75" customHeight="1">
      <c r="A317" s="7"/>
      <c r="B317" s="7"/>
      <c r="C317" s="7"/>
      <c r="D317" s="7"/>
      <c r="E317" s="7"/>
      <c r="F317" s="7"/>
    </row>
    <row r="318" ht="15.75" customHeight="1">
      <c r="A318" s="7"/>
      <c r="B318" s="7"/>
      <c r="C318" s="7"/>
      <c r="D318" s="7"/>
      <c r="E318" s="7"/>
      <c r="F318" s="7"/>
    </row>
    <row r="319" ht="15.75" customHeight="1">
      <c r="A319" s="7"/>
      <c r="B319" s="7"/>
      <c r="C319" s="7"/>
      <c r="D319" s="7"/>
      <c r="E319" s="7"/>
      <c r="F319" s="7"/>
    </row>
    <row r="320" ht="15.75" customHeight="1">
      <c r="A320" s="7"/>
      <c r="B320" s="7"/>
      <c r="C320" s="7"/>
      <c r="D320" s="7"/>
      <c r="E320" s="7"/>
      <c r="F320" s="7"/>
    </row>
    <row r="321" ht="15.75" customHeight="1">
      <c r="A321" s="7"/>
      <c r="B321" s="7"/>
      <c r="C321" s="7"/>
      <c r="D321" s="7"/>
      <c r="E321" s="7"/>
      <c r="F321" s="7"/>
    </row>
    <row r="322" ht="15.75" customHeight="1">
      <c r="A322" s="7"/>
      <c r="B322" s="7"/>
      <c r="C322" s="7"/>
      <c r="D322" s="7"/>
      <c r="E322" s="7"/>
      <c r="F322" s="7"/>
    </row>
    <row r="323" ht="15.75" customHeight="1">
      <c r="A323" s="7"/>
      <c r="B323" s="7"/>
      <c r="C323" s="7"/>
      <c r="D323" s="7"/>
      <c r="E323" s="7"/>
      <c r="F323" s="7"/>
    </row>
    <row r="324" ht="15.75" customHeight="1">
      <c r="A324" s="7"/>
      <c r="B324" s="7"/>
      <c r="C324" s="7"/>
      <c r="D324" s="7"/>
      <c r="E324" s="7"/>
      <c r="F324" s="7"/>
    </row>
    <row r="325" ht="15.75" customHeight="1">
      <c r="A325" s="7"/>
      <c r="B325" s="7"/>
      <c r="C325" s="7"/>
      <c r="D325" s="7"/>
      <c r="E325" s="7"/>
      <c r="F325" s="7"/>
    </row>
    <row r="326" ht="15.75" customHeight="1">
      <c r="A326" s="7"/>
      <c r="B326" s="7"/>
      <c r="C326" s="7"/>
      <c r="D326" s="7"/>
      <c r="E326" s="7"/>
      <c r="F326" s="7"/>
    </row>
    <row r="327" ht="15.75" customHeight="1">
      <c r="A327" s="7"/>
      <c r="B327" s="7"/>
      <c r="C327" s="7"/>
      <c r="D327" s="7"/>
      <c r="E327" s="7"/>
      <c r="F327" s="7"/>
    </row>
    <row r="328" ht="15.75" customHeight="1">
      <c r="A328" s="7"/>
      <c r="B328" s="7"/>
      <c r="C328" s="7"/>
      <c r="D328" s="7"/>
      <c r="E328" s="7"/>
      <c r="F328" s="7"/>
    </row>
    <row r="329" ht="15.75" customHeight="1">
      <c r="A329" s="7"/>
      <c r="B329" s="7"/>
      <c r="C329" s="7"/>
      <c r="D329" s="7"/>
      <c r="E329" s="7"/>
      <c r="F329" s="7"/>
    </row>
    <row r="330" ht="15.75" customHeight="1">
      <c r="A330" s="7"/>
      <c r="B330" s="7"/>
      <c r="C330" s="7"/>
      <c r="D330" s="7"/>
      <c r="E330" s="7"/>
      <c r="F330" s="7"/>
    </row>
    <row r="331" ht="15.75" customHeight="1">
      <c r="A331" s="7"/>
      <c r="B331" s="7"/>
      <c r="C331" s="7"/>
      <c r="D331" s="7"/>
      <c r="E331" s="7"/>
      <c r="F331" s="7"/>
    </row>
    <row r="332" ht="15.75" customHeight="1">
      <c r="A332" s="7"/>
      <c r="B332" s="7"/>
      <c r="C332" s="7"/>
      <c r="D332" s="7"/>
      <c r="E332" s="7"/>
      <c r="F332" s="7"/>
    </row>
    <row r="333" ht="15.75" customHeight="1">
      <c r="A333" s="7"/>
      <c r="B333" s="7"/>
      <c r="C333" s="7"/>
      <c r="D333" s="7"/>
      <c r="E333" s="7"/>
      <c r="F333" s="7"/>
    </row>
    <row r="334" ht="15.75" customHeight="1">
      <c r="A334" s="7"/>
      <c r="B334" s="7"/>
      <c r="C334" s="7"/>
      <c r="D334" s="7"/>
      <c r="E334" s="7"/>
      <c r="F334" s="7"/>
    </row>
    <row r="335" ht="15.75" customHeight="1">
      <c r="A335" s="7"/>
      <c r="B335" s="7"/>
      <c r="C335" s="7"/>
      <c r="D335" s="7"/>
      <c r="E335" s="7"/>
      <c r="F335" s="7"/>
    </row>
    <row r="336" ht="15.75" customHeight="1">
      <c r="A336" s="7"/>
      <c r="B336" s="7"/>
      <c r="C336" s="7"/>
      <c r="D336" s="7"/>
      <c r="E336" s="7"/>
      <c r="F336" s="7"/>
    </row>
    <row r="337" ht="15.75" customHeight="1">
      <c r="A337" s="7"/>
      <c r="B337" s="7"/>
      <c r="C337" s="7"/>
      <c r="D337" s="7"/>
      <c r="E337" s="7"/>
      <c r="F337" s="7"/>
    </row>
    <row r="338" ht="15.75" customHeight="1">
      <c r="A338" s="7"/>
      <c r="B338" s="7"/>
      <c r="C338" s="7"/>
      <c r="D338" s="7"/>
      <c r="E338" s="7"/>
      <c r="F338" s="7"/>
    </row>
    <row r="339" ht="15.75" customHeight="1">
      <c r="A339" s="7"/>
      <c r="B339" s="7"/>
      <c r="C339" s="7"/>
      <c r="D339" s="7"/>
      <c r="E339" s="7"/>
      <c r="F339" s="7"/>
    </row>
    <row r="340" ht="15.75" customHeight="1">
      <c r="A340" s="7"/>
      <c r="B340" s="7"/>
      <c r="C340" s="7"/>
      <c r="D340" s="7"/>
      <c r="E340" s="7"/>
      <c r="F340" s="7"/>
    </row>
    <row r="341" ht="15.75" customHeight="1">
      <c r="A341" s="7"/>
      <c r="B341" s="7"/>
      <c r="C341" s="7"/>
      <c r="D341" s="7"/>
      <c r="E341" s="7"/>
      <c r="F341" s="7"/>
    </row>
    <row r="342" ht="15.75" customHeight="1">
      <c r="A342" s="7"/>
      <c r="B342" s="7"/>
      <c r="C342" s="7"/>
      <c r="D342" s="7"/>
      <c r="E342" s="7"/>
      <c r="F342" s="7"/>
    </row>
    <row r="343" ht="15.75" customHeight="1">
      <c r="A343" s="7"/>
      <c r="B343" s="7"/>
      <c r="C343" s="7"/>
      <c r="D343" s="7"/>
      <c r="E343" s="7"/>
      <c r="F343" s="7"/>
    </row>
    <row r="344" ht="15.75" customHeight="1">
      <c r="A344" s="7"/>
      <c r="B344" s="7"/>
      <c r="C344" s="7"/>
      <c r="D344" s="7"/>
      <c r="E344" s="7"/>
      <c r="F344" s="7"/>
    </row>
    <row r="345" ht="15.75" customHeight="1">
      <c r="A345" s="7"/>
      <c r="B345" s="7"/>
      <c r="C345" s="7"/>
      <c r="D345" s="7"/>
      <c r="E345" s="7"/>
      <c r="F345" s="7"/>
    </row>
    <row r="346" ht="15.75" customHeight="1">
      <c r="A346" s="7"/>
      <c r="B346" s="7"/>
      <c r="C346" s="7"/>
      <c r="D346" s="7"/>
      <c r="E346" s="7"/>
      <c r="F346" s="7"/>
    </row>
    <row r="347" ht="15.75" customHeight="1">
      <c r="A347" s="7"/>
      <c r="B347" s="7"/>
      <c r="C347" s="7"/>
      <c r="D347" s="7"/>
      <c r="E347" s="7"/>
      <c r="F347" s="7"/>
    </row>
    <row r="348" ht="15.75" customHeight="1">
      <c r="A348" s="7"/>
      <c r="B348" s="7"/>
      <c r="C348" s="7"/>
      <c r="D348" s="7"/>
      <c r="E348" s="7"/>
      <c r="F348" s="7"/>
    </row>
    <row r="349" ht="15.75" customHeight="1">
      <c r="A349" s="7"/>
      <c r="B349" s="7"/>
      <c r="C349" s="7"/>
      <c r="D349" s="7"/>
      <c r="E349" s="7"/>
      <c r="F349" s="7"/>
    </row>
    <row r="350" ht="15.75" customHeight="1">
      <c r="A350" s="7"/>
      <c r="B350" s="7"/>
      <c r="C350" s="7"/>
      <c r="D350" s="7"/>
      <c r="E350" s="7"/>
      <c r="F350" s="7"/>
    </row>
    <row r="351" ht="15.75" customHeight="1">
      <c r="A351" s="7"/>
      <c r="B351" s="7"/>
      <c r="C351" s="7"/>
      <c r="D351" s="7"/>
      <c r="E351" s="7"/>
      <c r="F351" s="7"/>
    </row>
    <row r="352" ht="15.75" customHeight="1">
      <c r="A352" s="7"/>
      <c r="B352" s="7"/>
      <c r="C352" s="7"/>
      <c r="D352" s="7"/>
      <c r="E352" s="7"/>
      <c r="F352" s="7"/>
    </row>
    <row r="353" ht="15.75" customHeight="1">
      <c r="A353" s="7"/>
      <c r="B353" s="7"/>
      <c r="C353" s="7"/>
      <c r="D353" s="7"/>
      <c r="E353" s="7"/>
      <c r="F353" s="7"/>
    </row>
    <row r="354" ht="15.75" customHeight="1">
      <c r="A354" s="7"/>
      <c r="B354" s="7"/>
      <c r="C354" s="7"/>
      <c r="D354" s="7"/>
      <c r="E354" s="7"/>
      <c r="F354" s="7"/>
    </row>
    <row r="355" ht="15.75" customHeight="1">
      <c r="A355" s="7"/>
      <c r="B355" s="7"/>
      <c r="C355" s="7"/>
      <c r="D355" s="7"/>
      <c r="E355" s="7"/>
      <c r="F355" s="7"/>
    </row>
    <row r="356" ht="15.75" customHeight="1">
      <c r="A356" s="7"/>
      <c r="B356" s="7"/>
      <c r="C356" s="7"/>
      <c r="D356" s="7"/>
      <c r="E356" s="7"/>
      <c r="F356" s="7"/>
    </row>
    <row r="357" ht="15.75" customHeight="1">
      <c r="A357" s="7"/>
      <c r="B357" s="7"/>
      <c r="C357" s="7"/>
      <c r="D357" s="7"/>
      <c r="E357" s="7"/>
      <c r="F357" s="7"/>
    </row>
    <row r="358" ht="15.75" customHeight="1">
      <c r="A358" s="7"/>
      <c r="B358" s="7"/>
      <c r="C358" s="7"/>
      <c r="D358" s="7"/>
      <c r="E358" s="7"/>
      <c r="F358" s="7"/>
    </row>
    <row r="359" ht="15.75" customHeight="1">
      <c r="A359" s="7"/>
      <c r="B359" s="7"/>
      <c r="C359" s="7"/>
      <c r="D359" s="7"/>
      <c r="E359" s="7"/>
      <c r="F359" s="7"/>
    </row>
    <row r="360" ht="15.75" customHeight="1">
      <c r="A360" s="7"/>
      <c r="B360" s="7"/>
      <c r="C360" s="7"/>
      <c r="D360" s="7"/>
      <c r="E360" s="7"/>
      <c r="F360" s="7"/>
    </row>
    <row r="361" ht="15.75" customHeight="1">
      <c r="A361" s="7"/>
      <c r="B361" s="7"/>
      <c r="C361" s="7"/>
      <c r="D361" s="7"/>
      <c r="E361" s="7"/>
      <c r="F361" s="7"/>
    </row>
    <row r="362" ht="15.75" customHeight="1">
      <c r="A362" s="7"/>
      <c r="B362" s="7"/>
      <c r="C362" s="7"/>
      <c r="D362" s="7"/>
      <c r="E362" s="7"/>
      <c r="F362" s="7"/>
    </row>
    <row r="363" ht="15.75" customHeight="1">
      <c r="A363" s="7"/>
      <c r="B363" s="7"/>
      <c r="C363" s="7"/>
      <c r="D363" s="7"/>
      <c r="E363" s="7"/>
      <c r="F363" s="7"/>
    </row>
    <row r="364" ht="15.75" customHeight="1">
      <c r="A364" s="7"/>
      <c r="B364" s="7"/>
      <c r="C364" s="7"/>
      <c r="D364" s="7"/>
      <c r="E364" s="7"/>
      <c r="F364" s="7"/>
    </row>
    <row r="365" ht="15.75" customHeight="1">
      <c r="A365" s="7"/>
      <c r="B365" s="7"/>
      <c r="C365" s="7"/>
      <c r="D365" s="7"/>
      <c r="E365" s="7"/>
      <c r="F365" s="7"/>
    </row>
    <row r="366" ht="15.75" customHeight="1">
      <c r="A366" s="7"/>
      <c r="B366" s="7"/>
      <c r="C366" s="7"/>
      <c r="D366" s="7"/>
      <c r="E366" s="7"/>
      <c r="F366" s="7"/>
    </row>
    <row r="367" ht="15.75" customHeight="1">
      <c r="A367" s="7"/>
      <c r="B367" s="7"/>
      <c r="C367" s="7"/>
      <c r="D367" s="7"/>
      <c r="E367" s="7"/>
      <c r="F367" s="7"/>
    </row>
    <row r="368" ht="15.75" customHeight="1">
      <c r="A368" s="7"/>
      <c r="B368" s="7"/>
      <c r="C368" s="7"/>
      <c r="D368" s="7"/>
      <c r="E368" s="7"/>
      <c r="F368" s="7"/>
    </row>
    <row r="369" ht="15.75" customHeight="1">
      <c r="A369" s="7"/>
      <c r="B369" s="7"/>
      <c r="C369" s="7"/>
      <c r="D369" s="7"/>
      <c r="E369" s="7"/>
      <c r="F369" s="7"/>
    </row>
    <row r="370" ht="15.75" customHeight="1">
      <c r="A370" s="7"/>
      <c r="B370" s="7"/>
      <c r="C370" s="7"/>
      <c r="D370" s="7"/>
      <c r="E370" s="7"/>
      <c r="F370" s="7"/>
    </row>
    <row r="371" ht="15.75" customHeight="1">
      <c r="A371" s="7"/>
      <c r="B371" s="7"/>
      <c r="C371" s="7"/>
      <c r="D371" s="7"/>
      <c r="E371" s="7"/>
      <c r="F371" s="7"/>
    </row>
    <row r="372" ht="15.75" customHeight="1">
      <c r="A372" s="7"/>
      <c r="B372" s="7"/>
      <c r="C372" s="7"/>
      <c r="D372" s="7"/>
      <c r="E372" s="7"/>
      <c r="F372" s="7"/>
    </row>
    <row r="373" ht="15.75" customHeight="1">
      <c r="A373" s="7"/>
      <c r="B373" s="7"/>
      <c r="C373" s="7"/>
      <c r="D373" s="7"/>
      <c r="E373" s="7"/>
      <c r="F373" s="7"/>
    </row>
    <row r="374" ht="15.75" customHeight="1">
      <c r="A374" s="7"/>
      <c r="B374" s="7"/>
      <c r="C374" s="7"/>
      <c r="D374" s="7"/>
      <c r="E374" s="7"/>
      <c r="F374" s="7"/>
    </row>
    <row r="375" ht="15.75" customHeight="1">
      <c r="A375" s="7"/>
      <c r="B375" s="7"/>
      <c r="C375" s="7"/>
      <c r="D375" s="7"/>
      <c r="E375" s="7"/>
      <c r="F375" s="7"/>
    </row>
    <row r="376" ht="15.75" customHeight="1">
      <c r="A376" s="7"/>
      <c r="B376" s="7"/>
      <c r="C376" s="7"/>
      <c r="D376" s="7"/>
      <c r="E376" s="7"/>
      <c r="F376" s="7"/>
    </row>
    <row r="377" ht="15.75" customHeight="1">
      <c r="A377" s="7"/>
      <c r="B377" s="7"/>
      <c r="C377" s="7"/>
      <c r="D377" s="7"/>
      <c r="E377" s="7"/>
      <c r="F377" s="7"/>
    </row>
    <row r="378" ht="15.75" customHeight="1">
      <c r="A378" s="7"/>
      <c r="B378" s="7"/>
      <c r="C378" s="7"/>
      <c r="D378" s="7"/>
      <c r="E378" s="7"/>
      <c r="F378" s="7"/>
    </row>
    <row r="379" ht="15.75" customHeight="1">
      <c r="A379" s="7"/>
      <c r="B379" s="7"/>
      <c r="C379" s="7"/>
      <c r="D379" s="7"/>
      <c r="E379" s="7"/>
      <c r="F379" s="7"/>
    </row>
    <row r="380" ht="15.75" customHeight="1">
      <c r="A380" s="7"/>
      <c r="B380" s="7"/>
      <c r="C380" s="7"/>
      <c r="D380" s="7"/>
      <c r="E380" s="7"/>
      <c r="F380" s="7"/>
    </row>
    <row r="381" ht="15.75" customHeight="1">
      <c r="A381" s="7"/>
      <c r="B381" s="7"/>
      <c r="C381" s="7"/>
      <c r="D381" s="7"/>
      <c r="E381" s="7"/>
      <c r="F381" s="7"/>
    </row>
    <row r="382" ht="15.75" customHeight="1">
      <c r="A382" s="7"/>
      <c r="B382" s="7"/>
      <c r="C382" s="7"/>
      <c r="D382" s="7"/>
      <c r="E382" s="7"/>
      <c r="F382" s="7"/>
    </row>
    <row r="383" ht="15.75" customHeight="1">
      <c r="A383" s="7"/>
      <c r="B383" s="7"/>
      <c r="C383" s="7"/>
      <c r="D383" s="7"/>
      <c r="E383" s="7"/>
      <c r="F383" s="7"/>
    </row>
    <row r="384" ht="15.75" customHeight="1">
      <c r="A384" s="7"/>
      <c r="B384" s="7"/>
      <c r="C384" s="7"/>
      <c r="D384" s="7"/>
      <c r="E384" s="7"/>
      <c r="F384" s="7"/>
    </row>
    <row r="385" ht="15.75" customHeight="1">
      <c r="A385" s="7"/>
      <c r="B385" s="7"/>
      <c r="C385" s="7"/>
      <c r="D385" s="7"/>
      <c r="E385" s="7"/>
      <c r="F385" s="7"/>
    </row>
    <row r="386" ht="15.75" customHeight="1">
      <c r="A386" s="7"/>
      <c r="B386" s="7"/>
      <c r="C386" s="7"/>
      <c r="D386" s="7"/>
      <c r="E386" s="7"/>
      <c r="F386" s="7"/>
    </row>
    <row r="387" ht="15.75" customHeight="1">
      <c r="A387" s="7"/>
      <c r="B387" s="7"/>
      <c r="C387" s="7"/>
      <c r="D387" s="7"/>
      <c r="E387" s="7"/>
      <c r="F387" s="7"/>
    </row>
    <row r="388" ht="15.75" customHeight="1">
      <c r="A388" s="7"/>
      <c r="B388" s="7"/>
      <c r="C388" s="7"/>
      <c r="D388" s="7"/>
      <c r="E388" s="7"/>
      <c r="F388" s="7"/>
    </row>
    <row r="389" ht="15.75" customHeight="1">
      <c r="A389" s="7"/>
      <c r="B389" s="7"/>
      <c r="C389" s="7"/>
      <c r="D389" s="7"/>
      <c r="E389" s="7"/>
      <c r="F389" s="7"/>
    </row>
    <row r="390" ht="15.75" customHeight="1">
      <c r="A390" s="7"/>
      <c r="B390" s="7"/>
      <c r="C390" s="7"/>
      <c r="D390" s="7"/>
      <c r="E390" s="7"/>
      <c r="F390" s="7"/>
    </row>
    <row r="391" ht="15.75" customHeight="1">
      <c r="A391" s="7"/>
      <c r="B391" s="7"/>
      <c r="C391" s="7"/>
      <c r="D391" s="7"/>
      <c r="E391" s="7"/>
      <c r="F391" s="7"/>
    </row>
    <row r="392" ht="15.75" customHeight="1">
      <c r="A392" s="7"/>
      <c r="B392" s="7"/>
      <c r="C392" s="7"/>
      <c r="D392" s="7"/>
      <c r="E392" s="7"/>
      <c r="F392" s="7"/>
    </row>
    <row r="393" ht="15.75" customHeight="1">
      <c r="A393" s="7"/>
      <c r="B393" s="7"/>
      <c r="C393" s="7"/>
      <c r="D393" s="7"/>
      <c r="E393" s="7"/>
      <c r="F393" s="7"/>
    </row>
    <row r="394" ht="15.75" customHeight="1">
      <c r="A394" s="7"/>
      <c r="B394" s="7"/>
      <c r="C394" s="7"/>
      <c r="D394" s="7"/>
      <c r="E394" s="7"/>
      <c r="F394" s="7"/>
    </row>
    <row r="395" ht="15.75" customHeight="1">
      <c r="A395" s="7"/>
      <c r="B395" s="7"/>
      <c r="C395" s="7"/>
      <c r="D395" s="7"/>
      <c r="E395" s="7"/>
      <c r="F395" s="7"/>
    </row>
    <row r="396" ht="15.75" customHeight="1">
      <c r="A396" s="7"/>
      <c r="B396" s="7"/>
      <c r="C396" s="7"/>
      <c r="D396" s="7"/>
      <c r="E396" s="7"/>
      <c r="F396" s="7"/>
    </row>
    <row r="397" ht="15.75" customHeight="1">
      <c r="A397" s="7"/>
      <c r="B397" s="7"/>
      <c r="C397" s="7"/>
      <c r="D397" s="7"/>
      <c r="E397" s="7"/>
      <c r="F397" s="7"/>
    </row>
    <row r="398" ht="15.75" customHeight="1">
      <c r="A398" s="7"/>
      <c r="B398" s="7"/>
      <c r="C398" s="7"/>
      <c r="D398" s="7"/>
      <c r="E398" s="7"/>
      <c r="F398" s="7"/>
    </row>
    <row r="399" ht="15.75" customHeight="1">
      <c r="A399" s="7"/>
      <c r="B399" s="7"/>
      <c r="C399" s="7"/>
      <c r="D399" s="7"/>
      <c r="E399" s="7"/>
      <c r="F399" s="7"/>
    </row>
    <row r="400" ht="15.75" customHeight="1">
      <c r="A400" s="7"/>
      <c r="B400" s="7"/>
      <c r="C400" s="7"/>
      <c r="D400" s="7"/>
      <c r="E400" s="7"/>
      <c r="F400" s="7"/>
    </row>
    <row r="401" ht="15.75" customHeight="1">
      <c r="A401" s="7"/>
      <c r="B401" s="7"/>
      <c r="C401" s="7"/>
      <c r="D401" s="7"/>
      <c r="E401" s="7"/>
      <c r="F401" s="7"/>
    </row>
    <row r="402" ht="15.75" customHeight="1">
      <c r="A402" s="7"/>
      <c r="B402" s="7"/>
      <c r="C402" s="7"/>
      <c r="D402" s="7"/>
      <c r="E402" s="7"/>
      <c r="F402" s="7"/>
    </row>
    <row r="403" ht="15.75" customHeight="1">
      <c r="A403" s="7"/>
      <c r="B403" s="7"/>
      <c r="C403" s="7"/>
      <c r="D403" s="7"/>
      <c r="E403" s="7"/>
      <c r="F403" s="7"/>
    </row>
    <row r="404" ht="15.75" customHeight="1">
      <c r="A404" s="7"/>
      <c r="B404" s="7"/>
      <c r="C404" s="7"/>
      <c r="D404" s="7"/>
      <c r="E404" s="7"/>
      <c r="F404" s="7"/>
    </row>
    <row r="405" ht="15.75" customHeight="1">
      <c r="A405" s="7"/>
      <c r="B405" s="7"/>
      <c r="C405" s="7"/>
      <c r="D405" s="7"/>
      <c r="E405" s="7"/>
      <c r="F405" s="7"/>
    </row>
    <row r="406" ht="15.75" customHeight="1">
      <c r="A406" s="7"/>
      <c r="B406" s="7"/>
      <c r="C406" s="7"/>
      <c r="D406" s="7"/>
      <c r="E406" s="7"/>
      <c r="F406" s="7"/>
    </row>
    <row r="407" ht="15.75" customHeight="1">
      <c r="A407" s="7"/>
      <c r="B407" s="7"/>
      <c r="C407" s="7"/>
      <c r="D407" s="7"/>
      <c r="E407" s="7"/>
      <c r="F407" s="7"/>
    </row>
    <row r="408" ht="15.75" customHeight="1">
      <c r="A408" s="7"/>
      <c r="B408" s="7"/>
      <c r="C408" s="7"/>
      <c r="D408" s="7"/>
      <c r="E408" s="7"/>
      <c r="F408" s="7"/>
    </row>
    <row r="409" ht="15.75" customHeight="1">
      <c r="A409" s="7"/>
      <c r="B409" s="7"/>
      <c r="C409" s="7"/>
      <c r="D409" s="7"/>
      <c r="E409" s="7"/>
      <c r="F409" s="7"/>
    </row>
    <row r="410" ht="15.75" customHeight="1">
      <c r="A410" s="7"/>
      <c r="B410" s="7"/>
      <c r="C410" s="7"/>
      <c r="D410" s="7"/>
      <c r="E410" s="7"/>
      <c r="F410" s="7"/>
    </row>
    <row r="411" ht="15.75" customHeight="1">
      <c r="A411" s="7"/>
      <c r="B411" s="7"/>
      <c r="C411" s="7"/>
      <c r="D411" s="7"/>
      <c r="E411" s="7"/>
      <c r="F411" s="7"/>
    </row>
    <row r="412" ht="15.75" customHeight="1">
      <c r="A412" s="7"/>
      <c r="B412" s="7"/>
      <c r="C412" s="7"/>
      <c r="D412" s="7"/>
      <c r="E412" s="7"/>
      <c r="F412" s="7"/>
    </row>
    <row r="413" ht="15.75" customHeight="1">
      <c r="A413" s="7"/>
      <c r="B413" s="7"/>
      <c r="C413" s="7"/>
      <c r="D413" s="7"/>
      <c r="E413" s="7"/>
      <c r="F413" s="7"/>
    </row>
    <row r="414" ht="15.75" customHeight="1">
      <c r="A414" s="7"/>
      <c r="B414" s="7"/>
      <c r="C414" s="7"/>
      <c r="D414" s="7"/>
      <c r="E414" s="7"/>
      <c r="F414" s="7"/>
    </row>
    <row r="415" ht="15.75" customHeight="1">
      <c r="A415" s="7"/>
      <c r="B415" s="7"/>
      <c r="C415" s="7"/>
      <c r="D415" s="7"/>
      <c r="E415" s="7"/>
      <c r="F415" s="7"/>
    </row>
    <row r="416" ht="15.75" customHeight="1">
      <c r="A416" s="7"/>
      <c r="B416" s="7"/>
      <c r="C416" s="7"/>
      <c r="D416" s="7"/>
      <c r="E416" s="7"/>
      <c r="F416" s="7"/>
    </row>
    <row r="417" ht="15.75" customHeight="1">
      <c r="A417" s="7"/>
      <c r="B417" s="7"/>
      <c r="C417" s="7"/>
      <c r="D417" s="7"/>
      <c r="E417" s="7"/>
      <c r="F417" s="7"/>
    </row>
    <row r="418" ht="15.75" customHeight="1">
      <c r="A418" s="7"/>
      <c r="B418" s="7"/>
      <c r="C418" s="7"/>
      <c r="D418" s="7"/>
      <c r="E418" s="7"/>
      <c r="F418" s="7"/>
    </row>
    <row r="419" ht="15.75" customHeight="1">
      <c r="A419" s="7"/>
      <c r="B419" s="7"/>
      <c r="C419" s="7"/>
      <c r="D419" s="7"/>
      <c r="E419" s="7"/>
      <c r="F419" s="7"/>
    </row>
    <row r="420" ht="15.75" customHeight="1">
      <c r="A420" s="7"/>
      <c r="B420" s="7"/>
      <c r="C420" s="7"/>
      <c r="D420" s="7"/>
      <c r="E420" s="7"/>
      <c r="F420" s="7"/>
    </row>
    <row r="421" ht="15.75" customHeight="1">
      <c r="A421" s="7"/>
      <c r="B421" s="7"/>
      <c r="C421" s="7"/>
      <c r="D421" s="7"/>
      <c r="E421" s="7"/>
      <c r="F421" s="7"/>
    </row>
    <row r="422" ht="15.75" customHeight="1">
      <c r="A422" s="7"/>
      <c r="B422" s="7"/>
      <c r="C422" s="7"/>
      <c r="D422" s="7"/>
      <c r="E422" s="7"/>
      <c r="F422" s="7"/>
    </row>
    <row r="423" ht="15.75" customHeight="1">
      <c r="A423" s="7"/>
      <c r="B423" s="7"/>
      <c r="C423" s="7"/>
      <c r="D423" s="7"/>
      <c r="E423" s="7"/>
      <c r="F423" s="7"/>
    </row>
    <row r="424" ht="15.75" customHeight="1">
      <c r="A424" s="7"/>
      <c r="B424" s="7"/>
      <c r="C424" s="7"/>
      <c r="D424" s="7"/>
      <c r="E424" s="7"/>
      <c r="F424" s="7"/>
    </row>
    <row r="425" ht="15.75" customHeight="1">
      <c r="A425" s="7"/>
      <c r="B425" s="7"/>
      <c r="C425" s="7"/>
      <c r="D425" s="7"/>
      <c r="E425" s="7"/>
      <c r="F425" s="7"/>
    </row>
    <row r="426" ht="15.75" customHeight="1">
      <c r="A426" s="7"/>
      <c r="B426" s="7"/>
      <c r="C426" s="7"/>
      <c r="D426" s="7"/>
      <c r="E426" s="7"/>
      <c r="F426" s="7"/>
    </row>
    <row r="427" ht="15.75" customHeight="1">
      <c r="A427" s="7"/>
      <c r="B427" s="7"/>
      <c r="C427" s="7"/>
      <c r="D427" s="7"/>
      <c r="E427" s="7"/>
      <c r="F427" s="7"/>
    </row>
    <row r="428" ht="15.75" customHeight="1">
      <c r="A428" s="7"/>
      <c r="B428" s="7"/>
      <c r="C428" s="7"/>
      <c r="D428" s="7"/>
      <c r="E428" s="7"/>
      <c r="F428" s="7"/>
    </row>
    <row r="429" ht="15.75" customHeight="1">
      <c r="A429" s="7"/>
      <c r="B429" s="7"/>
      <c r="C429" s="7"/>
      <c r="D429" s="7"/>
      <c r="E429" s="7"/>
      <c r="F429" s="7"/>
    </row>
    <row r="430" ht="15.75" customHeight="1">
      <c r="A430" s="7"/>
      <c r="B430" s="7"/>
      <c r="C430" s="7"/>
      <c r="D430" s="7"/>
      <c r="E430" s="7"/>
      <c r="F430" s="7"/>
    </row>
    <row r="431" ht="15.75" customHeight="1">
      <c r="A431" s="7"/>
      <c r="B431" s="7"/>
      <c r="C431" s="7"/>
      <c r="D431" s="7"/>
      <c r="E431" s="7"/>
      <c r="F431" s="7"/>
    </row>
    <row r="432" ht="15.75" customHeight="1">
      <c r="A432" s="7"/>
      <c r="B432" s="7"/>
      <c r="C432" s="7"/>
      <c r="D432" s="7"/>
      <c r="E432" s="7"/>
      <c r="F432" s="7"/>
    </row>
    <row r="433" ht="15.75" customHeight="1">
      <c r="A433" s="7"/>
      <c r="B433" s="7"/>
      <c r="C433" s="7"/>
      <c r="D433" s="7"/>
      <c r="E433" s="7"/>
      <c r="F433" s="7"/>
    </row>
    <row r="434" ht="15.75" customHeight="1">
      <c r="A434" s="7"/>
      <c r="B434" s="7"/>
      <c r="C434" s="7"/>
      <c r="D434" s="7"/>
      <c r="E434" s="7"/>
      <c r="F434" s="7"/>
    </row>
    <row r="435" ht="15.75" customHeight="1">
      <c r="A435" s="7"/>
      <c r="B435" s="7"/>
      <c r="C435" s="7"/>
      <c r="D435" s="7"/>
      <c r="E435" s="7"/>
      <c r="F435" s="7"/>
    </row>
    <row r="436" ht="15.75" customHeight="1">
      <c r="A436" s="7"/>
      <c r="B436" s="7"/>
      <c r="C436" s="7"/>
      <c r="D436" s="7"/>
      <c r="E436" s="7"/>
      <c r="F436" s="7"/>
    </row>
    <row r="437" ht="15.75" customHeight="1">
      <c r="A437" s="7"/>
      <c r="B437" s="7"/>
      <c r="C437" s="7"/>
      <c r="D437" s="7"/>
      <c r="E437" s="7"/>
      <c r="F437" s="7"/>
    </row>
    <row r="438" ht="15.75" customHeight="1">
      <c r="A438" s="7"/>
      <c r="B438" s="7"/>
      <c r="C438" s="7"/>
      <c r="D438" s="7"/>
      <c r="E438" s="7"/>
      <c r="F438" s="7"/>
    </row>
    <row r="439" ht="15.75" customHeight="1">
      <c r="A439" s="7"/>
      <c r="B439" s="7"/>
      <c r="C439" s="7"/>
      <c r="D439" s="7"/>
      <c r="E439" s="7"/>
      <c r="F439" s="7"/>
    </row>
    <row r="440" ht="15.75" customHeight="1">
      <c r="A440" s="7"/>
      <c r="B440" s="7"/>
      <c r="C440" s="7"/>
      <c r="D440" s="7"/>
      <c r="E440" s="7"/>
      <c r="F440" s="7"/>
    </row>
    <row r="441" ht="15.75" customHeight="1">
      <c r="A441" s="7"/>
      <c r="B441" s="7"/>
      <c r="C441" s="7"/>
      <c r="D441" s="7"/>
      <c r="E441" s="7"/>
      <c r="F441" s="7"/>
    </row>
    <row r="442" ht="15.75" customHeight="1">
      <c r="A442" s="7"/>
      <c r="B442" s="7"/>
      <c r="C442" s="7"/>
      <c r="D442" s="7"/>
      <c r="E442" s="7"/>
      <c r="F442" s="7"/>
    </row>
    <row r="443" ht="15.75" customHeight="1">
      <c r="A443" s="7"/>
      <c r="B443" s="7"/>
      <c r="C443" s="7"/>
      <c r="D443" s="7"/>
      <c r="E443" s="7"/>
      <c r="F443" s="7"/>
    </row>
    <row r="444" ht="15.75" customHeight="1">
      <c r="A444" s="7"/>
      <c r="B444" s="7"/>
      <c r="C444" s="7"/>
      <c r="D444" s="7"/>
      <c r="E444" s="7"/>
      <c r="F444" s="7"/>
    </row>
    <row r="445" ht="15.75" customHeight="1">
      <c r="A445" s="7"/>
      <c r="B445" s="7"/>
      <c r="C445" s="7"/>
      <c r="D445" s="7"/>
      <c r="E445" s="7"/>
      <c r="F445" s="7"/>
    </row>
    <row r="446" ht="15.75" customHeight="1">
      <c r="A446" s="7"/>
      <c r="B446" s="7"/>
      <c r="C446" s="7"/>
      <c r="D446" s="7"/>
      <c r="E446" s="7"/>
      <c r="F446" s="7"/>
    </row>
    <row r="447" ht="15.75" customHeight="1">
      <c r="A447" s="7"/>
      <c r="B447" s="7"/>
      <c r="C447" s="7"/>
      <c r="D447" s="7"/>
      <c r="E447" s="7"/>
      <c r="F447" s="7"/>
    </row>
    <row r="448" ht="15.75" customHeight="1">
      <c r="A448" s="7"/>
      <c r="B448" s="7"/>
      <c r="C448" s="7"/>
      <c r="D448" s="7"/>
      <c r="E448" s="7"/>
      <c r="F448" s="7"/>
    </row>
    <row r="449" ht="15.75" customHeight="1">
      <c r="A449" s="7"/>
      <c r="B449" s="7"/>
      <c r="C449" s="7"/>
      <c r="D449" s="7"/>
      <c r="E449" s="7"/>
      <c r="F449" s="7"/>
    </row>
    <row r="450" ht="15.75" customHeight="1">
      <c r="A450" s="7"/>
      <c r="B450" s="7"/>
      <c r="C450" s="7"/>
      <c r="D450" s="7"/>
      <c r="E450" s="7"/>
      <c r="F450" s="7"/>
    </row>
    <row r="451" ht="15.75" customHeight="1">
      <c r="A451" s="7"/>
      <c r="B451" s="7"/>
      <c r="C451" s="7"/>
      <c r="D451" s="7"/>
      <c r="E451" s="7"/>
      <c r="F451" s="7"/>
    </row>
    <row r="452" ht="15.75" customHeight="1">
      <c r="A452" s="7"/>
      <c r="B452" s="7"/>
      <c r="C452" s="7"/>
      <c r="D452" s="7"/>
      <c r="E452" s="7"/>
      <c r="F452" s="7"/>
    </row>
    <row r="453" ht="15.75" customHeight="1">
      <c r="A453" s="7"/>
      <c r="B453" s="7"/>
      <c r="C453" s="7"/>
      <c r="D453" s="7"/>
      <c r="E453" s="7"/>
      <c r="F453" s="7"/>
    </row>
    <row r="454" ht="15.75" customHeight="1">
      <c r="A454" s="7"/>
      <c r="B454" s="7"/>
      <c r="C454" s="7"/>
      <c r="D454" s="7"/>
      <c r="E454" s="7"/>
      <c r="F454" s="7"/>
    </row>
    <row r="455" ht="15.75" customHeight="1">
      <c r="A455" s="7"/>
      <c r="B455" s="7"/>
      <c r="C455" s="7"/>
      <c r="D455" s="7"/>
      <c r="E455" s="7"/>
      <c r="F455" s="7"/>
    </row>
    <row r="456" ht="15.75" customHeight="1">
      <c r="A456" s="7"/>
      <c r="B456" s="7"/>
      <c r="C456" s="7"/>
      <c r="D456" s="7"/>
      <c r="E456" s="7"/>
      <c r="F456" s="7"/>
    </row>
    <row r="457" ht="15.75" customHeight="1">
      <c r="A457" s="7"/>
      <c r="B457" s="7"/>
      <c r="C457" s="7"/>
      <c r="D457" s="7"/>
      <c r="E457" s="7"/>
      <c r="F457" s="7"/>
    </row>
    <row r="458" ht="15.75" customHeight="1">
      <c r="A458" s="7"/>
      <c r="B458" s="7"/>
      <c r="C458" s="7"/>
      <c r="D458" s="7"/>
      <c r="E458" s="7"/>
      <c r="F458" s="7"/>
    </row>
    <row r="459" ht="15.75" customHeight="1">
      <c r="A459" s="7"/>
      <c r="B459" s="7"/>
      <c r="C459" s="7"/>
      <c r="D459" s="7"/>
      <c r="E459" s="7"/>
      <c r="F459" s="7"/>
    </row>
    <row r="460" ht="15.75" customHeight="1">
      <c r="A460" s="7"/>
      <c r="B460" s="7"/>
      <c r="C460" s="7"/>
      <c r="D460" s="7"/>
      <c r="E460" s="7"/>
      <c r="F460" s="7"/>
    </row>
    <row r="461" ht="15.75" customHeight="1">
      <c r="A461" s="7"/>
      <c r="B461" s="7"/>
      <c r="C461" s="7"/>
      <c r="D461" s="7"/>
      <c r="E461" s="7"/>
      <c r="F461" s="7"/>
    </row>
    <row r="462" ht="15.75" customHeight="1">
      <c r="A462" s="7"/>
      <c r="B462" s="7"/>
      <c r="C462" s="7"/>
      <c r="D462" s="7"/>
      <c r="E462" s="7"/>
      <c r="F462" s="7"/>
    </row>
    <row r="463" ht="15.75" customHeight="1">
      <c r="A463" s="7"/>
      <c r="B463" s="7"/>
      <c r="C463" s="7"/>
      <c r="D463" s="7"/>
      <c r="E463" s="7"/>
      <c r="F463" s="7"/>
    </row>
    <row r="464" ht="15.75" customHeight="1">
      <c r="A464" s="7"/>
      <c r="B464" s="7"/>
      <c r="C464" s="7"/>
      <c r="D464" s="7"/>
      <c r="E464" s="7"/>
      <c r="F464" s="7"/>
    </row>
    <row r="465" ht="15.75" customHeight="1">
      <c r="A465" s="7"/>
      <c r="B465" s="7"/>
      <c r="C465" s="7"/>
      <c r="D465" s="7"/>
      <c r="E465" s="7"/>
      <c r="F465" s="7"/>
    </row>
    <row r="466" ht="15.75" customHeight="1">
      <c r="A466" s="7"/>
      <c r="B466" s="7"/>
      <c r="C466" s="7"/>
      <c r="D466" s="7"/>
      <c r="E466" s="7"/>
      <c r="F466" s="7"/>
    </row>
    <row r="467" ht="15.75" customHeight="1">
      <c r="A467" s="7"/>
      <c r="B467" s="7"/>
      <c r="C467" s="7"/>
      <c r="D467" s="7"/>
      <c r="E467" s="7"/>
      <c r="F467" s="7"/>
    </row>
    <row r="468" ht="15.75" customHeight="1">
      <c r="A468" s="7"/>
      <c r="B468" s="7"/>
      <c r="C468" s="7"/>
      <c r="D468" s="7"/>
      <c r="E468" s="7"/>
      <c r="F468" s="7"/>
    </row>
    <row r="469" ht="15.75" customHeight="1">
      <c r="A469" s="7"/>
      <c r="B469" s="7"/>
      <c r="C469" s="7"/>
      <c r="D469" s="7"/>
      <c r="E469" s="7"/>
      <c r="F469" s="7"/>
    </row>
    <row r="470" ht="15.75" customHeight="1">
      <c r="A470" s="7"/>
      <c r="B470" s="7"/>
      <c r="C470" s="7"/>
      <c r="D470" s="7"/>
      <c r="E470" s="7"/>
      <c r="F470" s="7"/>
    </row>
    <row r="471" ht="15.75" customHeight="1">
      <c r="A471" s="7"/>
      <c r="B471" s="7"/>
      <c r="C471" s="7"/>
      <c r="D471" s="7"/>
      <c r="E471" s="7"/>
      <c r="F471" s="7"/>
    </row>
    <row r="472" ht="15.75" customHeight="1">
      <c r="A472" s="7"/>
      <c r="B472" s="7"/>
      <c r="C472" s="7"/>
      <c r="D472" s="7"/>
      <c r="E472" s="7"/>
      <c r="F472" s="7"/>
    </row>
    <row r="473" ht="15.75" customHeight="1">
      <c r="A473" s="7"/>
      <c r="B473" s="7"/>
      <c r="C473" s="7"/>
      <c r="D473" s="7"/>
      <c r="E473" s="7"/>
      <c r="F473" s="7"/>
    </row>
    <row r="474" ht="15.75" customHeight="1">
      <c r="A474" s="7"/>
      <c r="B474" s="7"/>
      <c r="C474" s="7"/>
      <c r="D474" s="7"/>
      <c r="E474" s="7"/>
      <c r="F474" s="7"/>
    </row>
    <row r="475" ht="15.75" customHeight="1">
      <c r="A475" s="7"/>
      <c r="B475" s="7"/>
      <c r="C475" s="7"/>
      <c r="D475" s="7"/>
      <c r="E475" s="7"/>
      <c r="F475" s="7"/>
    </row>
    <row r="476" ht="15.75" customHeight="1">
      <c r="A476" s="7"/>
      <c r="B476" s="7"/>
      <c r="C476" s="7"/>
      <c r="D476" s="7"/>
      <c r="E476" s="7"/>
      <c r="F476" s="7"/>
    </row>
    <row r="477" ht="15.75" customHeight="1">
      <c r="A477" s="7"/>
      <c r="B477" s="7"/>
      <c r="C477" s="7"/>
      <c r="D477" s="7"/>
      <c r="E477" s="7"/>
      <c r="F477" s="7"/>
    </row>
    <row r="478" ht="15.75" customHeight="1">
      <c r="A478" s="7"/>
      <c r="B478" s="7"/>
      <c r="C478" s="7"/>
      <c r="D478" s="7"/>
      <c r="E478" s="7"/>
      <c r="F478" s="7"/>
    </row>
    <row r="479" ht="15.75" customHeight="1">
      <c r="A479" s="7"/>
      <c r="B479" s="7"/>
      <c r="C479" s="7"/>
      <c r="D479" s="7"/>
      <c r="E479" s="7"/>
      <c r="F479" s="7"/>
    </row>
    <row r="480" ht="15.75" customHeight="1">
      <c r="A480" s="7"/>
      <c r="B480" s="7"/>
      <c r="C480" s="7"/>
      <c r="D480" s="7"/>
      <c r="E480" s="7"/>
      <c r="F480" s="7"/>
    </row>
    <row r="481" ht="15.75" customHeight="1">
      <c r="A481" s="7"/>
      <c r="B481" s="7"/>
      <c r="C481" s="7"/>
      <c r="D481" s="7"/>
      <c r="E481" s="7"/>
      <c r="F481" s="7"/>
    </row>
    <row r="482" ht="15.75" customHeight="1">
      <c r="A482" s="7"/>
      <c r="B482" s="7"/>
      <c r="C482" s="7"/>
      <c r="D482" s="7"/>
      <c r="E482" s="7"/>
      <c r="F482" s="7"/>
    </row>
    <row r="483" ht="15.75" customHeight="1">
      <c r="A483" s="7"/>
      <c r="B483" s="7"/>
      <c r="C483" s="7"/>
      <c r="D483" s="7"/>
      <c r="E483" s="7"/>
      <c r="F483" s="7"/>
    </row>
    <row r="484" ht="15.75" customHeight="1">
      <c r="A484" s="7"/>
      <c r="B484" s="7"/>
      <c r="C484" s="7"/>
      <c r="D484" s="7"/>
      <c r="E484" s="7"/>
      <c r="F484" s="7"/>
    </row>
    <row r="485" ht="15.75" customHeight="1">
      <c r="A485" s="7"/>
      <c r="B485" s="7"/>
      <c r="C485" s="7"/>
      <c r="D485" s="7"/>
      <c r="E485" s="7"/>
      <c r="F485" s="7"/>
    </row>
    <row r="486" ht="15.75" customHeight="1">
      <c r="A486" s="7"/>
      <c r="B486" s="7"/>
      <c r="C486" s="7"/>
      <c r="D486" s="7"/>
      <c r="E486" s="7"/>
      <c r="F486" s="7"/>
    </row>
    <row r="487" ht="15.75" customHeight="1">
      <c r="A487" s="7"/>
      <c r="B487" s="7"/>
      <c r="C487" s="7"/>
      <c r="D487" s="7"/>
      <c r="E487" s="7"/>
      <c r="F487" s="7"/>
    </row>
    <row r="488" ht="15.75" customHeight="1">
      <c r="A488" s="7"/>
      <c r="B488" s="7"/>
      <c r="C488" s="7"/>
      <c r="D488" s="7"/>
      <c r="E488" s="7"/>
      <c r="F488" s="7"/>
    </row>
    <row r="489" ht="15.75" customHeight="1">
      <c r="A489" s="7"/>
      <c r="B489" s="7"/>
      <c r="C489" s="7"/>
      <c r="D489" s="7"/>
      <c r="E489" s="7"/>
      <c r="F489" s="7"/>
    </row>
    <row r="490" ht="15.75" customHeight="1">
      <c r="A490" s="7"/>
      <c r="B490" s="7"/>
      <c r="C490" s="7"/>
      <c r="D490" s="7"/>
      <c r="E490" s="7"/>
      <c r="F490" s="7"/>
    </row>
    <row r="491" ht="15.75" customHeight="1">
      <c r="A491" s="7"/>
      <c r="B491" s="7"/>
      <c r="C491" s="7"/>
      <c r="D491" s="7"/>
      <c r="E491" s="7"/>
      <c r="F491" s="7"/>
    </row>
    <row r="492" ht="15.75" customHeight="1">
      <c r="A492" s="7"/>
      <c r="B492" s="7"/>
      <c r="C492" s="7"/>
      <c r="D492" s="7"/>
      <c r="E492" s="7"/>
      <c r="F492" s="7"/>
    </row>
    <row r="493" ht="15.75" customHeight="1">
      <c r="A493" s="7"/>
      <c r="B493" s="7"/>
      <c r="C493" s="7"/>
      <c r="D493" s="7"/>
      <c r="E493" s="7"/>
      <c r="F493" s="7"/>
    </row>
    <row r="494" ht="15.75" customHeight="1">
      <c r="A494" s="7"/>
      <c r="B494" s="7"/>
      <c r="C494" s="7"/>
      <c r="D494" s="7"/>
      <c r="E494" s="7"/>
      <c r="F494" s="7"/>
    </row>
    <row r="495" ht="15.75" customHeight="1">
      <c r="A495" s="7"/>
      <c r="B495" s="7"/>
      <c r="C495" s="7"/>
      <c r="D495" s="7"/>
      <c r="E495" s="7"/>
      <c r="F495" s="7"/>
    </row>
    <row r="496" ht="15.75" customHeight="1">
      <c r="A496" s="7"/>
      <c r="B496" s="7"/>
      <c r="C496" s="7"/>
      <c r="D496" s="7"/>
      <c r="E496" s="7"/>
      <c r="F496" s="7"/>
    </row>
    <row r="497" ht="15.75" customHeight="1">
      <c r="A497" s="7"/>
      <c r="B497" s="7"/>
      <c r="C497" s="7"/>
      <c r="D497" s="7"/>
      <c r="E497" s="7"/>
      <c r="F497" s="7"/>
    </row>
    <row r="498" ht="15.75" customHeight="1">
      <c r="A498" s="7"/>
      <c r="B498" s="7"/>
      <c r="C498" s="7"/>
      <c r="D498" s="7"/>
      <c r="E498" s="7"/>
      <c r="F498" s="7"/>
    </row>
    <row r="499" ht="15.75" customHeight="1">
      <c r="A499" s="7"/>
      <c r="B499" s="7"/>
      <c r="C499" s="7"/>
      <c r="D499" s="7"/>
      <c r="E499" s="7"/>
      <c r="F499" s="7"/>
    </row>
    <row r="500" ht="15.75" customHeight="1">
      <c r="A500" s="7"/>
      <c r="B500" s="7"/>
      <c r="C500" s="7"/>
      <c r="D500" s="7"/>
      <c r="E500" s="7"/>
      <c r="F500" s="7"/>
    </row>
    <row r="501" ht="15.75" customHeight="1">
      <c r="A501" s="7"/>
      <c r="B501" s="7"/>
      <c r="C501" s="7"/>
      <c r="D501" s="7"/>
      <c r="E501" s="7"/>
      <c r="F501" s="7"/>
    </row>
    <row r="502" ht="15.75" customHeight="1">
      <c r="A502" s="7"/>
      <c r="B502" s="7"/>
      <c r="C502" s="7"/>
      <c r="D502" s="7"/>
      <c r="E502" s="7"/>
      <c r="F502" s="7"/>
    </row>
    <row r="503" ht="15.75" customHeight="1">
      <c r="A503" s="7"/>
      <c r="B503" s="7"/>
      <c r="C503" s="7"/>
      <c r="D503" s="7"/>
      <c r="E503" s="7"/>
      <c r="F503" s="7"/>
    </row>
    <row r="504" ht="15.75" customHeight="1">
      <c r="A504" s="7"/>
      <c r="B504" s="7"/>
      <c r="C504" s="7"/>
      <c r="D504" s="7"/>
      <c r="E504" s="7"/>
      <c r="F504" s="7"/>
    </row>
    <row r="505" ht="15.75" customHeight="1">
      <c r="A505" s="7"/>
      <c r="B505" s="7"/>
      <c r="C505" s="7"/>
      <c r="D505" s="7"/>
      <c r="E505" s="7"/>
      <c r="F505" s="7"/>
    </row>
    <row r="506" ht="15.75" customHeight="1">
      <c r="A506" s="7"/>
      <c r="B506" s="7"/>
      <c r="C506" s="7"/>
      <c r="D506" s="7"/>
      <c r="E506" s="7"/>
      <c r="F506" s="7"/>
    </row>
    <row r="507" ht="15.75" customHeight="1">
      <c r="A507" s="7"/>
      <c r="B507" s="7"/>
      <c r="C507" s="7"/>
      <c r="D507" s="7"/>
      <c r="E507" s="7"/>
      <c r="F507" s="7"/>
    </row>
    <row r="508" ht="15.75" customHeight="1">
      <c r="A508" s="7"/>
      <c r="B508" s="7"/>
      <c r="C508" s="7"/>
      <c r="D508" s="7"/>
      <c r="E508" s="7"/>
      <c r="F508" s="7"/>
    </row>
    <row r="509" ht="15.75" customHeight="1">
      <c r="A509" s="7"/>
      <c r="B509" s="7"/>
      <c r="C509" s="7"/>
      <c r="D509" s="7"/>
      <c r="E509" s="7"/>
      <c r="F509" s="7"/>
    </row>
    <row r="510" ht="15.75" customHeight="1">
      <c r="A510" s="7"/>
      <c r="B510" s="7"/>
      <c r="C510" s="7"/>
      <c r="D510" s="7"/>
      <c r="E510" s="7"/>
      <c r="F510" s="7"/>
    </row>
    <row r="511" ht="15.75" customHeight="1">
      <c r="A511" s="7"/>
      <c r="B511" s="7"/>
      <c r="C511" s="7"/>
      <c r="D511" s="7"/>
      <c r="E511" s="7"/>
      <c r="F511" s="7"/>
    </row>
    <row r="512" ht="15.75" customHeight="1">
      <c r="A512" s="7"/>
      <c r="B512" s="7"/>
      <c r="C512" s="7"/>
      <c r="D512" s="7"/>
      <c r="E512" s="7"/>
      <c r="F512" s="7"/>
    </row>
    <row r="513" ht="15.75" customHeight="1">
      <c r="A513" s="7"/>
      <c r="B513" s="7"/>
      <c r="C513" s="7"/>
      <c r="D513" s="7"/>
      <c r="E513" s="7"/>
      <c r="F513" s="7"/>
    </row>
    <row r="514" ht="15.75" customHeight="1">
      <c r="A514" s="7"/>
      <c r="B514" s="7"/>
      <c r="C514" s="7"/>
      <c r="D514" s="7"/>
      <c r="E514" s="7"/>
      <c r="F514" s="7"/>
    </row>
    <row r="515" ht="15.75" customHeight="1">
      <c r="A515" s="7"/>
      <c r="B515" s="7"/>
      <c r="C515" s="7"/>
      <c r="D515" s="7"/>
      <c r="E515" s="7"/>
      <c r="F515" s="7"/>
    </row>
    <row r="516" ht="15.75" customHeight="1">
      <c r="A516" s="7"/>
      <c r="B516" s="7"/>
      <c r="C516" s="7"/>
      <c r="D516" s="7"/>
      <c r="E516" s="7"/>
      <c r="F516" s="7"/>
    </row>
    <row r="517" ht="15.75" customHeight="1">
      <c r="A517" s="7"/>
      <c r="B517" s="7"/>
      <c r="C517" s="7"/>
      <c r="D517" s="7"/>
      <c r="E517" s="7"/>
      <c r="F517" s="7"/>
    </row>
    <row r="518" ht="15.75" customHeight="1">
      <c r="A518" s="7"/>
      <c r="B518" s="7"/>
      <c r="C518" s="7"/>
      <c r="D518" s="7"/>
      <c r="E518" s="7"/>
      <c r="F518" s="7"/>
    </row>
    <row r="519" ht="15.75" customHeight="1">
      <c r="A519" s="7"/>
      <c r="B519" s="7"/>
      <c r="C519" s="7"/>
      <c r="D519" s="7"/>
      <c r="E519" s="7"/>
      <c r="F519" s="7"/>
    </row>
    <row r="520" ht="15.75" customHeight="1">
      <c r="A520" s="7"/>
      <c r="B520" s="7"/>
      <c r="C520" s="7"/>
      <c r="D520" s="7"/>
      <c r="E520" s="7"/>
      <c r="F520" s="7"/>
    </row>
    <row r="521" ht="15.75" customHeight="1">
      <c r="A521" s="7"/>
      <c r="B521" s="7"/>
      <c r="C521" s="7"/>
      <c r="D521" s="7"/>
      <c r="E521" s="7"/>
      <c r="F521" s="7"/>
    </row>
    <row r="522" ht="15.75" customHeight="1">
      <c r="A522" s="7"/>
      <c r="B522" s="7"/>
      <c r="C522" s="7"/>
      <c r="D522" s="7"/>
      <c r="E522" s="7"/>
      <c r="F522" s="7"/>
    </row>
    <row r="523" ht="15.75" customHeight="1">
      <c r="A523" s="7"/>
      <c r="B523" s="7"/>
      <c r="C523" s="7"/>
      <c r="D523" s="7"/>
      <c r="E523" s="7"/>
      <c r="F523" s="7"/>
    </row>
    <row r="524" ht="15.75" customHeight="1">
      <c r="A524" s="7"/>
      <c r="B524" s="7"/>
      <c r="C524" s="7"/>
      <c r="D524" s="7"/>
      <c r="E524" s="7"/>
      <c r="F524" s="7"/>
    </row>
    <row r="525" ht="15.75" customHeight="1">
      <c r="A525" s="7"/>
      <c r="B525" s="7"/>
      <c r="C525" s="7"/>
      <c r="D525" s="7"/>
      <c r="E525" s="7"/>
      <c r="F525" s="7"/>
    </row>
    <row r="526" ht="15.75" customHeight="1">
      <c r="A526" s="7"/>
      <c r="B526" s="7"/>
      <c r="C526" s="7"/>
      <c r="D526" s="7"/>
      <c r="E526" s="7"/>
      <c r="F526" s="7"/>
    </row>
    <row r="527" ht="15.75" customHeight="1">
      <c r="A527" s="7"/>
      <c r="B527" s="7"/>
      <c r="C527" s="7"/>
      <c r="D527" s="7"/>
      <c r="E527" s="7"/>
      <c r="F527" s="7"/>
    </row>
    <row r="528" ht="15.75" customHeight="1">
      <c r="A528" s="7"/>
      <c r="B528" s="7"/>
      <c r="C528" s="7"/>
      <c r="D528" s="7"/>
      <c r="E528" s="7"/>
      <c r="F528" s="7"/>
    </row>
    <row r="529" ht="15.75" customHeight="1">
      <c r="A529" s="7"/>
      <c r="B529" s="7"/>
      <c r="C529" s="7"/>
      <c r="D529" s="7"/>
      <c r="E529" s="7"/>
      <c r="F529" s="7"/>
    </row>
    <row r="530" ht="15.75" customHeight="1">
      <c r="A530" s="7"/>
      <c r="B530" s="7"/>
      <c r="C530" s="7"/>
      <c r="D530" s="7"/>
      <c r="E530" s="7"/>
      <c r="F530" s="7"/>
    </row>
    <row r="531" ht="15.75" customHeight="1">
      <c r="A531" s="7"/>
      <c r="B531" s="7"/>
      <c r="C531" s="7"/>
      <c r="D531" s="7"/>
      <c r="E531" s="7"/>
      <c r="F531" s="7"/>
    </row>
    <row r="532" ht="15.75" customHeight="1">
      <c r="A532" s="7"/>
      <c r="B532" s="7"/>
      <c r="C532" s="7"/>
      <c r="D532" s="7"/>
      <c r="E532" s="7"/>
      <c r="F532" s="7"/>
    </row>
    <row r="533" ht="15.75" customHeight="1">
      <c r="A533" s="7"/>
      <c r="B533" s="7"/>
      <c r="C533" s="7"/>
      <c r="D533" s="7"/>
      <c r="E533" s="7"/>
      <c r="F533" s="7"/>
    </row>
    <row r="534" ht="15.75" customHeight="1">
      <c r="A534" s="7"/>
      <c r="B534" s="7"/>
      <c r="C534" s="7"/>
      <c r="D534" s="7"/>
      <c r="E534" s="7"/>
      <c r="F534" s="7"/>
    </row>
    <row r="535" ht="15.75" customHeight="1">
      <c r="A535" s="7"/>
      <c r="B535" s="7"/>
      <c r="C535" s="7"/>
      <c r="D535" s="7"/>
      <c r="E535" s="7"/>
      <c r="F535" s="7"/>
    </row>
    <row r="536" ht="15.75" customHeight="1">
      <c r="A536" s="7"/>
      <c r="B536" s="7"/>
      <c r="C536" s="7"/>
      <c r="D536" s="7"/>
      <c r="E536" s="7"/>
      <c r="F536" s="7"/>
    </row>
    <row r="537" ht="15.75" customHeight="1">
      <c r="A537" s="7"/>
      <c r="B537" s="7"/>
      <c r="C537" s="7"/>
      <c r="D537" s="7"/>
      <c r="E537" s="7"/>
      <c r="F537" s="7"/>
    </row>
    <row r="538" ht="15.75" customHeight="1">
      <c r="A538" s="7"/>
      <c r="B538" s="7"/>
      <c r="C538" s="7"/>
      <c r="D538" s="7"/>
      <c r="E538" s="7"/>
      <c r="F538" s="7"/>
    </row>
    <row r="539" ht="15.75" customHeight="1">
      <c r="A539" s="7"/>
      <c r="B539" s="7"/>
      <c r="C539" s="7"/>
      <c r="D539" s="7"/>
      <c r="E539" s="7"/>
      <c r="F539" s="7"/>
    </row>
    <row r="540" ht="15.75" customHeight="1">
      <c r="A540" s="7"/>
      <c r="B540" s="7"/>
      <c r="C540" s="7"/>
      <c r="D540" s="7"/>
      <c r="E540" s="7"/>
      <c r="F540" s="7"/>
    </row>
    <row r="541" ht="15.75" customHeight="1">
      <c r="A541" s="7"/>
      <c r="B541" s="7"/>
      <c r="C541" s="7"/>
      <c r="D541" s="7"/>
      <c r="E541" s="7"/>
      <c r="F541" s="7"/>
    </row>
    <row r="542" ht="15.75" customHeight="1">
      <c r="A542" s="7"/>
      <c r="B542" s="7"/>
      <c r="C542" s="7"/>
      <c r="D542" s="7"/>
      <c r="E542" s="7"/>
      <c r="F542" s="7"/>
    </row>
    <row r="543" ht="15.75" customHeight="1">
      <c r="A543" s="7"/>
      <c r="B543" s="7"/>
      <c r="C543" s="7"/>
      <c r="D543" s="7"/>
      <c r="E543" s="7"/>
      <c r="F543" s="7"/>
    </row>
    <row r="544" ht="15.75" customHeight="1">
      <c r="A544" s="7"/>
      <c r="B544" s="7"/>
      <c r="C544" s="7"/>
      <c r="D544" s="7"/>
      <c r="E544" s="7"/>
      <c r="F544" s="7"/>
    </row>
    <row r="545" ht="15.75" customHeight="1">
      <c r="A545" s="7"/>
      <c r="B545" s="7"/>
      <c r="C545" s="7"/>
      <c r="D545" s="7"/>
      <c r="E545" s="7"/>
      <c r="F545" s="7"/>
    </row>
    <row r="546" ht="15.75" customHeight="1">
      <c r="A546" s="7"/>
      <c r="B546" s="7"/>
      <c r="C546" s="7"/>
      <c r="D546" s="7"/>
      <c r="E546" s="7"/>
      <c r="F546" s="7"/>
    </row>
    <row r="547" ht="15.75" customHeight="1">
      <c r="A547" s="7"/>
      <c r="B547" s="7"/>
      <c r="C547" s="7"/>
      <c r="D547" s="7"/>
      <c r="E547" s="7"/>
      <c r="F547" s="7"/>
    </row>
    <row r="548" ht="15.75" customHeight="1">
      <c r="A548" s="7"/>
      <c r="B548" s="7"/>
      <c r="C548" s="7"/>
      <c r="D548" s="7"/>
      <c r="E548" s="7"/>
      <c r="F548" s="7"/>
    </row>
    <row r="549" ht="15.75" customHeight="1">
      <c r="A549" s="7"/>
      <c r="B549" s="7"/>
      <c r="C549" s="7"/>
      <c r="D549" s="7"/>
      <c r="E549" s="7"/>
      <c r="F549" s="7"/>
    </row>
    <row r="550" ht="15.75" customHeight="1">
      <c r="A550" s="7"/>
      <c r="B550" s="7"/>
      <c r="C550" s="7"/>
      <c r="D550" s="7"/>
      <c r="E550" s="7"/>
      <c r="F550" s="7"/>
    </row>
    <row r="551" ht="15.75" customHeight="1">
      <c r="A551" s="7"/>
      <c r="B551" s="7"/>
      <c r="C551" s="7"/>
      <c r="D551" s="7"/>
      <c r="E551" s="7"/>
      <c r="F551" s="7"/>
    </row>
    <row r="552" ht="15.75" customHeight="1">
      <c r="A552" s="7"/>
      <c r="B552" s="7"/>
      <c r="C552" s="7"/>
      <c r="D552" s="7"/>
      <c r="E552" s="7"/>
      <c r="F552" s="7"/>
    </row>
    <row r="553" ht="15.75" customHeight="1">
      <c r="A553" s="7"/>
      <c r="B553" s="7"/>
      <c r="C553" s="7"/>
      <c r="D553" s="7"/>
      <c r="E553" s="7"/>
      <c r="F553" s="7"/>
    </row>
    <row r="554" ht="15.75" customHeight="1">
      <c r="A554" s="7"/>
      <c r="B554" s="7"/>
      <c r="C554" s="7"/>
      <c r="D554" s="7"/>
      <c r="E554" s="7"/>
      <c r="F554" s="7"/>
    </row>
    <row r="555" ht="15.75" customHeight="1">
      <c r="A555" s="7"/>
      <c r="B555" s="7"/>
      <c r="C555" s="7"/>
      <c r="D555" s="7"/>
      <c r="E555" s="7"/>
      <c r="F555" s="7"/>
    </row>
    <row r="556" ht="15.75" customHeight="1">
      <c r="A556" s="7"/>
      <c r="B556" s="7"/>
      <c r="C556" s="7"/>
      <c r="D556" s="7"/>
      <c r="E556" s="7"/>
      <c r="F556" s="7"/>
    </row>
    <row r="557" ht="15.75" customHeight="1">
      <c r="A557" s="7"/>
      <c r="B557" s="7"/>
      <c r="C557" s="7"/>
      <c r="D557" s="7"/>
      <c r="E557" s="7"/>
      <c r="F557" s="7"/>
    </row>
    <row r="558" ht="15.75" customHeight="1">
      <c r="A558" s="7"/>
      <c r="B558" s="7"/>
      <c r="C558" s="7"/>
      <c r="D558" s="7"/>
      <c r="E558" s="7"/>
      <c r="F558" s="7"/>
    </row>
    <row r="559" ht="15.75" customHeight="1">
      <c r="A559" s="7"/>
      <c r="B559" s="7"/>
      <c r="C559" s="7"/>
      <c r="D559" s="7"/>
      <c r="E559" s="7"/>
      <c r="F559" s="7"/>
    </row>
    <row r="560" ht="15.75" customHeight="1">
      <c r="A560" s="7"/>
      <c r="B560" s="7"/>
      <c r="C560" s="7"/>
      <c r="D560" s="7"/>
      <c r="E560" s="7"/>
      <c r="F560" s="7"/>
    </row>
    <row r="561" ht="15.75" customHeight="1">
      <c r="A561" s="7"/>
      <c r="B561" s="7"/>
      <c r="C561" s="7"/>
      <c r="D561" s="7"/>
      <c r="E561" s="7"/>
      <c r="F561" s="7"/>
    </row>
    <row r="562" ht="15.75" customHeight="1">
      <c r="A562" s="7"/>
      <c r="B562" s="7"/>
      <c r="C562" s="7"/>
      <c r="D562" s="7"/>
      <c r="E562" s="7"/>
      <c r="F562" s="7"/>
    </row>
    <row r="563" ht="15.75" customHeight="1">
      <c r="A563" s="7"/>
      <c r="B563" s="7"/>
      <c r="C563" s="7"/>
      <c r="D563" s="7"/>
      <c r="E563" s="7"/>
      <c r="F563" s="7"/>
    </row>
    <row r="564" ht="15.75" customHeight="1">
      <c r="A564" s="7"/>
      <c r="B564" s="7"/>
      <c r="C564" s="7"/>
      <c r="D564" s="7"/>
      <c r="E564" s="7"/>
      <c r="F564" s="7"/>
    </row>
    <row r="565" ht="15.75" customHeight="1">
      <c r="A565" s="7"/>
      <c r="B565" s="7"/>
      <c r="C565" s="7"/>
      <c r="D565" s="7"/>
      <c r="E565" s="7"/>
      <c r="F565" s="7"/>
    </row>
    <row r="566" ht="15.75" customHeight="1">
      <c r="A566" s="7"/>
      <c r="B566" s="7"/>
      <c r="C566" s="7"/>
      <c r="D566" s="7"/>
      <c r="E566" s="7"/>
      <c r="F566" s="7"/>
    </row>
    <row r="567" ht="15.75" customHeight="1">
      <c r="A567" s="7"/>
      <c r="B567" s="7"/>
      <c r="C567" s="7"/>
      <c r="D567" s="7"/>
      <c r="E567" s="7"/>
      <c r="F567" s="7"/>
    </row>
    <row r="568" ht="15.75" customHeight="1">
      <c r="A568" s="7"/>
      <c r="B568" s="7"/>
      <c r="C568" s="7"/>
      <c r="D568" s="7"/>
      <c r="E568" s="7"/>
      <c r="F568" s="7"/>
    </row>
    <row r="569" ht="15.75" customHeight="1">
      <c r="A569" s="7"/>
      <c r="B569" s="7"/>
      <c r="C569" s="7"/>
      <c r="D569" s="7"/>
      <c r="E569" s="7"/>
      <c r="F569" s="7"/>
    </row>
    <row r="570" ht="15.75" customHeight="1">
      <c r="A570" s="7"/>
      <c r="B570" s="7"/>
      <c r="C570" s="7"/>
      <c r="D570" s="7"/>
      <c r="E570" s="7"/>
      <c r="F570" s="7"/>
    </row>
    <row r="571" ht="15.75" customHeight="1">
      <c r="A571" s="7"/>
      <c r="B571" s="7"/>
      <c r="C571" s="7"/>
      <c r="D571" s="7"/>
      <c r="E571" s="7"/>
      <c r="F571" s="7"/>
    </row>
    <row r="572" ht="15.75" customHeight="1">
      <c r="A572" s="7"/>
      <c r="B572" s="7"/>
      <c r="C572" s="7"/>
      <c r="D572" s="7"/>
      <c r="E572" s="7"/>
      <c r="F572" s="7"/>
    </row>
    <row r="573" ht="15.75" customHeight="1">
      <c r="A573" s="7"/>
      <c r="B573" s="7"/>
      <c r="C573" s="7"/>
      <c r="D573" s="7"/>
      <c r="E573" s="7"/>
      <c r="F573" s="7"/>
    </row>
    <row r="574" ht="15.75" customHeight="1">
      <c r="A574" s="7"/>
      <c r="B574" s="7"/>
      <c r="C574" s="7"/>
      <c r="D574" s="7"/>
      <c r="E574" s="7"/>
      <c r="F574" s="7"/>
    </row>
    <row r="575" ht="15.75" customHeight="1">
      <c r="A575" s="7"/>
      <c r="B575" s="7"/>
      <c r="C575" s="7"/>
      <c r="D575" s="7"/>
      <c r="E575" s="7"/>
      <c r="F575" s="7"/>
    </row>
    <row r="576" ht="15.75" customHeight="1">
      <c r="A576" s="7"/>
      <c r="B576" s="7"/>
      <c r="C576" s="7"/>
      <c r="D576" s="7"/>
      <c r="E576" s="7"/>
      <c r="F576" s="7"/>
    </row>
    <row r="577" ht="15.75" customHeight="1">
      <c r="A577" s="7"/>
      <c r="B577" s="7"/>
      <c r="C577" s="7"/>
      <c r="D577" s="7"/>
      <c r="E577" s="7"/>
      <c r="F577" s="7"/>
    </row>
    <row r="578" ht="15.75" customHeight="1">
      <c r="A578" s="7"/>
      <c r="B578" s="7"/>
      <c r="C578" s="7"/>
      <c r="D578" s="7"/>
      <c r="E578" s="7"/>
      <c r="F578" s="7"/>
    </row>
    <row r="579" ht="15.75" customHeight="1">
      <c r="A579" s="7"/>
      <c r="B579" s="7"/>
      <c r="C579" s="7"/>
      <c r="D579" s="7"/>
      <c r="E579" s="7"/>
      <c r="F579" s="7"/>
    </row>
    <row r="580" ht="15.75" customHeight="1">
      <c r="A580" s="7"/>
      <c r="B580" s="7"/>
      <c r="C580" s="7"/>
      <c r="D580" s="7"/>
      <c r="E580" s="7"/>
      <c r="F580" s="7"/>
    </row>
    <row r="581" ht="15.75" customHeight="1">
      <c r="A581" s="7"/>
      <c r="B581" s="7"/>
      <c r="C581" s="7"/>
      <c r="D581" s="7"/>
      <c r="E581" s="7"/>
      <c r="F581" s="7"/>
    </row>
    <row r="582" ht="15.75" customHeight="1">
      <c r="A582" s="7"/>
      <c r="B582" s="7"/>
      <c r="C582" s="7"/>
      <c r="D582" s="7"/>
      <c r="E582" s="7"/>
      <c r="F582" s="7"/>
    </row>
    <row r="583" ht="15.75" customHeight="1">
      <c r="A583" s="7"/>
      <c r="B583" s="7"/>
      <c r="C583" s="7"/>
      <c r="D583" s="7"/>
      <c r="E583" s="7"/>
      <c r="F583" s="7"/>
    </row>
    <row r="584" ht="15.75" customHeight="1">
      <c r="A584" s="7"/>
      <c r="B584" s="7"/>
      <c r="C584" s="7"/>
      <c r="D584" s="7"/>
      <c r="E584" s="7"/>
      <c r="F584" s="7"/>
    </row>
    <row r="585" ht="15.75" customHeight="1">
      <c r="A585" s="7"/>
      <c r="B585" s="7"/>
      <c r="C585" s="7"/>
      <c r="D585" s="7"/>
      <c r="E585" s="7"/>
      <c r="F585" s="7"/>
    </row>
    <row r="586" ht="15.75" customHeight="1">
      <c r="A586" s="7"/>
      <c r="B586" s="7"/>
      <c r="C586" s="7"/>
      <c r="D586" s="7"/>
      <c r="E586" s="7"/>
      <c r="F586" s="7"/>
    </row>
    <row r="587" ht="15.75" customHeight="1">
      <c r="A587" s="7"/>
      <c r="B587" s="7"/>
      <c r="C587" s="7"/>
      <c r="D587" s="7"/>
      <c r="E587" s="7"/>
      <c r="F587" s="7"/>
    </row>
    <row r="588" ht="15.75" customHeight="1">
      <c r="A588" s="7"/>
      <c r="B588" s="7"/>
      <c r="C588" s="7"/>
      <c r="D588" s="7"/>
      <c r="E588" s="7"/>
      <c r="F588" s="7"/>
    </row>
    <row r="589" ht="15.75" customHeight="1">
      <c r="A589" s="7"/>
      <c r="B589" s="7"/>
      <c r="C589" s="7"/>
      <c r="D589" s="7"/>
      <c r="E589" s="7"/>
      <c r="F589" s="7"/>
    </row>
    <row r="590" ht="15.75" customHeight="1">
      <c r="A590" s="7"/>
      <c r="B590" s="7"/>
      <c r="C590" s="7"/>
      <c r="D590" s="7"/>
      <c r="E590" s="7"/>
      <c r="F590" s="7"/>
    </row>
    <row r="591" ht="15.75" customHeight="1">
      <c r="A591" s="7"/>
      <c r="B591" s="7"/>
      <c r="C591" s="7"/>
      <c r="D591" s="7"/>
      <c r="E591" s="7"/>
      <c r="F591" s="7"/>
    </row>
    <row r="592" ht="15.75" customHeight="1">
      <c r="A592" s="7"/>
      <c r="B592" s="7"/>
      <c r="C592" s="7"/>
      <c r="D592" s="7"/>
      <c r="E592" s="7"/>
      <c r="F592" s="7"/>
    </row>
    <row r="593" ht="15.75" customHeight="1">
      <c r="A593" s="7"/>
      <c r="B593" s="7"/>
      <c r="C593" s="7"/>
      <c r="D593" s="7"/>
      <c r="E593" s="7"/>
      <c r="F593" s="7"/>
    </row>
    <row r="594" ht="15.75" customHeight="1">
      <c r="A594" s="7"/>
      <c r="B594" s="7"/>
      <c r="C594" s="7"/>
      <c r="D594" s="7"/>
      <c r="E594" s="7"/>
      <c r="F594" s="7"/>
    </row>
    <row r="595" ht="15.75" customHeight="1">
      <c r="A595" s="7"/>
      <c r="B595" s="7"/>
      <c r="C595" s="7"/>
      <c r="D595" s="7"/>
      <c r="E595" s="7"/>
      <c r="F595" s="7"/>
    </row>
    <row r="596" ht="15.75" customHeight="1">
      <c r="A596" s="7"/>
      <c r="B596" s="7"/>
      <c r="C596" s="7"/>
      <c r="D596" s="7"/>
      <c r="E596" s="7"/>
      <c r="F596" s="7"/>
    </row>
    <row r="597" ht="15.75" customHeight="1">
      <c r="A597" s="7"/>
      <c r="B597" s="7"/>
      <c r="C597" s="7"/>
      <c r="D597" s="7"/>
      <c r="E597" s="7"/>
      <c r="F597" s="7"/>
    </row>
    <row r="598" ht="15.75" customHeight="1">
      <c r="A598" s="7"/>
      <c r="B598" s="7"/>
      <c r="C598" s="7"/>
      <c r="D598" s="7"/>
      <c r="E598" s="7"/>
      <c r="F598" s="7"/>
    </row>
    <row r="599" ht="15.75" customHeight="1">
      <c r="A599" s="7"/>
      <c r="B599" s="7"/>
      <c r="C599" s="7"/>
      <c r="D599" s="7"/>
      <c r="E599" s="7"/>
      <c r="F599" s="7"/>
    </row>
    <row r="600" ht="15.75" customHeight="1">
      <c r="A600" s="7"/>
      <c r="B600" s="7"/>
      <c r="C600" s="7"/>
      <c r="D600" s="7"/>
      <c r="E600" s="7"/>
      <c r="F600" s="7"/>
    </row>
    <row r="601" ht="15.75" customHeight="1">
      <c r="A601" s="7"/>
      <c r="B601" s="7"/>
      <c r="C601" s="7"/>
      <c r="D601" s="7"/>
      <c r="E601" s="7"/>
      <c r="F601" s="7"/>
    </row>
    <row r="602" ht="15.75" customHeight="1">
      <c r="A602" s="7"/>
      <c r="B602" s="7"/>
      <c r="C602" s="7"/>
      <c r="D602" s="7"/>
      <c r="E602" s="7"/>
      <c r="F602" s="7"/>
    </row>
    <row r="603" ht="15.75" customHeight="1">
      <c r="A603" s="7"/>
      <c r="B603" s="7"/>
      <c r="C603" s="7"/>
      <c r="D603" s="7"/>
      <c r="E603" s="7"/>
      <c r="F603" s="7"/>
    </row>
    <row r="604" ht="15.75" customHeight="1">
      <c r="A604" s="7"/>
      <c r="B604" s="7"/>
      <c r="C604" s="7"/>
      <c r="D604" s="7"/>
      <c r="E604" s="7"/>
      <c r="F604" s="7"/>
    </row>
    <row r="605" ht="15.75" customHeight="1">
      <c r="A605" s="7"/>
      <c r="B605" s="7"/>
      <c r="C605" s="7"/>
      <c r="D605" s="7"/>
      <c r="E605" s="7"/>
      <c r="F605" s="7"/>
    </row>
    <row r="606" ht="15.75" customHeight="1">
      <c r="A606" s="7"/>
      <c r="B606" s="7"/>
      <c r="C606" s="7"/>
      <c r="D606" s="7"/>
      <c r="E606" s="7"/>
      <c r="F606" s="7"/>
    </row>
    <row r="607" ht="15.75" customHeight="1">
      <c r="A607" s="7"/>
      <c r="B607" s="7"/>
      <c r="C607" s="7"/>
      <c r="D607" s="7"/>
      <c r="E607" s="7"/>
      <c r="F607" s="7"/>
    </row>
    <row r="608" ht="15.75" customHeight="1">
      <c r="A608" s="7"/>
      <c r="B608" s="7"/>
      <c r="C608" s="7"/>
      <c r="D608" s="7"/>
      <c r="E608" s="7"/>
      <c r="F608" s="7"/>
    </row>
    <row r="609" ht="15.75" customHeight="1">
      <c r="A609" s="7"/>
      <c r="B609" s="7"/>
      <c r="C609" s="7"/>
      <c r="D609" s="7"/>
      <c r="E609" s="7"/>
      <c r="F609" s="7"/>
    </row>
    <row r="610" ht="15.75" customHeight="1">
      <c r="A610" s="7"/>
      <c r="B610" s="7"/>
      <c r="C610" s="7"/>
      <c r="D610" s="7"/>
      <c r="E610" s="7"/>
      <c r="F610" s="7"/>
    </row>
    <row r="611" ht="15.75" customHeight="1">
      <c r="A611" s="7"/>
      <c r="B611" s="7"/>
      <c r="C611" s="7"/>
      <c r="D611" s="7"/>
      <c r="E611" s="7"/>
      <c r="F611" s="7"/>
    </row>
    <row r="612" ht="15.75" customHeight="1">
      <c r="A612" s="7"/>
      <c r="B612" s="7"/>
      <c r="C612" s="7"/>
      <c r="D612" s="7"/>
      <c r="E612" s="7"/>
      <c r="F612" s="7"/>
    </row>
    <row r="613" ht="15.75" customHeight="1">
      <c r="A613" s="7"/>
      <c r="B613" s="7"/>
      <c r="C613" s="7"/>
      <c r="D613" s="7"/>
      <c r="E613" s="7"/>
      <c r="F613" s="7"/>
    </row>
    <row r="614" ht="15.75" customHeight="1">
      <c r="A614" s="7"/>
      <c r="B614" s="7"/>
      <c r="C614" s="7"/>
      <c r="D614" s="7"/>
      <c r="E614" s="7"/>
      <c r="F614" s="7"/>
    </row>
    <row r="615" ht="15.75" customHeight="1">
      <c r="A615" s="7"/>
      <c r="B615" s="7"/>
      <c r="C615" s="7"/>
      <c r="D615" s="7"/>
      <c r="E615" s="7"/>
      <c r="F615" s="7"/>
    </row>
    <row r="616" ht="15.75" customHeight="1">
      <c r="A616" s="7"/>
      <c r="B616" s="7"/>
      <c r="C616" s="7"/>
      <c r="D616" s="7"/>
      <c r="E616" s="7"/>
      <c r="F616" s="7"/>
    </row>
    <row r="617" ht="15.75" customHeight="1">
      <c r="A617" s="7"/>
      <c r="B617" s="7"/>
      <c r="C617" s="7"/>
      <c r="D617" s="7"/>
      <c r="E617" s="7"/>
      <c r="F617" s="7"/>
    </row>
    <row r="618" ht="15.75" customHeight="1">
      <c r="A618" s="7"/>
      <c r="B618" s="7"/>
      <c r="C618" s="7"/>
      <c r="D618" s="7"/>
      <c r="E618" s="7"/>
      <c r="F618" s="7"/>
    </row>
    <row r="619" ht="15.75" customHeight="1">
      <c r="A619" s="7"/>
      <c r="B619" s="7"/>
      <c r="C619" s="7"/>
      <c r="D619" s="7"/>
      <c r="E619" s="7"/>
      <c r="F619" s="7"/>
    </row>
    <row r="620" ht="15.75" customHeight="1">
      <c r="A620" s="7"/>
      <c r="B620" s="7"/>
      <c r="C620" s="7"/>
      <c r="D620" s="7"/>
      <c r="E620" s="7"/>
      <c r="F620" s="7"/>
    </row>
    <row r="621" ht="15.75" customHeight="1">
      <c r="A621" s="7"/>
      <c r="B621" s="7"/>
      <c r="C621" s="7"/>
      <c r="D621" s="7"/>
      <c r="E621" s="7"/>
      <c r="F621" s="7"/>
    </row>
    <row r="622" ht="15.75" customHeight="1">
      <c r="A622" s="7"/>
      <c r="B622" s="7"/>
      <c r="C622" s="7"/>
      <c r="D622" s="7"/>
      <c r="E622" s="7"/>
      <c r="F622" s="7"/>
    </row>
    <row r="623" ht="15.75" customHeight="1">
      <c r="A623" s="7"/>
      <c r="B623" s="7"/>
      <c r="C623" s="7"/>
      <c r="D623" s="7"/>
      <c r="E623" s="7"/>
      <c r="F623" s="7"/>
    </row>
    <row r="624" ht="15.75" customHeight="1">
      <c r="A624" s="7"/>
      <c r="B624" s="7"/>
      <c r="C624" s="7"/>
      <c r="D624" s="7"/>
      <c r="E624" s="7"/>
      <c r="F624" s="7"/>
    </row>
    <row r="625" ht="15.75" customHeight="1">
      <c r="A625" s="7"/>
      <c r="B625" s="7"/>
      <c r="C625" s="7"/>
      <c r="D625" s="7"/>
      <c r="E625" s="7"/>
      <c r="F625" s="7"/>
    </row>
    <row r="626" ht="15.75" customHeight="1">
      <c r="A626" s="7"/>
      <c r="B626" s="7"/>
      <c r="C626" s="7"/>
      <c r="D626" s="7"/>
      <c r="E626" s="7"/>
      <c r="F626" s="7"/>
    </row>
    <row r="627" ht="15.75" customHeight="1">
      <c r="A627" s="7"/>
      <c r="B627" s="7"/>
      <c r="C627" s="7"/>
      <c r="D627" s="7"/>
      <c r="E627" s="7"/>
      <c r="F627" s="7"/>
    </row>
    <row r="628" ht="15.75" customHeight="1">
      <c r="A628" s="7"/>
      <c r="B628" s="7"/>
      <c r="C628" s="7"/>
      <c r="D628" s="7"/>
      <c r="E628" s="7"/>
      <c r="F628" s="7"/>
    </row>
    <row r="629" ht="15.75" customHeight="1">
      <c r="A629" s="7"/>
      <c r="B629" s="7"/>
      <c r="C629" s="7"/>
      <c r="D629" s="7"/>
      <c r="E629" s="7"/>
      <c r="F629" s="7"/>
    </row>
    <row r="630" ht="15.75" customHeight="1">
      <c r="A630" s="7"/>
      <c r="B630" s="7"/>
      <c r="C630" s="7"/>
      <c r="D630" s="7"/>
      <c r="E630" s="7"/>
      <c r="F630" s="7"/>
    </row>
    <row r="631" ht="15.75" customHeight="1">
      <c r="A631" s="7"/>
      <c r="B631" s="7"/>
      <c r="C631" s="7"/>
      <c r="D631" s="7"/>
      <c r="E631" s="7"/>
      <c r="F631" s="7"/>
    </row>
    <row r="632" ht="15.75" customHeight="1">
      <c r="A632" s="7"/>
      <c r="B632" s="7"/>
      <c r="C632" s="7"/>
      <c r="D632" s="7"/>
      <c r="E632" s="7"/>
      <c r="F632" s="7"/>
    </row>
    <row r="633" ht="15.75" customHeight="1">
      <c r="A633" s="7"/>
      <c r="B633" s="7"/>
      <c r="C633" s="7"/>
      <c r="D633" s="7"/>
      <c r="E633" s="7"/>
      <c r="F633" s="7"/>
    </row>
    <row r="634" ht="15.75" customHeight="1">
      <c r="A634" s="7"/>
      <c r="B634" s="7"/>
      <c r="C634" s="7"/>
      <c r="D634" s="7"/>
      <c r="E634" s="7"/>
      <c r="F634" s="7"/>
    </row>
    <row r="635" ht="15.75" customHeight="1">
      <c r="A635" s="7"/>
      <c r="B635" s="7"/>
      <c r="C635" s="7"/>
      <c r="D635" s="7"/>
      <c r="E635" s="7"/>
      <c r="F635" s="7"/>
    </row>
    <row r="636" ht="15.75" customHeight="1">
      <c r="A636" s="7"/>
      <c r="B636" s="7"/>
      <c r="C636" s="7"/>
      <c r="D636" s="7"/>
      <c r="E636" s="7"/>
      <c r="F636" s="7"/>
    </row>
    <row r="637" ht="15.75" customHeight="1">
      <c r="A637" s="7"/>
      <c r="B637" s="7"/>
      <c r="C637" s="7"/>
      <c r="D637" s="7"/>
      <c r="E637" s="7"/>
      <c r="F637" s="7"/>
    </row>
    <row r="638" ht="15.75" customHeight="1">
      <c r="A638" s="7"/>
      <c r="B638" s="7"/>
      <c r="C638" s="7"/>
      <c r="D638" s="7"/>
      <c r="E638" s="7"/>
      <c r="F638" s="7"/>
    </row>
    <row r="639" ht="15.75" customHeight="1">
      <c r="A639" s="7"/>
      <c r="B639" s="7"/>
      <c r="C639" s="7"/>
      <c r="D639" s="7"/>
      <c r="E639" s="7"/>
      <c r="F639" s="7"/>
    </row>
    <row r="640" ht="15.75" customHeight="1">
      <c r="A640" s="7"/>
      <c r="B640" s="7"/>
      <c r="C640" s="7"/>
      <c r="D640" s="7"/>
      <c r="E640" s="7"/>
      <c r="F640" s="7"/>
    </row>
    <row r="641" ht="15.75" customHeight="1">
      <c r="A641" s="7"/>
      <c r="B641" s="7"/>
      <c r="C641" s="7"/>
      <c r="D641" s="7"/>
      <c r="E641" s="7"/>
      <c r="F641" s="7"/>
    </row>
    <row r="642" ht="15.75" customHeight="1">
      <c r="A642" s="7"/>
      <c r="B642" s="7"/>
      <c r="C642" s="7"/>
      <c r="D642" s="7"/>
      <c r="E642" s="7"/>
      <c r="F642" s="7"/>
    </row>
    <row r="643" ht="15.75" customHeight="1">
      <c r="A643" s="7"/>
      <c r="B643" s="7"/>
      <c r="C643" s="7"/>
      <c r="D643" s="7"/>
      <c r="E643" s="7"/>
      <c r="F643" s="7"/>
    </row>
    <row r="644" ht="15.75" customHeight="1">
      <c r="A644" s="7"/>
      <c r="B644" s="7"/>
      <c r="C644" s="7"/>
      <c r="D644" s="7"/>
      <c r="E644" s="7"/>
      <c r="F644" s="7"/>
    </row>
    <row r="645" ht="15.75" customHeight="1">
      <c r="A645" s="7"/>
      <c r="B645" s="7"/>
      <c r="C645" s="7"/>
      <c r="D645" s="7"/>
      <c r="E645" s="7"/>
      <c r="F645" s="7"/>
    </row>
    <row r="646" ht="15.75" customHeight="1">
      <c r="A646" s="7"/>
      <c r="B646" s="7"/>
      <c r="C646" s="7"/>
      <c r="D646" s="7"/>
      <c r="E646" s="7"/>
      <c r="F646" s="7"/>
    </row>
    <row r="647" ht="15.75" customHeight="1">
      <c r="A647" s="7"/>
      <c r="B647" s="7"/>
      <c r="C647" s="7"/>
      <c r="D647" s="7"/>
      <c r="E647" s="7"/>
      <c r="F647" s="7"/>
    </row>
    <row r="648" ht="15.75" customHeight="1">
      <c r="A648" s="7"/>
      <c r="B648" s="7"/>
      <c r="C648" s="7"/>
      <c r="D648" s="7"/>
      <c r="E648" s="7"/>
      <c r="F648" s="7"/>
    </row>
    <row r="649" ht="15.75" customHeight="1">
      <c r="A649" s="7"/>
      <c r="B649" s="7"/>
      <c r="C649" s="7"/>
      <c r="D649" s="7"/>
      <c r="E649" s="7"/>
      <c r="F649" s="7"/>
    </row>
    <row r="650" ht="15.75" customHeight="1">
      <c r="A650" s="7"/>
      <c r="B650" s="7"/>
      <c r="C650" s="7"/>
      <c r="D650" s="7"/>
      <c r="E650" s="7"/>
      <c r="F650" s="7"/>
    </row>
    <row r="651" ht="15.75" customHeight="1">
      <c r="A651" s="7"/>
      <c r="B651" s="7"/>
      <c r="C651" s="7"/>
      <c r="D651" s="7"/>
      <c r="E651" s="7"/>
      <c r="F651" s="7"/>
    </row>
    <row r="652" ht="15.75" customHeight="1">
      <c r="A652" s="7"/>
      <c r="B652" s="7"/>
      <c r="C652" s="7"/>
      <c r="D652" s="7"/>
      <c r="E652" s="7"/>
      <c r="F652" s="7"/>
    </row>
    <row r="653" ht="15.75" customHeight="1">
      <c r="A653" s="7"/>
      <c r="B653" s="7"/>
      <c r="C653" s="7"/>
      <c r="D653" s="7"/>
      <c r="E653" s="7"/>
      <c r="F653" s="7"/>
    </row>
    <row r="654" ht="15.75" customHeight="1">
      <c r="A654" s="7"/>
      <c r="B654" s="7"/>
      <c r="C654" s="7"/>
      <c r="D654" s="7"/>
      <c r="E654" s="7"/>
      <c r="F654" s="7"/>
    </row>
    <row r="655" ht="15.75" customHeight="1">
      <c r="A655" s="7"/>
      <c r="B655" s="7"/>
      <c r="C655" s="7"/>
      <c r="D655" s="7"/>
      <c r="E655" s="7"/>
      <c r="F655" s="7"/>
    </row>
    <row r="656" ht="15.75" customHeight="1">
      <c r="A656" s="7"/>
      <c r="B656" s="7"/>
      <c r="C656" s="7"/>
      <c r="D656" s="7"/>
      <c r="E656" s="7"/>
      <c r="F656" s="7"/>
    </row>
    <row r="657" ht="15.75" customHeight="1">
      <c r="A657" s="7"/>
      <c r="B657" s="7"/>
      <c r="C657" s="7"/>
      <c r="D657" s="7"/>
      <c r="E657" s="7"/>
      <c r="F657" s="7"/>
    </row>
    <row r="658" ht="15.75" customHeight="1">
      <c r="A658" s="7"/>
      <c r="B658" s="7"/>
      <c r="C658" s="7"/>
      <c r="D658" s="7"/>
      <c r="E658" s="7"/>
      <c r="F658" s="7"/>
    </row>
    <row r="659" ht="15.75" customHeight="1">
      <c r="A659" s="7"/>
      <c r="B659" s="7"/>
      <c r="C659" s="7"/>
      <c r="D659" s="7"/>
      <c r="E659" s="7"/>
      <c r="F659" s="7"/>
    </row>
    <row r="660" ht="15.75" customHeight="1">
      <c r="A660" s="7"/>
      <c r="B660" s="7"/>
      <c r="C660" s="7"/>
      <c r="D660" s="7"/>
      <c r="E660" s="7"/>
      <c r="F660" s="7"/>
    </row>
    <row r="661" ht="15.75" customHeight="1">
      <c r="A661" s="7"/>
      <c r="B661" s="7"/>
      <c r="C661" s="7"/>
      <c r="D661" s="7"/>
      <c r="E661" s="7"/>
      <c r="F661" s="7"/>
    </row>
    <row r="662" ht="15.75" customHeight="1">
      <c r="A662" s="7"/>
      <c r="B662" s="7"/>
      <c r="C662" s="7"/>
      <c r="D662" s="7"/>
      <c r="E662" s="7"/>
      <c r="F662" s="7"/>
    </row>
    <row r="663" ht="15.75" customHeight="1">
      <c r="A663" s="7"/>
      <c r="B663" s="7"/>
      <c r="C663" s="7"/>
      <c r="D663" s="7"/>
      <c r="E663" s="7"/>
      <c r="F663" s="7"/>
    </row>
    <row r="664" ht="15.75" customHeight="1">
      <c r="A664" s="7"/>
      <c r="B664" s="7"/>
      <c r="C664" s="7"/>
      <c r="D664" s="7"/>
      <c r="E664" s="7"/>
      <c r="F664" s="7"/>
    </row>
    <row r="665" ht="15.75" customHeight="1">
      <c r="A665" s="7"/>
      <c r="B665" s="7"/>
      <c r="C665" s="7"/>
      <c r="D665" s="7"/>
      <c r="E665" s="7"/>
      <c r="F665" s="7"/>
    </row>
    <row r="666" ht="15.75" customHeight="1">
      <c r="A666" s="7"/>
      <c r="B666" s="7"/>
      <c r="C666" s="7"/>
      <c r="D666" s="7"/>
      <c r="E666" s="7"/>
      <c r="F666" s="7"/>
    </row>
    <row r="667" ht="15.75" customHeight="1">
      <c r="A667" s="7"/>
      <c r="B667" s="7"/>
      <c r="C667" s="7"/>
      <c r="D667" s="7"/>
      <c r="E667" s="7"/>
      <c r="F667" s="7"/>
    </row>
    <row r="668" ht="15.75" customHeight="1">
      <c r="A668" s="7"/>
      <c r="B668" s="7"/>
      <c r="C668" s="7"/>
      <c r="D668" s="7"/>
      <c r="E668" s="7"/>
      <c r="F668" s="7"/>
    </row>
    <row r="669" ht="15.75" customHeight="1">
      <c r="A669" s="7"/>
      <c r="B669" s="7"/>
      <c r="C669" s="7"/>
      <c r="D669" s="7"/>
      <c r="E669" s="7"/>
      <c r="F669" s="7"/>
    </row>
    <row r="670" ht="15.75" customHeight="1">
      <c r="A670" s="7"/>
      <c r="B670" s="7"/>
      <c r="C670" s="7"/>
      <c r="D670" s="7"/>
      <c r="E670" s="7"/>
      <c r="F670" s="7"/>
    </row>
    <row r="671" ht="15.75" customHeight="1">
      <c r="A671" s="7"/>
      <c r="B671" s="7"/>
      <c r="C671" s="7"/>
      <c r="D671" s="7"/>
      <c r="E671" s="7"/>
      <c r="F671" s="7"/>
    </row>
    <row r="672" ht="15.75" customHeight="1">
      <c r="A672" s="7"/>
      <c r="B672" s="7"/>
      <c r="C672" s="7"/>
      <c r="D672" s="7"/>
      <c r="E672" s="7"/>
      <c r="F672" s="7"/>
    </row>
    <row r="673" ht="15.75" customHeight="1">
      <c r="A673" s="7"/>
      <c r="B673" s="7"/>
      <c r="C673" s="7"/>
      <c r="D673" s="7"/>
      <c r="E673" s="7"/>
      <c r="F673" s="7"/>
    </row>
    <row r="674" ht="15.75" customHeight="1">
      <c r="A674" s="7"/>
      <c r="B674" s="7"/>
      <c r="C674" s="7"/>
      <c r="D674" s="7"/>
      <c r="E674" s="7"/>
      <c r="F674" s="7"/>
    </row>
    <row r="675" ht="15.75" customHeight="1">
      <c r="A675" s="7"/>
      <c r="B675" s="7"/>
      <c r="C675" s="7"/>
      <c r="D675" s="7"/>
      <c r="E675" s="7"/>
      <c r="F675" s="7"/>
    </row>
    <row r="676" ht="15.75" customHeight="1">
      <c r="A676" s="7"/>
      <c r="B676" s="7"/>
      <c r="C676" s="7"/>
      <c r="D676" s="7"/>
      <c r="E676" s="7"/>
      <c r="F676" s="7"/>
    </row>
    <row r="677" ht="15.75" customHeight="1">
      <c r="A677" s="7"/>
      <c r="B677" s="7"/>
      <c r="C677" s="7"/>
      <c r="D677" s="7"/>
      <c r="E677" s="7"/>
      <c r="F677" s="7"/>
    </row>
    <row r="678" ht="15.75" customHeight="1">
      <c r="A678" s="7"/>
      <c r="B678" s="7"/>
      <c r="C678" s="7"/>
      <c r="D678" s="7"/>
      <c r="E678" s="7"/>
      <c r="F678" s="7"/>
    </row>
    <row r="679" ht="15.75" customHeight="1">
      <c r="A679" s="7"/>
      <c r="B679" s="7"/>
      <c r="C679" s="7"/>
      <c r="D679" s="7"/>
      <c r="E679" s="7"/>
      <c r="F679" s="7"/>
    </row>
    <row r="680" ht="15.75" customHeight="1">
      <c r="A680" s="7"/>
      <c r="B680" s="7"/>
      <c r="C680" s="7"/>
      <c r="D680" s="7"/>
      <c r="E680" s="7"/>
      <c r="F680" s="7"/>
    </row>
    <row r="681" ht="15.75" customHeight="1">
      <c r="A681" s="7"/>
      <c r="B681" s="7"/>
      <c r="C681" s="7"/>
      <c r="D681" s="7"/>
      <c r="E681" s="7"/>
      <c r="F681" s="7"/>
    </row>
    <row r="682" ht="15.75" customHeight="1">
      <c r="A682" s="7"/>
      <c r="B682" s="7"/>
      <c r="C682" s="7"/>
      <c r="D682" s="7"/>
      <c r="E682" s="7"/>
      <c r="F682" s="7"/>
    </row>
    <row r="683" ht="15.75" customHeight="1">
      <c r="A683" s="7"/>
      <c r="B683" s="7"/>
      <c r="C683" s="7"/>
      <c r="D683" s="7"/>
      <c r="E683" s="7"/>
      <c r="F683" s="7"/>
    </row>
    <row r="684" ht="15.75" customHeight="1">
      <c r="A684" s="7"/>
      <c r="B684" s="7"/>
      <c r="C684" s="7"/>
      <c r="D684" s="7"/>
      <c r="E684" s="7"/>
      <c r="F684" s="7"/>
    </row>
    <row r="685" ht="15.75" customHeight="1">
      <c r="A685" s="7"/>
      <c r="B685" s="7"/>
      <c r="C685" s="7"/>
      <c r="D685" s="7"/>
      <c r="E685" s="7"/>
      <c r="F685" s="7"/>
    </row>
    <row r="686" ht="15.75" customHeight="1">
      <c r="A686" s="7"/>
      <c r="B686" s="7"/>
      <c r="C686" s="7"/>
      <c r="D686" s="7"/>
      <c r="E686" s="7"/>
      <c r="F686" s="7"/>
    </row>
    <row r="687" ht="15.75" customHeight="1">
      <c r="A687" s="7"/>
      <c r="B687" s="7"/>
      <c r="C687" s="7"/>
      <c r="D687" s="7"/>
      <c r="E687" s="7"/>
      <c r="F687" s="7"/>
    </row>
    <row r="688" ht="15.75" customHeight="1">
      <c r="A688" s="7"/>
      <c r="B688" s="7"/>
      <c r="C688" s="7"/>
      <c r="D688" s="7"/>
      <c r="E688" s="7"/>
      <c r="F688" s="7"/>
    </row>
    <row r="689" ht="15.75" customHeight="1">
      <c r="A689" s="7"/>
      <c r="B689" s="7"/>
      <c r="C689" s="7"/>
      <c r="D689" s="7"/>
      <c r="E689" s="7"/>
      <c r="F689" s="7"/>
    </row>
    <row r="690" ht="15.75" customHeight="1">
      <c r="A690" s="7"/>
      <c r="B690" s="7"/>
      <c r="C690" s="7"/>
      <c r="D690" s="7"/>
      <c r="E690" s="7"/>
      <c r="F690" s="7"/>
    </row>
    <row r="691" ht="15.75" customHeight="1">
      <c r="A691" s="7"/>
      <c r="B691" s="7"/>
      <c r="C691" s="7"/>
      <c r="D691" s="7"/>
      <c r="E691" s="7"/>
      <c r="F691" s="7"/>
    </row>
    <row r="692" ht="15.75" customHeight="1">
      <c r="A692" s="7"/>
      <c r="B692" s="7"/>
      <c r="C692" s="7"/>
      <c r="D692" s="7"/>
      <c r="E692" s="7"/>
      <c r="F692" s="7"/>
    </row>
    <row r="693" ht="15.75" customHeight="1">
      <c r="A693" s="7"/>
      <c r="B693" s="7"/>
      <c r="C693" s="7"/>
      <c r="D693" s="7"/>
      <c r="E693" s="7"/>
      <c r="F693" s="7"/>
    </row>
    <row r="694" ht="15.75" customHeight="1">
      <c r="A694" s="7"/>
      <c r="B694" s="7"/>
      <c r="C694" s="7"/>
      <c r="D694" s="7"/>
      <c r="E694" s="7"/>
      <c r="F694" s="7"/>
    </row>
    <row r="695" ht="15.75" customHeight="1">
      <c r="A695" s="7"/>
      <c r="B695" s="7"/>
      <c r="C695" s="7"/>
      <c r="D695" s="7"/>
      <c r="E695" s="7"/>
      <c r="F695" s="7"/>
    </row>
    <row r="696" ht="15.75" customHeight="1">
      <c r="A696" s="7"/>
      <c r="B696" s="7"/>
      <c r="C696" s="7"/>
      <c r="D696" s="7"/>
      <c r="E696" s="7"/>
      <c r="F696" s="7"/>
    </row>
    <row r="697" ht="15.75" customHeight="1">
      <c r="A697" s="7"/>
      <c r="B697" s="7"/>
      <c r="C697" s="7"/>
      <c r="D697" s="7"/>
      <c r="E697" s="7"/>
      <c r="F697" s="7"/>
    </row>
    <row r="698" ht="15.75" customHeight="1">
      <c r="A698" s="7"/>
      <c r="B698" s="7"/>
      <c r="C698" s="7"/>
      <c r="D698" s="7"/>
      <c r="E698" s="7"/>
      <c r="F698" s="7"/>
    </row>
    <row r="699" ht="15.75" customHeight="1">
      <c r="A699" s="7"/>
      <c r="B699" s="7"/>
      <c r="C699" s="7"/>
      <c r="D699" s="7"/>
      <c r="E699" s="7"/>
      <c r="F699" s="7"/>
    </row>
    <row r="700" ht="15.75" customHeight="1">
      <c r="A700" s="7"/>
      <c r="B700" s="7"/>
      <c r="C700" s="7"/>
      <c r="D700" s="7"/>
      <c r="E700" s="7"/>
      <c r="F700" s="7"/>
    </row>
    <row r="701" ht="15.75" customHeight="1">
      <c r="A701" s="7"/>
      <c r="B701" s="7"/>
      <c r="C701" s="7"/>
      <c r="D701" s="7"/>
      <c r="E701" s="7"/>
      <c r="F701" s="7"/>
    </row>
    <row r="702" ht="15.75" customHeight="1">
      <c r="A702" s="7"/>
      <c r="B702" s="7"/>
      <c r="C702" s="7"/>
      <c r="D702" s="7"/>
      <c r="E702" s="7"/>
      <c r="F702" s="7"/>
    </row>
    <row r="703" ht="15.75" customHeight="1">
      <c r="A703" s="7"/>
      <c r="B703" s="7"/>
      <c r="C703" s="7"/>
      <c r="D703" s="7"/>
      <c r="E703" s="7"/>
      <c r="F703" s="7"/>
    </row>
    <row r="704" ht="15.75" customHeight="1">
      <c r="A704" s="7"/>
      <c r="B704" s="7"/>
      <c r="C704" s="7"/>
      <c r="D704" s="7"/>
      <c r="E704" s="7"/>
      <c r="F704" s="7"/>
    </row>
    <row r="705" ht="15.75" customHeight="1">
      <c r="A705" s="7"/>
      <c r="B705" s="7"/>
      <c r="C705" s="7"/>
      <c r="D705" s="7"/>
      <c r="E705" s="7"/>
      <c r="F705" s="7"/>
    </row>
    <row r="706" ht="15.75" customHeight="1">
      <c r="A706" s="7"/>
      <c r="B706" s="7"/>
      <c r="C706" s="7"/>
      <c r="D706" s="7"/>
      <c r="E706" s="7"/>
      <c r="F706" s="7"/>
    </row>
    <row r="707" ht="15.75" customHeight="1">
      <c r="A707" s="7"/>
      <c r="B707" s="7"/>
      <c r="C707" s="7"/>
      <c r="D707" s="7"/>
      <c r="E707" s="7"/>
      <c r="F707" s="7"/>
    </row>
    <row r="708" ht="15.75" customHeight="1">
      <c r="A708" s="7"/>
      <c r="B708" s="7"/>
      <c r="C708" s="7"/>
      <c r="D708" s="7"/>
      <c r="E708" s="7"/>
      <c r="F708" s="7"/>
    </row>
    <row r="709" ht="15.75" customHeight="1">
      <c r="A709" s="7"/>
      <c r="B709" s="7"/>
      <c r="C709" s="7"/>
      <c r="D709" s="7"/>
      <c r="E709" s="7"/>
      <c r="F709" s="7"/>
    </row>
    <row r="710" ht="15.75" customHeight="1">
      <c r="A710" s="7"/>
      <c r="B710" s="7"/>
      <c r="C710" s="7"/>
      <c r="D710" s="7"/>
      <c r="E710" s="7"/>
      <c r="F710" s="7"/>
    </row>
    <row r="711" ht="15.75" customHeight="1">
      <c r="A711" s="7"/>
      <c r="B711" s="7"/>
      <c r="C711" s="7"/>
      <c r="D711" s="7"/>
      <c r="E711" s="7"/>
      <c r="F711" s="7"/>
    </row>
    <row r="712" ht="15.75" customHeight="1">
      <c r="A712" s="7"/>
      <c r="B712" s="7"/>
      <c r="C712" s="7"/>
      <c r="D712" s="7"/>
      <c r="E712" s="7"/>
      <c r="F712" s="7"/>
    </row>
    <row r="713" ht="15.75" customHeight="1">
      <c r="A713" s="7"/>
      <c r="B713" s="7"/>
      <c r="C713" s="7"/>
      <c r="D713" s="7"/>
      <c r="E713" s="7"/>
      <c r="F713" s="7"/>
    </row>
    <row r="714" ht="15.75" customHeight="1">
      <c r="A714" s="7"/>
      <c r="B714" s="7"/>
      <c r="C714" s="7"/>
      <c r="D714" s="7"/>
      <c r="E714" s="7"/>
      <c r="F714" s="7"/>
    </row>
    <row r="715" ht="15.75" customHeight="1">
      <c r="A715" s="7"/>
      <c r="B715" s="7"/>
      <c r="C715" s="7"/>
      <c r="D715" s="7"/>
      <c r="E715" s="7"/>
      <c r="F715" s="7"/>
    </row>
    <row r="716" ht="15.75" customHeight="1">
      <c r="A716" s="7"/>
      <c r="B716" s="7"/>
      <c r="C716" s="7"/>
      <c r="D716" s="7"/>
      <c r="E716" s="7"/>
      <c r="F716" s="7"/>
    </row>
    <row r="717" ht="15.75" customHeight="1">
      <c r="A717" s="7"/>
      <c r="B717" s="7"/>
      <c r="C717" s="7"/>
      <c r="D717" s="7"/>
      <c r="E717" s="7"/>
      <c r="F717" s="7"/>
    </row>
    <row r="718" ht="15.75" customHeight="1">
      <c r="A718" s="7"/>
      <c r="B718" s="7"/>
      <c r="C718" s="7"/>
      <c r="D718" s="7"/>
      <c r="E718" s="7"/>
      <c r="F718" s="7"/>
    </row>
    <row r="719" ht="15.75" customHeight="1">
      <c r="A719" s="7"/>
      <c r="B719" s="7"/>
      <c r="C719" s="7"/>
      <c r="D719" s="7"/>
      <c r="E719" s="7"/>
      <c r="F719" s="7"/>
    </row>
    <row r="720" ht="15.75" customHeight="1">
      <c r="A720" s="7"/>
      <c r="B720" s="7"/>
      <c r="C720" s="7"/>
      <c r="D720" s="7"/>
      <c r="E720" s="7"/>
      <c r="F720" s="7"/>
    </row>
    <row r="721" ht="15.75" customHeight="1">
      <c r="A721" s="7"/>
      <c r="B721" s="7"/>
      <c r="C721" s="7"/>
      <c r="D721" s="7"/>
      <c r="E721" s="7"/>
      <c r="F721" s="7"/>
    </row>
    <row r="722" ht="15.75" customHeight="1">
      <c r="A722" s="7"/>
      <c r="B722" s="7"/>
      <c r="C722" s="7"/>
      <c r="D722" s="7"/>
      <c r="E722" s="7"/>
      <c r="F722" s="7"/>
    </row>
    <row r="723" ht="15.75" customHeight="1">
      <c r="A723" s="7"/>
      <c r="B723" s="7"/>
      <c r="C723" s="7"/>
      <c r="D723" s="7"/>
      <c r="E723" s="7"/>
      <c r="F723" s="7"/>
    </row>
    <row r="724" ht="15.75" customHeight="1">
      <c r="A724" s="7"/>
      <c r="B724" s="7"/>
      <c r="C724" s="7"/>
      <c r="D724" s="7"/>
      <c r="E724" s="7"/>
      <c r="F724" s="7"/>
    </row>
    <row r="725" ht="15.75" customHeight="1">
      <c r="A725" s="7"/>
      <c r="B725" s="7"/>
      <c r="C725" s="7"/>
      <c r="D725" s="7"/>
      <c r="E725" s="7"/>
      <c r="F725" s="7"/>
    </row>
    <row r="726" ht="15.75" customHeight="1">
      <c r="A726" s="7"/>
      <c r="B726" s="7"/>
      <c r="C726" s="7"/>
      <c r="D726" s="7"/>
      <c r="E726" s="7"/>
      <c r="F726" s="7"/>
    </row>
    <row r="727" ht="15.75" customHeight="1">
      <c r="A727" s="7"/>
      <c r="B727" s="7"/>
      <c r="C727" s="7"/>
      <c r="D727" s="7"/>
      <c r="E727" s="7"/>
      <c r="F727" s="7"/>
    </row>
    <row r="728" ht="15.75" customHeight="1">
      <c r="A728" s="7"/>
      <c r="B728" s="7"/>
      <c r="C728" s="7"/>
      <c r="D728" s="7"/>
      <c r="E728" s="7"/>
      <c r="F728" s="7"/>
    </row>
    <row r="729" ht="15.75" customHeight="1">
      <c r="A729" s="7"/>
      <c r="B729" s="7"/>
      <c r="C729" s="7"/>
      <c r="D729" s="7"/>
      <c r="E729" s="7"/>
      <c r="F729" s="7"/>
    </row>
    <row r="730" ht="15.75" customHeight="1">
      <c r="A730" s="7"/>
      <c r="B730" s="7"/>
      <c r="C730" s="7"/>
      <c r="D730" s="7"/>
      <c r="E730" s="7"/>
      <c r="F730" s="7"/>
    </row>
    <row r="731" ht="15.75" customHeight="1">
      <c r="A731" s="7"/>
      <c r="B731" s="7"/>
      <c r="C731" s="7"/>
      <c r="D731" s="7"/>
      <c r="E731" s="7"/>
      <c r="F731" s="7"/>
    </row>
    <row r="732" ht="15.75" customHeight="1">
      <c r="A732" s="7"/>
      <c r="B732" s="7"/>
      <c r="C732" s="7"/>
      <c r="D732" s="7"/>
      <c r="E732" s="7"/>
      <c r="F732" s="7"/>
    </row>
    <row r="733" ht="15.75" customHeight="1">
      <c r="A733" s="7"/>
      <c r="B733" s="7"/>
      <c r="C733" s="7"/>
      <c r="D733" s="7"/>
      <c r="E733" s="7"/>
      <c r="F733" s="7"/>
    </row>
    <row r="734" ht="15.75" customHeight="1">
      <c r="A734" s="7"/>
      <c r="B734" s="7"/>
      <c r="C734" s="7"/>
      <c r="D734" s="7"/>
      <c r="E734" s="7"/>
      <c r="F734" s="7"/>
    </row>
    <row r="735" ht="15.75" customHeight="1">
      <c r="A735" s="7"/>
      <c r="B735" s="7"/>
      <c r="C735" s="7"/>
      <c r="D735" s="7"/>
      <c r="E735" s="7"/>
      <c r="F735" s="7"/>
    </row>
    <row r="736" ht="15.75" customHeight="1">
      <c r="A736" s="7"/>
      <c r="B736" s="7"/>
      <c r="C736" s="7"/>
      <c r="D736" s="7"/>
      <c r="E736" s="7"/>
      <c r="F736" s="7"/>
    </row>
    <row r="737" ht="15.75" customHeight="1">
      <c r="A737" s="7"/>
      <c r="B737" s="7"/>
      <c r="C737" s="7"/>
      <c r="D737" s="7"/>
      <c r="E737" s="7"/>
      <c r="F737" s="7"/>
    </row>
    <row r="738" ht="15.75" customHeight="1">
      <c r="A738" s="7"/>
      <c r="B738" s="7"/>
      <c r="C738" s="7"/>
      <c r="D738" s="7"/>
      <c r="E738" s="7"/>
      <c r="F738" s="7"/>
    </row>
    <row r="739" ht="15.75" customHeight="1">
      <c r="A739" s="7"/>
      <c r="B739" s="7"/>
      <c r="C739" s="7"/>
      <c r="D739" s="7"/>
      <c r="E739" s="7"/>
      <c r="F739" s="7"/>
    </row>
    <row r="740" ht="15.75" customHeight="1">
      <c r="A740" s="7"/>
      <c r="B740" s="7"/>
      <c r="C740" s="7"/>
      <c r="D740" s="7"/>
      <c r="E740" s="7"/>
      <c r="F740" s="7"/>
    </row>
    <row r="741" ht="15.75" customHeight="1">
      <c r="A741" s="7"/>
      <c r="B741" s="7"/>
      <c r="C741" s="7"/>
      <c r="D741" s="7"/>
      <c r="E741" s="7"/>
      <c r="F741" s="7"/>
    </row>
    <row r="742" ht="15.75" customHeight="1">
      <c r="A742" s="7"/>
      <c r="B742" s="7"/>
      <c r="C742" s="7"/>
      <c r="D742" s="7"/>
      <c r="E742" s="7"/>
      <c r="F742" s="7"/>
    </row>
    <row r="743" ht="15.75" customHeight="1">
      <c r="A743" s="7"/>
      <c r="B743" s="7"/>
      <c r="C743" s="7"/>
      <c r="D743" s="7"/>
      <c r="E743" s="7"/>
      <c r="F743" s="7"/>
    </row>
    <row r="744" ht="15.75" customHeight="1">
      <c r="A744" s="7"/>
      <c r="B744" s="7"/>
      <c r="C744" s="7"/>
      <c r="D744" s="7"/>
      <c r="E744" s="7"/>
      <c r="F744" s="7"/>
    </row>
    <row r="745" ht="15.75" customHeight="1">
      <c r="A745" s="7"/>
      <c r="B745" s="7"/>
      <c r="C745" s="7"/>
      <c r="D745" s="7"/>
      <c r="E745" s="7"/>
      <c r="F745" s="7"/>
    </row>
    <row r="746" ht="15.75" customHeight="1">
      <c r="A746" s="7"/>
      <c r="B746" s="7"/>
      <c r="C746" s="7"/>
      <c r="D746" s="7"/>
      <c r="E746" s="7"/>
      <c r="F746" s="7"/>
    </row>
    <row r="747" ht="15.75" customHeight="1">
      <c r="A747" s="7"/>
      <c r="B747" s="7"/>
      <c r="C747" s="7"/>
      <c r="D747" s="7"/>
      <c r="E747" s="7"/>
      <c r="F747" s="7"/>
    </row>
    <row r="748" ht="15.75" customHeight="1">
      <c r="A748" s="7"/>
      <c r="B748" s="7"/>
      <c r="C748" s="7"/>
      <c r="D748" s="7"/>
      <c r="E748" s="7"/>
      <c r="F748" s="7"/>
    </row>
    <row r="749" ht="15.75" customHeight="1">
      <c r="A749" s="7"/>
      <c r="B749" s="7"/>
      <c r="C749" s="7"/>
      <c r="D749" s="7"/>
      <c r="E749" s="7"/>
      <c r="F749" s="7"/>
    </row>
    <row r="750" ht="15.75" customHeight="1">
      <c r="A750" s="7"/>
      <c r="B750" s="7"/>
      <c r="C750" s="7"/>
      <c r="D750" s="7"/>
      <c r="E750" s="7"/>
      <c r="F750" s="7"/>
    </row>
    <row r="751" ht="15.75" customHeight="1">
      <c r="A751" s="7"/>
      <c r="B751" s="7"/>
      <c r="C751" s="7"/>
      <c r="D751" s="7"/>
      <c r="E751" s="7"/>
      <c r="F751" s="7"/>
    </row>
    <row r="752" ht="15.75" customHeight="1">
      <c r="A752" s="7"/>
      <c r="B752" s="7"/>
      <c r="C752" s="7"/>
      <c r="D752" s="7"/>
      <c r="E752" s="7"/>
      <c r="F752" s="7"/>
    </row>
    <row r="753" ht="15.75" customHeight="1">
      <c r="A753" s="7"/>
      <c r="B753" s="7"/>
      <c r="C753" s="7"/>
      <c r="D753" s="7"/>
      <c r="E753" s="7"/>
      <c r="F753" s="7"/>
    </row>
    <row r="754" ht="15.75" customHeight="1">
      <c r="A754" s="7"/>
      <c r="B754" s="7"/>
      <c r="C754" s="7"/>
      <c r="D754" s="7"/>
      <c r="E754" s="7"/>
      <c r="F754" s="7"/>
    </row>
    <row r="755" ht="15.75" customHeight="1">
      <c r="A755" s="7"/>
      <c r="B755" s="7"/>
      <c r="C755" s="7"/>
      <c r="D755" s="7"/>
      <c r="E755" s="7"/>
      <c r="F755" s="7"/>
    </row>
    <row r="756" ht="15.75" customHeight="1">
      <c r="A756" s="7"/>
      <c r="B756" s="7"/>
      <c r="C756" s="7"/>
      <c r="D756" s="7"/>
      <c r="E756" s="7"/>
      <c r="F756" s="7"/>
    </row>
    <row r="757" ht="15.75" customHeight="1">
      <c r="A757" s="7"/>
      <c r="B757" s="7"/>
      <c r="C757" s="7"/>
      <c r="D757" s="7"/>
      <c r="E757" s="7"/>
      <c r="F757" s="7"/>
    </row>
    <row r="758" ht="15.75" customHeight="1">
      <c r="A758" s="7"/>
      <c r="B758" s="7"/>
      <c r="C758" s="7"/>
      <c r="D758" s="7"/>
      <c r="E758" s="7"/>
      <c r="F758" s="7"/>
    </row>
    <row r="759" ht="15.75" customHeight="1">
      <c r="A759" s="7"/>
      <c r="B759" s="7"/>
      <c r="C759" s="7"/>
      <c r="D759" s="7"/>
      <c r="E759" s="7"/>
      <c r="F759" s="7"/>
    </row>
    <row r="760" ht="15.75" customHeight="1">
      <c r="A760" s="7"/>
      <c r="B760" s="7"/>
      <c r="C760" s="7"/>
      <c r="D760" s="7"/>
      <c r="E760" s="7"/>
      <c r="F760" s="7"/>
    </row>
    <row r="761" ht="15.75" customHeight="1">
      <c r="A761" s="7"/>
      <c r="B761" s="7"/>
      <c r="C761" s="7"/>
      <c r="D761" s="7"/>
      <c r="E761" s="7"/>
      <c r="F761" s="7"/>
    </row>
    <row r="762" ht="15.75" customHeight="1">
      <c r="A762" s="7"/>
      <c r="B762" s="7"/>
      <c r="C762" s="7"/>
      <c r="D762" s="7"/>
      <c r="E762" s="7"/>
      <c r="F762" s="7"/>
    </row>
    <row r="763" ht="15.75" customHeight="1">
      <c r="A763" s="7"/>
      <c r="B763" s="7"/>
      <c r="C763" s="7"/>
      <c r="D763" s="7"/>
      <c r="E763" s="7"/>
      <c r="F763" s="7"/>
    </row>
    <row r="764" ht="15.75" customHeight="1">
      <c r="A764" s="7"/>
      <c r="B764" s="7"/>
      <c r="C764" s="7"/>
      <c r="D764" s="7"/>
      <c r="E764" s="7"/>
      <c r="F764" s="7"/>
    </row>
    <row r="765" ht="15.75" customHeight="1">
      <c r="A765" s="7"/>
      <c r="B765" s="7"/>
      <c r="C765" s="7"/>
      <c r="D765" s="7"/>
      <c r="E765" s="7"/>
      <c r="F765" s="7"/>
    </row>
    <row r="766" ht="15.75" customHeight="1">
      <c r="A766" s="7"/>
      <c r="B766" s="7"/>
      <c r="C766" s="7"/>
      <c r="D766" s="7"/>
      <c r="E766" s="7"/>
      <c r="F766" s="7"/>
    </row>
    <row r="767" ht="15.75" customHeight="1">
      <c r="A767" s="7"/>
      <c r="B767" s="7"/>
      <c r="C767" s="7"/>
      <c r="D767" s="7"/>
      <c r="E767" s="7"/>
      <c r="F767" s="7"/>
    </row>
    <row r="768" ht="15.75" customHeight="1">
      <c r="A768" s="7"/>
      <c r="B768" s="7"/>
      <c r="C768" s="7"/>
      <c r="D768" s="7"/>
      <c r="E768" s="7"/>
      <c r="F768" s="7"/>
    </row>
    <row r="769" ht="15.75" customHeight="1">
      <c r="A769" s="7"/>
      <c r="B769" s="7"/>
      <c r="C769" s="7"/>
      <c r="D769" s="7"/>
      <c r="E769" s="7"/>
      <c r="F769" s="7"/>
    </row>
    <row r="770" ht="15.75" customHeight="1">
      <c r="A770" s="7"/>
      <c r="B770" s="7"/>
      <c r="C770" s="7"/>
      <c r="D770" s="7"/>
      <c r="E770" s="7"/>
      <c r="F770" s="7"/>
    </row>
    <row r="771" ht="15.75" customHeight="1">
      <c r="A771" s="7"/>
      <c r="B771" s="7"/>
      <c r="C771" s="7"/>
      <c r="D771" s="7"/>
      <c r="E771" s="7"/>
      <c r="F771" s="7"/>
    </row>
    <row r="772" ht="15.75" customHeight="1">
      <c r="A772" s="7"/>
      <c r="B772" s="7"/>
      <c r="C772" s="7"/>
      <c r="D772" s="7"/>
      <c r="E772" s="7"/>
      <c r="F772" s="7"/>
    </row>
    <row r="773" ht="15.75" customHeight="1">
      <c r="A773" s="7"/>
      <c r="B773" s="7"/>
      <c r="C773" s="7"/>
      <c r="D773" s="7"/>
      <c r="E773" s="7"/>
      <c r="F773" s="7"/>
    </row>
    <row r="774" ht="15.75" customHeight="1">
      <c r="A774" s="7"/>
      <c r="B774" s="7"/>
      <c r="C774" s="7"/>
      <c r="D774" s="7"/>
      <c r="E774" s="7"/>
      <c r="F774" s="7"/>
    </row>
    <row r="775" ht="15.75" customHeight="1">
      <c r="A775" s="7"/>
      <c r="B775" s="7"/>
      <c r="C775" s="7"/>
      <c r="D775" s="7"/>
      <c r="E775" s="7"/>
      <c r="F775" s="7"/>
    </row>
    <row r="776" ht="15.75" customHeight="1">
      <c r="A776" s="7"/>
      <c r="B776" s="7"/>
      <c r="C776" s="7"/>
      <c r="D776" s="7"/>
      <c r="E776" s="7"/>
      <c r="F776" s="7"/>
    </row>
    <row r="777" ht="15.75" customHeight="1">
      <c r="A777" s="7"/>
      <c r="B777" s="7"/>
      <c r="C777" s="7"/>
      <c r="D777" s="7"/>
      <c r="E777" s="7"/>
      <c r="F777" s="7"/>
    </row>
    <row r="778" ht="15.75" customHeight="1">
      <c r="A778" s="7"/>
      <c r="B778" s="7"/>
      <c r="C778" s="7"/>
      <c r="D778" s="7"/>
      <c r="E778" s="7"/>
      <c r="F778" s="7"/>
    </row>
    <row r="779" ht="15.75" customHeight="1">
      <c r="A779" s="7"/>
      <c r="B779" s="7"/>
      <c r="C779" s="7"/>
      <c r="D779" s="7"/>
      <c r="E779" s="7"/>
      <c r="F779" s="7"/>
    </row>
    <row r="780" ht="15.75" customHeight="1">
      <c r="A780" s="7"/>
      <c r="B780" s="7"/>
      <c r="C780" s="7"/>
      <c r="D780" s="7"/>
      <c r="E780" s="7"/>
      <c r="F780" s="7"/>
    </row>
    <row r="781" ht="15.75" customHeight="1">
      <c r="A781" s="7"/>
      <c r="B781" s="7"/>
      <c r="C781" s="7"/>
      <c r="D781" s="7"/>
      <c r="E781" s="7"/>
      <c r="F781" s="7"/>
    </row>
    <row r="782" ht="15.75" customHeight="1">
      <c r="A782" s="7"/>
      <c r="B782" s="7"/>
      <c r="C782" s="7"/>
      <c r="D782" s="7"/>
      <c r="E782" s="7"/>
      <c r="F782" s="7"/>
    </row>
    <row r="783" ht="15.75" customHeight="1">
      <c r="A783" s="7"/>
      <c r="B783" s="7"/>
      <c r="C783" s="7"/>
      <c r="D783" s="7"/>
      <c r="E783" s="7"/>
      <c r="F783" s="7"/>
    </row>
    <row r="784" ht="15.75" customHeight="1">
      <c r="A784" s="7"/>
      <c r="B784" s="7"/>
      <c r="C784" s="7"/>
      <c r="D784" s="7"/>
      <c r="E784" s="7"/>
      <c r="F784" s="7"/>
    </row>
    <row r="785" ht="15.75" customHeight="1">
      <c r="A785" s="7"/>
      <c r="B785" s="7"/>
      <c r="C785" s="7"/>
      <c r="D785" s="7"/>
      <c r="E785" s="7"/>
      <c r="F785" s="7"/>
    </row>
    <row r="786" ht="15.75" customHeight="1">
      <c r="A786" s="7"/>
      <c r="B786" s="7"/>
      <c r="C786" s="7"/>
      <c r="D786" s="7"/>
      <c r="E786" s="7"/>
      <c r="F786" s="7"/>
    </row>
    <row r="787" ht="15.75" customHeight="1">
      <c r="A787" s="7"/>
      <c r="B787" s="7"/>
      <c r="C787" s="7"/>
      <c r="D787" s="7"/>
      <c r="E787" s="7"/>
      <c r="F787" s="7"/>
    </row>
    <row r="788" ht="15.75" customHeight="1">
      <c r="A788" s="7"/>
      <c r="B788" s="7"/>
      <c r="C788" s="7"/>
      <c r="D788" s="7"/>
      <c r="E788" s="7"/>
      <c r="F788" s="7"/>
    </row>
    <row r="789" ht="15.75" customHeight="1">
      <c r="A789" s="7"/>
      <c r="B789" s="7"/>
      <c r="C789" s="7"/>
      <c r="D789" s="7"/>
      <c r="E789" s="7"/>
      <c r="F789" s="7"/>
    </row>
    <row r="790" ht="15.75" customHeight="1">
      <c r="A790" s="7"/>
      <c r="B790" s="7"/>
      <c r="C790" s="7"/>
      <c r="D790" s="7"/>
      <c r="E790" s="7"/>
      <c r="F790" s="7"/>
    </row>
    <row r="791" ht="15.75" customHeight="1">
      <c r="A791" s="7"/>
      <c r="B791" s="7"/>
      <c r="C791" s="7"/>
      <c r="D791" s="7"/>
      <c r="E791" s="7"/>
      <c r="F791" s="7"/>
    </row>
    <row r="792" ht="15.75" customHeight="1">
      <c r="A792" s="7"/>
      <c r="B792" s="7"/>
      <c r="C792" s="7"/>
      <c r="D792" s="7"/>
      <c r="E792" s="7"/>
      <c r="F792" s="7"/>
    </row>
    <row r="793" ht="15.75" customHeight="1">
      <c r="A793" s="7"/>
      <c r="B793" s="7"/>
      <c r="C793" s="7"/>
      <c r="D793" s="7"/>
      <c r="E793" s="7"/>
      <c r="F793" s="7"/>
    </row>
    <row r="794" ht="15.75" customHeight="1">
      <c r="A794" s="7"/>
      <c r="B794" s="7"/>
      <c r="C794" s="7"/>
      <c r="D794" s="7"/>
      <c r="E794" s="7"/>
      <c r="F794" s="7"/>
    </row>
    <row r="795" ht="15.75" customHeight="1">
      <c r="A795" s="7"/>
      <c r="B795" s="7"/>
      <c r="C795" s="7"/>
      <c r="D795" s="7"/>
      <c r="E795" s="7"/>
      <c r="F795" s="7"/>
    </row>
    <row r="796" ht="15.75" customHeight="1">
      <c r="A796" s="7"/>
      <c r="B796" s="7"/>
      <c r="C796" s="7"/>
      <c r="D796" s="7"/>
      <c r="E796" s="7"/>
      <c r="F796" s="7"/>
    </row>
    <row r="797" ht="15.75" customHeight="1">
      <c r="A797" s="7"/>
      <c r="B797" s="7"/>
      <c r="C797" s="7"/>
      <c r="D797" s="7"/>
      <c r="E797" s="7"/>
      <c r="F797" s="7"/>
    </row>
    <row r="798" ht="15.75" customHeight="1">
      <c r="A798" s="7"/>
      <c r="B798" s="7"/>
      <c r="C798" s="7"/>
      <c r="D798" s="7"/>
      <c r="E798" s="7"/>
      <c r="F798" s="7"/>
    </row>
    <row r="799" ht="15.75" customHeight="1">
      <c r="A799" s="7"/>
      <c r="B799" s="7"/>
      <c r="C799" s="7"/>
      <c r="D799" s="7"/>
      <c r="E799" s="7"/>
      <c r="F799" s="7"/>
    </row>
    <row r="800" ht="15.75" customHeight="1">
      <c r="A800" s="7"/>
      <c r="B800" s="7"/>
      <c r="C800" s="7"/>
      <c r="D800" s="7"/>
      <c r="E800" s="7"/>
      <c r="F800" s="7"/>
    </row>
    <row r="801" ht="15.75" customHeight="1">
      <c r="A801" s="7"/>
      <c r="B801" s="7"/>
      <c r="C801" s="7"/>
      <c r="D801" s="7"/>
      <c r="E801" s="7"/>
      <c r="F801" s="7"/>
    </row>
    <row r="802" ht="15.75" customHeight="1">
      <c r="A802" s="7"/>
      <c r="B802" s="7"/>
      <c r="C802" s="7"/>
      <c r="D802" s="7"/>
      <c r="E802" s="7"/>
      <c r="F802" s="7"/>
    </row>
    <row r="803" ht="15.75" customHeight="1">
      <c r="A803" s="7"/>
      <c r="B803" s="7"/>
      <c r="C803" s="7"/>
      <c r="D803" s="7"/>
      <c r="E803" s="7"/>
      <c r="F803" s="7"/>
    </row>
    <row r="804" ht="15.75" customHeight="1">
      <c r="A804" s="7"/>
      <c r="B804" s="7"/>
      <c r="C804" s="7"/>
      <c r="D804" s="7"/>
      <c r="E804" s="7"/>
      <c r="F804" s="7"/>
    </row>
    <row r="805" ht="15.75" customHeight="1">
      <c r="A805" s="7"/>
      <c r="B805" s="7"/>
      <c r="C805" s="7"/>
      <c r="D805" s="7"/>
      <c r="E805" s="7"/>
      <c r="F805" s="7"/>
    </row>
    <row r="806" ht="15.75" customHeight="1">
      <c r="A806" s="7"/>
      <c r="B806" s="7"/>
      <c r="C806" s="7"/>
      <c r="D806" s="7"/>
      <c r="E806" s="7"/>
      <c r="F806" s="7"/>
    </row>
    <row r="807" ht="15.75" customHeight="1">
      <c r="A807" s="7"/>
      <c r="B807" s="7"/>
      <c r="C807" s="7"/>
      <c r="D807" s="7"/>
      <c r="E807" s="7"/>
      <c r="F807" s="7"/>
    </row>
    <row r="808" ht="15.75" customHeight="1">
      <c r="A808" s="7"/>
      <c r="B808" s="7"/>
      <c r="C808" s="7"/>
      <c r="D808" s="7"/>
      <c r="E808" s="7"/>
      <c r="F808" s="7"/>
    </row>
    <row r="809" ht="15.75" customHeight="1">
      <c r="A809" s="7"/>
      <c r="B809" s="7"/>
      <c r="C809" s="7"/>
      <c r="D809" s="7"/>
      <c r="E809" s="7"/>
      <c r="F809" s="7"/>
    </row>
    <row r="810" ht="15.75" customHeight="1">
      <c r="A810" s="7"/>
      <c r="B810" s="7"/>
      <c r="C810" s="7"/>
      <c r="D810" s="7"/>
      <c r="E810" s="7"/>
      <c r="F810" s="7"/>
    </row>
    <row r="811" ht="15.75" customHeight="1">
      <c r="A811" s="7"/>
      <c r="B811" s="7"/>
      <c r="C811" s="7"/>
      <c r="D811" s="7"/>
      <c r="E811" s="7"/>
      <c r="F811" s="7"/>
    </row>
    <row r="812" ht="15.75" customHeight="1">
      <c r="A812" s="7"/>
      <c r="B812" s="7"/>
      <c r="C812" s="7"/>
      <c r="D812" s="7"/>
      <c r="E812" s="7"/>
      <c r="F812" s="7"/>
    </row>
    <row r="813" ht="15.75" customHeight="1">
      <c r="A813" s="7"/>
      <c r="B813" s="7"/>
      <c r="C813" s="7"/>
      <c r="D813" s="7"/>
      <c r="E813" s="7"/>
      <c r="F813" s="7"/>
    </row>
    <row r="814" ht="15.75" customHeight="1">
      <c r="A814" s="7"/>
      <c r="B814" s="7"/>
      <c r="C814" s="7"/>
      <c r="D814" s="7"/>
      <c r="E814" s="7"/>
      <c r="F814" s="7"/>
    </row>
    <row r="815" ht="15.75" customHeight="1">
      <c r="A815" s="7"/>
      <c r="B815" s="7"/>
      <c r="C815" s="7"/>
      <c r="D815" s="7"/>
      <c r="E815" s="7"/>
      <c r="F815" s="7"/>
    </row>
    <row r="816" ht="15.75" customHeight="1">
      <c r="A816" s="7"/>
      <c r="B816" s="7"/>
      <c r="C816" s="7"/>
      <c r="D816" s="7"/>
      <c r="E816" s="7"/>
      <c r="F816" s="7"/>
    </row>
    <row r="817" ht="15.75" customHeight="1">
      <c r="A817" s="7"/>
      <c r="B817" s="7"/>
      <c r="C817" s="7"/>
      <c r="D817" s="7"/>
      <c r="E817" s="7"/>
      <c r="F817" s="7"/>
    </row>
    <row r="818" ht="15.75" customHeight="1">
      <c r="A818" s="7"/>
      <c r="B818" s="7"/>
      <c r="C818" s="7"/>
      <c r="D818" s="7"/>
      <c r="E818" s="7"/>
      <c r="F818" s="7"/>
    </row>
    <row r="819" ht="15.75" customHeight="1">
      <c r="A819" s="7"/>
      <c r="B819" s="7"/>
      <c r="C819" s="7"/>
      <c r="D819" s="7"/>
      <c r="E819" s="7"/>
      <c r="F819" s="7"/>
    </row>
    <row r="820" ht="15.75" customHeight="1">
      <c r="A820" s="7"/>
      <c r="B820" s="7"/>
      <c r="C820" s="7"/>
      <c r="D820" s="7"/>
      <c r="E820" s="7"/>
      <c r="F820" s="7"/>
    </row>
    <row r="821" ht="15.75" customHeight="1">
      <c r="A821" s="7"/>
      <c r="B821" s="7"/>
      <c r="C821" s="7"/>
      <c r="D821" s="7"/>
      <c r="E821" s="7"/>
      <c r="F821" s="7"/>
    </row>
    <row r="822" ht="15.75" customHeight="1">
      <c r="A822" s="7"/>
      <c r="B822" s="7"/>
      <c r="C822" s="7"/>
      <c r="D822" s="7"/>
      <c r="E822" s="7"/>
      <c r="F822" s="7"/>
    </row>
    <row r="823" ht="15.75" customHeight="1">
      <c r="A823" s="7"/>
      <c r="B823" s="7"/>
      <c r="C823" s="7"/>
      <c r="D823" s="7"/>
      <c r="E823" s="7"/>
      <c r="F823" s="7"/>
    </row>
    <row r="824" ht="15.75" customHeight="1">
      <c r="A824" s="7"/>
      <c r="B824" s="7"/>
      <c r="C824" s="7"/>
      <c r="D824" s="7"/>
      <c r="E824" s="7"/>
      <c r="F824" s="7"/>
    </row>
    <row r="825" ht="15.75" customHeight="1">
      <c r="A825" s="7"/>
      <c r="B825" s="7"/>
      <c r="C825" s="7"/>
      <c r="D825" s="7"/>
      <c r="E825" s="7"/>
      <c r="F825" s="7"/>
    </row>
    <row r="826" ht="15.75" customHeight="1">
      <c r="A826" s="7"/>
      <c r="B826" s="7"/>
      <c r="C826" s="7"/>
      <c r="D826" s="7"/>
      <c r="E826" s="7"/>
      <c r="F826" s="7"/>
    </row>
    <row r="827" ht="15.75" customHeight="1">
      <c r="A827" s="7"/>
      <c r="B827" s="7"/>
      <c r="C827" s="7"/>
      <c r="D827" s="7"/>
      <c r="E827" s="7"/>
      <c r="F827" s="7"/>
    </row>
    <row r="828" ht="15.75" customHeight="1">
      <c r="A828" s="7"/>
      <c r="B828" s="7"/>
      <c r="C828" s="7"/>
      <c r="D828" s="7"/>
      <c r="E828" s="7"/>
      <c r="F828" s="7"/>
    </row>
    <row r="829" ht="15.75" customHeight="1">
      <c r="A829" s="7"/>
      <c r="B829" s="7"/>
      <c r="C829" s="7"/>
      <c r="D829" s="7"/>
      <c r="E829" s="7"/>
      <c r="F829" s="7"/>
    </row>
    <row r="830" ht="15.75" customHeight="1">
      <c r="A830" s="7"/>
      <c r="B830" s="7"/>
      <c r="C830" s="7"/>
      <c r="D830" s="7"/>
      <c r="E830" s="7"/>
      <c r="F830" s="7"/>
    </row>
    <row r="831" ht="15.75" customHeight="1">
      <c r="A831" s="7"/>
      <c r="B831" s="7"/>
      <c r="C831" s="7"/>
      <c r="D831" s="7"/>
      <c r="E831" s="7"/>
      <c r="F831" s="7"/>
    </row>
    <row r="832" ht="15.75" customHeight="1">
      <c r="A832" s="7"/>
      <c r="B832" s="7"/>
      <c r="C832" s="7"/>
      <c r="D832" s="7"/>
      <c r="E832" s="7"/>
      <c r="F832" s="7"/>
    </row>
    <row r="833" ht="15.75" customHeight="1">
      <c r="A833" s="7"/>
      <c r="B833" s="7"/>
      <c r="C833" s="7"/>
      <c r="D833" s="7"/>
      <c r="E833" s="7"/>
      <c r="F833" s="7"/>
    </row>
    <row r="834" ht="15.75" customHeight="1">
      <c r="A834" s="7"/>
      <c r="B834" s="7"/>
      <c r="C834" s="7"/>
      <c r="D834" s="7"/>
      <c r="E834" s="7"/>
      <c r="F834" s="7"/>
    </row>
    <row r="835" ht="15.75" customHeight="1">
      <c r="A835" s="7"/>
      <c r="B835" s="7"/>
      <c r="C835" s="7"/>
      <c r="D835" s="7"/>
      <c r="E835" s="7"/>
      <c r="F835" s="7"/>
    </row>
    <row r="836" ht="15.75" customHeight="1">
      <c r="A836" s="7"/>
      <c r="B836" s="7"/>
      <c r="C836" s="7"/>
      <c r="D836" s="7"/>
      <c r="E836" s="7"/>
      <c r="F836" s="7"/>
    </row>
    <row r="837" ht="15.75" customHeight="1">
      <c r="A837" s="7"/>
      <c r="B837" s="7"/>
      <c r="C837" s="7"/>
      <c r="D837" s="7"/>
      <c r="E837" s="7"/>
      <c r="F837" s="7"/>
    </row>
    <row r="838" ht="15.75" customHeight="1">
      <c r="A838" s="7"/>
      <c r="B838" s="7"/>
      <c r="C838" s="7"/>
      <c r="D838" s="7"/>
      <c r="E838" s="7"/>
      <c r="F838" s="7"/>
    </row>
    <row r="839" ht="15.75" customHeight="1">
      <c r="A839" s="7"/>
      <c r="B839" s="7"/>
      <c r="C839" s="7"/>
      <c r="D839" s="7"/>
      <c r="E839" s="7"/>
      <c r="F839" s="7"/>
    </row>
    <row r="840" ht="15.75" customHeight="1">
      <c r="A840" s="7"/>
      <c r="B840" s="7"/>
      <c r="C840" s="7"/>
      <c r="D840" s="7"/>
      <c r="E840" s="7"/>
      <c r="F840" s="7"/>
    </row>
    <row r="841" ht="15.75" customHeight="1">
      <c r="A841" s="7"/>
      <c r="B841" s="7"/>
      <c r="C841" s="7"/>
      <c r="D841" s="7"/>
      <c r="E841" s="7"/>
      <c r="F841" s="7"/>
    </row>
    <row r="842" ht="15.75" customHeight="1">
      <c r="A842" s="7"/>
      <c r="B842" s="7"/>
      <c r="C842" s="7"/>
      <c r="D842" s="7"/>
      <c r="E842" s="7"/>
      <c r="F842" s="7"/>
    </row>
    <row r="843" ht="15.75" customHeight="1">
      <c r="A843" s="7"/>
      <c r="B843" s="7"/>
      <c r="C843" s="7"/>
      <c r="D843" s="7"/>
      <c r="E843" s="7"/>
      <c r="F843" s="7"/>
    </row>
    <row r="844" ht="15.75" customHeight="1">
      <c r="A844" s="7"/>
      <c r="B844" s="7"/>
      <c r="C844" s="7"/>
      <c r="D844" s="7"/>
      <c r="E844" s="7"/>
      <c r="F844" s="7"/>
    </row>
    <row r="845" ht="15.75" customHeight="1">
      <c r="A845" s="7"/>
      <c r="B845" s="7"/>
      <c r="C845" s="7"/>
      <c r="D845" s="7"/>
      <c r="E845" s="7"/>
      <c r="F845" s="7"/>
    </row>
    <row r="846" ht="15.75" customHeight="1">
      <c r="A846" s="7"/>
      <c r="B846" s="7"/>
      <c r="C846" s="7"/>
      <c r="D846" s="7"/>
      <c r="E846" s="7"/>
      <c r="F846" s="7"/>
    </row>
    <row r="847" ht="15.75" customHeight="1">
      <c r="A847" s="7"/>
      <c r="B847" s="7"/>
      <c r="C847" s="7"/>
      <c r="D847" s="7"/>
      <c r="E847" s="7"/>
      <c r="F847" s="7"/>
    </row>
    <row r="848" ht="15.75" customHeight="1">
      <c r="A848" s="7"/>
      <c r="B848" s="7"/>
      <c r="C848" s="7"/>
      <c r="D848" s="7"/>
      <c r="E848" s="7"/>
      <c r="F848" s="7"/>
    </row>
    <row r="849" ht="15.75" customHeight="1">
      <c r="A849" s="7"/>
      <c r="B849" s="7"/>
      <c r="C849" s="7"/>
      <c r="D849" s="7"/>
      <c r="E849" s="7"/>
      <c r="F849" s="7"/>
    </row>
    <row r="850" ht="15.75" customHeight="1">
      <c r="A850" s="7"/>
      <c r="B850" s="7"/>
      <c r="C850" s="7"/>
      <c r="D850" s="7"/>
      <c r="E850" s="7"/>
      <c r="F850" s="7"/>
    </row>
    <row r="851" ht="15.75" customHeight="1">
      <c r="A851" s="7"/>
      <c r="B851" s="7"/>
      <c r="C851" s="7"/>
      <c r="D851" s="7"/>
      <c r="E851" s="7"/>
      <c r="F851" s="7"/>
    </row>
    <row r="852" ht="15.75" customHeight="1">
      <c r="A852" s="7"/>
      <c r="B852" s="7"/>
      <c r="C852" s="7"/>
      <c r="D852" s="7"/>
      <c r="E852" s="7"/>
      <c r="F852" s="7"/>
    </row>
    <row r="853" ht="15.75" customHeight="1">
      <c r="A853" s="7"/>
      <c r="B853" s="7"/>
      <c r="C853" s="7"/>
      <c r="D853" s="7"/>
      <c r="E853" s="7"/>
      <c r="F853" s="7"/>
    </row>
    <row r="854" ht="15.75" customHeight="1">
      <c r="A854" s="7"/>
      <c r="B854" s="7"/>
      <c r="C854" s="7"/>
      <c r="D854" s="7"/>
      <c r="E854" s="7"/>
      <c r="F854" s="7"/>
    </row>
    <row r="855" ht="15.75" customHeight="1">
      <c r="A855" s="7"/>
      <c r="B855" s="7"/>
      <c r="C855" s="7"/>
      <c r="D855" s="7"/>
      <c r="E855" s="7"/>
      <c r="F855" s="7"/>
    </row>
    <row r="856" ht="15.75" customHeight="1">
      <c r="A856" s="7"/>
      <c r="B856" s="7"/>
      <c r="C856" s="7"/>
      <c r="D856" s="7"/>
      <c r="E856" s="7"/>
      <c r="F856" s="7"/>
    </row>
    <row r="857" ht="15.75" customHeight="1">
      <c r="A857" s="7"/>
      <c r="B857" s="7"/>
      <c r="C857" s="7"/>
      <c r="D857" s="7"/>
      <c r="E857" s="7"/>
      <c r="F857" s="7"/>
    </row>
    <row r="858" ht="15.75" customHeight="1">
      <c r="A858" s="7"/>
      <c r="B858" s="7"/>
      <c r="C858" s="7"/>
      <c r="D858" s="7"/>
      <c r="E858" s="7"/>
      <c r="F858" s="7"/>
    </row>
    <row r="859" ht="15.75" customHeight="1">
      <c r="A859" s="7"/>
      <c r="B859" s="7"/>
      <c r="C859" s="7"/>
      <c r="D859" s="7"/>
      <c r="E859" s="7"/>
      <c r="F859" s="7"/>
    </row>
    <row r="860" ht="15.75" customHeight="1">
      <c r="A860" s="7"/>
      <c r="B860" s="7"/>
      <c r="C860" s="7"/>
      <c r="D860" s="7"/>
      <c r="E860" s="7"/>
      <c r="F860" s="7"/>
    </row>
    <row r="861" ht="15.75" customHeight="1">
      <c r="A861" s="7"/>
      <c r="B861" s="7"/>
      <c r="C861" s="7"/>
      <c r="D861" s="7"/>
      <c r="E861" s="7"/>
      <c r="F861" s="7"/>
    </row>
    <row r="862" ht="15.75" customHeight="1">
      <c r="A862" s="7"/>
      <c r="B862" s="7"/>
      <c r="C862" s="7"/>
      <c r="D862" s="7"/>
      <c r="E862" s="7"/>
      <c r="F862" s="7"/>
    </row>
    <row r="863" ht="15.75" customHeight="1">
      <c r="A863" s="7"/>
      <c r="B863" s="7"/>
      <c r="C863" s="7"/>
      <c r="D863" s="7"/>
      <c r="E863" s="7"/>
      <c r="F863" s="7"/>
    </row>
    <row r="864" ht="15.75" customHeight="1">
      <c r="A864" s="7"/>
      <c r="B864" s="7"/>
      <c r="C864" s="7"/>
      <c r="D864" s="7"/>
      <c r="E864" s="7"/>
      <c r="F864" s="7"/>
    </row>
    <row r="865" ht="15.75" customHeight="1">
      <c r="A865" s="7"/>
      <c r="B865" s="7"/>
      <c r="C865" s="7"/>
      <c r="D865" s="7"/>
      <c r="E865" s="7"/>
      <c r="F865" s="7"/>
    </row>
    <row r="866" ht="15.75" customHeight="1">
      <c r="A866" s="7"/>
      <c r="B866" s="7"/>
      <c r="C866" s="7"/>
      <c r="D866" s="7"/>
      <c r="E866" s="7"/>
      <c r="F866" s="7"/>
    </row>
    <row r="867" ht="15.75" customHeight="1">
      <c r="A867" s="7"/>
      <c r="B867" s="7"/>
      <c r="C867" s="7"/>
      <c r="D867" s="7"/>
      <c r="E867" s="7"/>
      <c r="F867" s="7"/>
    </row>
    <row r="868" ht="15.75" customHeight="1">
      <c r="A868" s="7"/>
      <c r="B868" s="7"/>
      <c r="C868" s="7"/>
      <c r="D868" s="7"/>
      <c r="E868" s="7"/>
      <c r="F868" s="7"/>
    </row>
    <row r="869" ht="15.75" customHeight="1">
      <c r="A869" s="7"/>
      <c r="B869" s="7"/>
      <c r="C869" s="7"/>
      <c r="D869" s="7"/>
      <c r="E869" s="7"/>
      <c r="F869" s="7"/>
    </row>
    <row r="870" ht="15.75" customHeight="1">
      <c r="A870" s="7"/>
      <c r="B870" s="7"/>
      <c r="C870" s="7"/>
      <c r="D870" s="7"/>
      <c r="E870" s="7"/>
      <c r="F870" s="7"/>
    </row>
    <row r="871" ht="15.75" customHeight="1">
      <c r="A871" s="7"/>
      <c r="B871" s="7"/>
      <c r="C871" s="7"/>
      <c r="D871" s="7"/>
      <c r="E871" s="7"/>
      <c r="F871" s="7"/>
    </row>
    <row r="872" ht="15.75" customHeight="1">
      <c r="A872" s="7"/>
      <c r="B872" s="7"/>
      <c r="C872" s="7"/>
      <c r="D872" s="7"/>
      <c r="E872" s="7"/>
      <c r="F872" s="7"/>
    </row>
    <row r="873" ht="15.75" customHeight="1">
      <c r="A873" s="7"/>
      <c r="B873" s="7"/>
      <c r="C873" s="7"/>
      <c r="D873" s="7"/>
      <c r="E873" s="7"/>
      <c r="F873" s="7"/>
    </row>
    <row r="874" ht="15.75" customHeight="1">
      <c r="A874" s="7"/>
      <c r="B874" s="7"/>
      <c r="C874" s="7"/>
      <c r="D874" s="7"/>
      <c r="E874" s="7"/>
      <c r="F874" s="7"/>
    </row>
    <row r="875" ht="15.75" customHeight="1">
      <c r="A875" s="7"/>
      <c r="B875" s="7"/>
      <c r="C875" s="7"/>
      <c r="D875" s="7"/>
      <c r="E875" s="7"/>
      <c r="F875" s="7"/>
    </row>
    <row r="876" ht="15.75" customHeight="1">
      <c r="A876" s="7"/>
      <c r="B876" s="7"/>
      <c r="C876" s="7"/>
      <c r="D876" s="7"/>
      <c r="E876" s="7"/>
      <c r="F876" s="7"/>
    </row>
    <row r="877" ht="15.75" customHeight="1">
      <c r="A877" s="7"/>
      <c r="B877" s="7"/>
      <c r="C877" s="7"/>
      <c r="D877" s="7"/>
      <c r="E877" s="7"/>
      <c r="F877" s="7"/>
    </row>
    <row r="878" ht="15.75" customHeight="1">
      <c r="A878" s="7"/>
      <c r="B878" s="7"/>
      <c r="C878" s="7"/>
      <c r="D878" s="7"/>
      <c r="E878" s="7"/>
      <c r="F878" s="7"/>
    </row>
    <row r="879" ht="15.75" customHeight="1">
      <c r="A879" s="7"/>
      <c r="B879" s="7"/>
      <c r="C879" s="7"/>
      <c r="D879" s="7"/>
      <c r="E879" s="7"/>
      <c r="F879" s="7"/>
    </row>
    <row r="880" ht="15.75" customHeight="1">
      <c r="A880" s="7"/>
      <c r="B880" s="7"/>
      <c r="C880" s="7"/>
      <c r="D880" s="7"/>
      <c r="E880" s="7"/>
      <c r="F880" s="7"/>
    </row>
    <row r="881" ht="15.75" customHeight="1">
      <c r="A881" s="7"/>
      <c r="B881" s="7"/>
      <c r="C881" s="7"/>
      <c r="D881" s="7"/>
      <c r="E881" s="7"/>
      <c r="F881" s="7"/>
    </row>
    <row r="882" ht="15.75" customHeight="1">
      <c r="A882" s="7"/>
      <c r="B882" s="7"/>
      <c r="C882" s="7"/>
      <c r="D882" s="7"/>
      <c r="E882" s="7"/>
      <c r="F882" s="7"/>
    </row>
    <row r="883" ht="15.75" customHeight="1">
      <c r="A883" s="7"/>
      <c r="B883" s="7"/>
      <c r="C883" s="7"/>
      <c r="D883" s="7"/>
      <c r="E883" s="7"/>
      <c r="F883" s="7"/>
    </row>
    <row r="884" ht="15.75" customHeight="1">
      <c r="A884" s="7"/>
      <c r="B884" s="7"/>
      <c r="C884" s="7"/>
      <c r="D884" s="7"/>
      <c r="E884" s="7"/>
      <c r="F884" s="7"/>
    </row>
    <row r="885" ht="15.75" customHeight="1">
      <c r="A885" s="7"/>
      <c r="B885" s="7"/>
      <c r="C885" s="7"/>
      <c r="D885" s="7"/>
      <c r="E885" s="7"/>
      <c r="F885" s="7"/>
    </row>
    <row r="886" ht="15.75" customHeight="1">
      <c r="A886" s="7"/>
      <c r="B886" s="7"/>
      <c r="C886" s="7"/>
      <c r="D886" s="7"/>
      <c r="E886" s="7"/>
      <c r="F886" s="7"/>
    </row>
    <row r="887" ht="15.75" customHeight="1">
      <c r="A887" s="7"/>
      <c r="B887" s="7"/>
      <c r="C887" s="7"/>
      <c r="D887" s="7"/>
      <c r="E887" s="7"/>
      <c r="F887" s="7"/>
    </row>
    <row r="888" ht="15.75" customHeight="1">
      <c r="A888" s="7"/>
      <c r="B888" s="7"/>
      <c r="C888" s="7"/>
      <c r="D888" s="7"/>
      <c r="E888" s="7"/>
      <c r="F888" s="7"/>
    </row>
    <row r="889" ht="15.75" customHeight="1">
      <c r="A889" s="7"/>
      <c r="B889" s="7"/>
      <c r="C889" s="7"/>
      <c r="D889" s="7"/>
      <c r="E889" s="7"/>
      <c r="F889" s="7"/>
    </row>
    <row r="890" ht="15.75" customHeight="1">
      <c r="A890" s="7"/>
      <c r="B890" s="7"/>
      <c r="C890" s="7"/>
      <c r="D890" s="7"/>
      <c r="E890" s="7"/>
      <c r="F890" s="7"/>
    </row>
    <row r="891" ht="15.75" customHeight="1">
      <c r="A891" s="7"/>
      <c r="B891" s="7"/>
      <c r="C891" s="7"/>
      <c r="D891" s="7"/>
      <c r="E891" s="7"/>
      <c r="F891" s="7"/>
    </row>
    <row r="892" ht="15.75" customHeight="1">
      <c r="A892" s="7"/>
      <c r="B892" s="7"/>
      <c r="C892" s="7"/>
      <c r="D892" s="7"/>
      <c r="E892" s="7"/>
      <c r="F892" s="7"/>
    </row>
    <row r="893" ht="15.75" customHeight="1">
      <c r="A893" s="7"/>
      <c r="B893" s="7"/>
      <c r="C893" s="7"/>
      <c r="D893" s="7"/>
      <c r="E893" s="7"/>
      <c r="F893" s="7"/>
    </row>
    <row r="894" ht="15.75" customHeight="1">
      <c r="A894" s="7"/>
      <c r="B894" s="7"/>
      <c r="C894" s="7"/>
      <c r="D894" s="7"/>
      <c r="E894" s="7"/>
      <c r="F894" s="7"/>
    </row>
    <row r="895" ht="15.75" customHeight="1">
      <c r="A895" s="7"/>
      <c r="B895" s="7"/>
      <c r="C895" s="7"/>
      <c r="D895" s="7"/>
      <c r="E895" s="7"/>
      <c r="F895" s="7"/>
    </row>
    <row r="896" ht="15.75" customHeight="1">
      <c r="A896" s="7"/>
      <c r="B896" s="7"/>
      <c r="C896" s="7"/>
      <c r="D896" s="7"/>
      <c r="E896" s="7"/>
      <c r="F896" s="7"/>
    </row>
    <row r="897" ht="15.75" customHeight="1">
      <c r="A897" s="7"/>
      <c r="B897" s="7"/>
      <c r="C897" s="7"/>
      <c r="D897" s="7"/>
      <c r="E897" s="7"/>
      <c r="F897" s="7"/>
    </row>
    <row r="898" ht="15.75" customHeight="1">
      <c r="A898" s="7"/>
      <c r="B898" s="7"/>
      <c r="C898" s="7"/>
      <c r="D898" s="7"/>
      <c r="E898" s="7"/>
      <c r="F898" s="7"/>
    </row>
    <row r="899" ht="15.75" customHeight="1">
      <c r="A899" s="7"/>
      <c r="B899" s="7"/>
      <c r="C899" s="7"/>
      <c r="D899" s="7"/>
      <c r="E899" s="7"/>
      <c r="F899" s="7"/>
    </row>
    <row r="900" ht="15.75" customHeight="1">
      <c r="A900" s="7"/>
      <c r="B900" s="7"/>
      <c r="C900" s="7"/>
      <c r="D900" s="7"/>
      <c r="E900" s="7"/>
      <c r="F900" s="7"/>
    </row>
    <row r="901" ht="15.75" customHeight="1">
      <c r="A901" s="7"/>
      <c r="B901" s="7"/>
      <c r="C901" s="7"/>
      <c r="D901" s="7"/>
      <c r="E901" s="7"/>
      <c r="F901" s="7"/>
    </row>
    <row r="902" ht="15.75" customHeight="1">
      <c r="A902" s="7"/>
      <c r="B902" s="7"/>
      <c r="C902" s="7"/>
      <c r="D902" s="7"/>
      <c r="E902" s="7"/>
      <c r="F902" s="7"/>
    </row>
    <row r="903" ht="15.75" customHeight="1">
      <c r="A903" s="7"/>
      <c r="B903" s="7"/>
      <c r="C903" s="7"/>
      <c r="D903" s="7"/>
      <c r="E903" s="7"/>
      <c r="F903" s="7"/>
    </row>
    <row r="904" ht="15.75" customHeight="1">
      <c r="A904" s="7"/>
      <c r="B904" s="7"/>
      <c r="C904" s="7"/>
      <c r="D904" s="7"/>
      <c r="E904" s="7"/>
      <c r="F904" s="7"/>
    </row>
    <row r="905" ht="15.75" customHeight="1">
      <c r="A905" s="7"/>
      <c r="B905" s="7"/>
      <c r="C905" s="7"/>
      <c r="D905" s="7"/>
      <c r="E905" s="7"/>
      <c r="F905" s="7"/>
    </row>
    <row r="906" ht="15.75" customHeight="1">
      <c r="A906" s="7"/>
      <c r="B906" s="7"/>
      <c r="C906" s="7"/>
      <c r="D906" s="7"/>
      <c r="E906" s="7"/>
      <c r="F906" s="7"/>
    </row>
    <row r="907" ht="15.75" customHeight="1">
      <c r="A907" s="7"/>
      <c r="B907" s="7"/>
      <c r="C907" s="7"/>
      <c r="D907" s="7"/>
      <c r="E907" s="7"/>
      <c r="F907" s="7"/>
    </row>
    <row r="908" ht="15.75" customHeight="1">
      <c r="A908" s="7"/>
      <c r="B908" s="7"/>
      <c r="C908" s="7"/>
      <c r="D908" s="7"/>
      <c r="E908" s="7"/>
      <c r="F908" s="7"/>
    </row>
    <row r="909" ht="15.75" customHeight="1">
      <c r="A909" s="7"/>
      <c r="B909" s="7"/>
      <c r="C909" s="7"/>
      <c r="D909" s="7"/>
      <c r="E909" s="7"/>
      <c r="F909" s="7"/>
    </row>
    <row r="910" ht="15.75" customHeight="1">
      <c r="A910" s="7"/>
      <c r="B910" s="7"/>
      <c r="C910" s="7"/>
      <c r="D910" s="7"/>
      <c r="E910" s="7"/>
      <c r="F910" s="7"/>
    </row>
    <row r="911" ht="15.75" customHeight="1">
      <c r="A911" s="7"/>
      <c r="B911" s="7"/>
      <c r="C911" s="7"/>
      <c r="D911" s="7"/>
      <c r="E911" s="7"/>
      <c r="F911" s="7"/>
    </row>
    <row r="912" ht="15.75" customHeight="1">
      <c r="A912" s="7"/>
      <c r="B912" s="7"/>
      <c r="C912" s="7"/>
      <c r="D912" s="7"/>
      <c r="E912" s="7"/>
      <c r="F912" s="7"/>
    </row>
    <row r="913" ht="15.75" customHeight="1">
      <c r="A913" s="7"/>
      <c r="B913" s="7"/>
      <c r="C913" s="7"/>
      <c r="D913" s="7"/>
      <c r="E913" s="7"/>
      <c r="F913" s="7"/>
    </row>
    <row r="914" ht="15.75" customHeight="1">
      <c r="A914" s="7"/>
      <c r="B914" s="7"/>
      <c r="C914" s="7"/>
      <c r="D914" s="7"/>
      <c r="E914" s="7"/>
      <c r="F914" s="7"/>
    </row>
    <row r="915" ht="15.75" customHeight="1">
      <c r="A915" s="7"/>
      <c r="B915" s="7"/>
      <c r="C915" s="7"/>
      <c r="D915" s="7"/>
      <c r="E915" s="7"/>
      <c r="F915" s="7"/>
    </row>
    <row r="916" ht="15.75" customHeight="1">
      <c r="A916" s="7"/>
      <c r="B916" s="7"/>
      <c r="C916" s="7"/>
      <c r="D916" s="7"/>
      <c r="E916" s="7"/>
      <c r="F916" s="7"/>
    </row>
    <row r="917" ht="15.75" customHeight="1">
      <c r="A917" s="7"/>
      <c r="B917" s="7"/>
      <c r="C917" s="7"/>
      <c r="D917" s="7"/>
      <c r="E917" s="7"/>
      <c r="F917" s="7"/>
    </row>
    <row r="918" ht="15.75" customHeight="1">
      <c r="A918" s="7"/>
      <c r="B918" s="7"/>
      <c r="C918" s="7"/>
      <c r="D918" s="7"/>
      <c r="E918" s="7"/>
      <c r="F918" s="7"/>
    </row>
    <row r="919" ht="15.75" customHeight="1">
      <c r="A919" s="7"/>
      <c r="B919" s="7"/>
      <c r="C919" s="7"/>
      <c r="D919" s="7"/>
      <c r="E919" s="7"/>
      <c r="F919" s="7"/>
    </row>
    <row r="920" ht="15.75" customHeight="1">
      <c r="A920" s="7"/>
      <c r="B920" s="7"/>
      <c r="C920" s="7"/>
      <c r="D920" s="7"/>
      <c r="E920" s="7"/>
      <c r="F920" s="7"/>
    </row>
    <row r="921" ht="15.75" customHeight="1">
      <c r="A921" s="7"/>
      <c r="B921" s="7"/>
      <c r="C921" s="7"/>
      <c r="D921" s="7"/>
      <c r="E921" s="7"/>
      <c r="F921" s="7"/>
    </row>
    <row r="922" ht="15.75" customHeight="1">
      <c r="A922" s="7"/>
      <c r="B922" s="7"/>
      <c r="C922" s="7"/>
      <c r="D922" s="7"/>
      <c r="E922" s="7"/>
      <c r="F922" s="7"/>
    </row>
    <row r="923" ht="15.75" customHeight="1">
      <c r="A923" s="7"/>
      <c r="B923" s="7"/>
      <c r="C923" s="7"/>
      <c r="D923" s="7"/>
      <c r="E923" s="7"/>
      <c r="F923" s="7"/>
    </row>
    <row r="924" ht="15.75" customHeight="1">
      <c r="A924" s="7"/>
      <c r="B924" s="7"/>
      <c r="C924" s="7"/>
      <c r="D924" s="7"/>
      <c r="E924" s="7"/>
      <c r="F924" s="7"/>
    </row>
    <row r="925" ht="15.75" customHeight="1">
      <c r="A925" s="7"/>
      <c r="B925" s="7"/>
      <c r="C925" s="7"/>
      <c r="D925" s="7"/>
      <c r="E925" s="7"/>
      <c r="F925" s="7"/>
    </row>
    <row r="926" ht="15.75" customHeight="1">
      <c r="A926" s="7"/>
      <c r="B926" s="7"/>
      <c r="C926" s="7"/>
      <c r="D926" s="7"/>
      <c r="E926" s="7"/>
      <c r="F926" s="7"/>
    </row>
    <row r="927" ht="15.75" customHeight="1">
      <c r="A927" s="7"/>
      <c r="B927" s="7"/>
      <c r="C927" s="7"/>
      <c r="D927" s="7"/>
      <c r="E927" s="7"/>
      <c r="F927" s="7"/>
    </row>
    <row r="928" ht="15.75" customHeight="1">
      <c r="A928" s="7"/>
      <c r="B928" s="7"/>
      <c r="C928" s="7"/>
      <c r="D928" s="7"/>
      <c r="E928" s="7"/>
      <c r="F928" s="7"/>
    </row>
    <row r="929" ht="15.75" customHeight="1">
      <c r="A929" s="7"/>
      <c r="B929" s="7"/>
      <c r="C929" s="7"/>
      <c r="D929" s="7"/>
      <c r="E929" s="7"/>
      <c r="F929" s="7"/>
    </row>
    <row r="930" ht="15.75" customHeight="1">
      <c r="A930" s="7"/>
      <c r="B930" s="7"/>
      <c r="C930" s="7"/>
      <c r="D930" s="7"/>
      <c r="E930" s="7"/>
      <c r="F930" s="7"/>
    </row>
    <row r="931" ht="15.75" customHeight="1">
      <c r="A931" s="7"/>
      <c r="B931" s="7"/>
      <c r="C931" s="7"/>
      <c r="D931" s="7"/>
      <c r="E931" s="7"/>
      <c r="F931" s="7"/>
    </row>
    <row r="932" ht="15.75" customHeight="1">
      <c r="A932" s="7"/>
      <c r="B932" s="7"/>
      <c r="C932" s="7"/>
      <c r="D932" s="7"/>
      <c r="E932" s="7"/>
      <c r="F932" s="7"/>
    </row>
    <row r="933" ht="15.75" customHeight="1">
      <c r="A933" s="7"/>
      <c r="B933" s="7"/>
      <c r="C933" s="7"/>
      <c r="D933" s="7"/>
      <c r="E933" s="7"/>
      <c r="F933" s="7"/>
    </row>
    <row r="934" ht="15.75" customHeight="1">
      <c r="A934" s="7"/>
      <c r="B934" s="7"/>
      <c r="C934" s="7"/>
      <c r="D934" s="7"/>
      <c r="E934" s="7"/>
      <c r="F934" s="7"/>
    </row>
    <row r="935" ht="15.75" customHeight="1">
      <c r="A935" s="7"/>
      <c r="B935" s="7"/>
      <c r="C935" s="7"/>
      <c r="D935" s="7"/>
      <c r="E935" s="7"/>
      <c r="F935" s="7"/>
    </row>
    <row r="936" ht="15.75" customHeight="1">
      <c r="A936" s="7"/>
      <c r="B936" s="7"/>
      <c r="C936" s="7"/>
      <c r="D936" s="7"/>
      <c r="E936" s="7"/>
      <c r="F936" s="7"/>
    </row>
    <row r="937" ht="15.75" customHeight="1">
      <c r="A937" s="7"/>
      <c r="B937" s="7"/>
      <c r="C937" s="7"/>
      <c r="D937" s="7"/>
      <c r="E937" s="7"/>
      <c r="F937" s="7"/>
    </row>
    <row r="938" ht="15.75" customHeight="1">
      <c r="A938" s="7"/>
      <c r="B938" s="7"/>
      <c r="C938" s="7"/>
      <c r="D938" s="7"/>
      <c r="E938" s="7"/>
      <c r="F938" s="7"/>
    </row>
    <row r="939" ht="15.75" customHeight="1">
      <c r="A939" s="7"/>
      <c r="B939" s="7"/>
      <c r="C939" s="7"/>
      <c r="D939" s="7"/>
      <c r="E939" s="7"/>
      <c r="F939" s="7"/>
    </row>
    <row r="940" ht="15.75" customHeight="1">
      <c r="A940" s="7"/>
      <c r="B940" s="7"/>
      <c r="C940" s="7"/>
      <c r="D940" s="7"/>
      <c r="E940" s="7"/>
      <c r="F940" s="7"/>
    </row>
    <row r="941" ht="15.75" customHeight="1">
      <c r="A941" s="7"/>
      <c r="B941" s="7"/>
      <c r="C941" s="7"/>
      <c r="D941" s="7"/>
      <c r="E941" s="7"/>
      <c r="F941" s="7"/>
    </row>
    <row r="942" ht="15.75" customHeight="1">
      <c r="A942" s="7"/>
      <c r="B942" s="7"/>
      <c r="C942" s="7"/>
      <c r="D942" s="7"/>
      <c r="E942" s="7"/>
      <c r="F942" s="7"/>
    </row>
    <row r="943" ht="15.75" customHeight="1">
      <c r="A943" s="7"/>
      <c r="B943" s="7"/>
      <c r="C943" s="7"/>
      <c r="D943" s="7"/>
      <c r="E943" s="7"/>
      <c r="F943" s="7"/>
    </row>
    <row r="944" ht="15.75" customHeight="1">
      <c r="A944" s="7"/>
      <c r="B944" s="7"/>
      <c r="C944" s="7"/>
      <c r="D944" s="7"/>
      <c r="E944" s="7"/>
      <c r="F944" s="7"/>
    </row>
    <row r="945" ht="15.75" customHeight="1">
      <c r="A945" s="7"/>
      <c r="B945" s="7"/>
      <c r="C945" s="7"/>
      <c r="D945" s="7"/>
      <c r="E945" s="7"/>
      <c r="F945" s="7"/>
    </row>
    <row r="946" ht="15.75" customHeight="1">
      <c r="A946" s="7"/>
      <c r="B946" s="7"/>
      <c r="C946" s="7"/>
      <c r="D946" s="7"/>
      <c r="E946" s="7"/>
      <c r="F946" s="7"/>
    </row>
    <row r="947" ht="15.75" customHeight="1">
      <c r="A947" s="7"/>
      <c r="B947" s="7"/>
      <c r="C947" s="7"/>
      <c r="D947" s="7"/>
      <c r="E947" s="7"/>
      <c r="F947" s="7"/>
    </row>
    <row r="948" ht="15.75" customHeight="1">
      <c r="A948" s="7"/>
      <c r="B948" s="7"/>
      <c r="C948" s="7"/>
      <c r="D948" s="7"/>
      <c r="E948" s="7"/>
      <c r="F948" s="7"/>
    </row>
    <row r="949" ht="15.75" customHeight="1">
      <c r="A949" s="7"/>
      <c r="B949" s="7"/>
      <c r="C949" s="7"/>
      <c r="D949" s="7"/>
      <c r="E949" s="7"/>
      <c r="F949" s="7"/>
    </row>
    <row r="950" ht="15.75" customHeight="1">
      <c r="A950" s="7"/>
      <c r="B950" s="7"/>
      <c r="C950" s="7"/>
      <c r="D950" s="7"/>
      <c r="E950" s="7"/>
      <c r="F950" s="7"/>
    </row>
    <row r="951" ht="15.75" customHeight="1">
      <c r="A951" s="7"/>
      <c r="B951" s="7"/>
      <c r="C951" s="7"/>
      <c r="D951" s="7"/>
      <c r="E951" s="7"/>
      <c r="F951" s="7"/>
    </row>
    <row r="952" ht="15.75" customHeight="1">
      <c r="A952" s="7"/>
      <c r="B952" s="7"/>
      <c r="C952" s="7"/>
      <c r="D952" s="7"/>
      <c r="E952" s="7"/>
      <c r="F952" s="7"/>
    </row>
    <row r="953" ht="15.75" customHeight="1">
      <c r="A953" s="7"/>
      <c r="B953" s="7"/>
      <c r="C953" s="7"/>
      <c r="D953" s="7"/>
      <c r="E953" s="7"/>
      <c r="F953" s="7"/>
    </row>
    <row r="954" ht="15.75" customHeight="1">
      <c r="A954" s="7"/>
      <c r="B954" s="7"/>
      <c r="C954" s="7"/>
      <c r="D954" s="7"/>
      <c r="E954" s="7"/>
      <c r="F954" s="7"/>
    </row>
    <row r="955" ht="15.75" customHeight="1">
      <c r="A955" s="7"/>
      <c r="B955" s="7"/>
      <c r="C955" s="7"/>
      <c r="D955" s="7"/>
      <c r="E955" s="7"/>
      <c r="F955" s="7"/>
    </row>
    <row r="956" ht="15.75" customHeight="1">
      <c r="A956" s="7"/>
      <c r="B956" s="7"/>
      <c r="C956" s="7"/>
      <c r="D956" s="7"/>
      <c r="E956" s="7"/>
      <c r="F956" s="7"/>
    </row>
    <row r="957" ht="15.75" customHeight="1">
      <c r="A957" s="7"/>
      <c r="B957" s="7"/>
      <c r="C957" s="7"/>
      <c r="D957" s="7"/>
      <c r="E957" s="7"/>
      <c r="F957" s="7"/>
    </row>
    <row r="958" ht="15.75" customHeight="1">
      <c r="A958" s="7"/>
      <c r="B958" s="7"/>
      <c r="C958" s="7"/>
      <c r="D958" s="7"/>
      <c r="E958" s="7"/>
      <c r="F958" s="7"/>
    </row>
    <row r="959" ht="15.75" customHeight="1">
      <c r="A959" s="7"/>
      <c r="B959" s="7"/>
      <c r="C959" s="7"/>
      <c r="D959" s="7"/>
      <c r="E959" s="7"/>
      <c r="F959" s="7"/>
    </row>
    <row r="960" ht="15.75" customHeight="1">
      <c r="A960" s="7"/>
      <c r="B960" s="7"/>
      <c r="C960" s="7"/>
      <c r="D960" s="7"/>
      <c r="E960" s="7"/>
      <c r="F960" s="7"/>
    </row>
    <row r="961" ht="15.75" customHeight="1">
      <c r="A961" s="7"/>
      <c r="B961" s="7"/>
      <c r="C961" s="7"/>
      <c r="D961" s="7"/>
      <c r="E961" s="7"/>
      <c r="F961" s="7"/>
    </row>
    <row r="962" ht="15.75" customHeight="1">
      <c r="A962" s="7"/>
      <c r="B962" s="7"/>
      <c r="C962" s="7"/>
      <c r="D962" s="7"/>
      <c r="E962" s="7"/>
      <c r="F962" s="7"/>
    </row>
    <row r="963" ht="15.75" customHeight="1">
      <c r="A963" s="7"/>
      <c r="B963" s="7"/>
      <c r="C963" s="7"/>
      <c r="D963" s="7"/>
      <c r="E963" s="7"/>
      <c r="F963" s="7"/>
    </row>
    <row r="964" ht="15.75" customHeight="1">
      <c r="A964" s="7"/>
      <c r="B964" s="7"/>
      <c r="C964" s="7"/>
      <c r="D964" s="7"/>
      <c r="E964" s="7"/>
      <c r="F964" s="7"/>
    </row>
    <row r="965" ht="15.75" customHeight="1">
      <c r="A965" s="7"/>
      <c r="B965" s="7"/>
      <c r="C965" s="7"/>
      <c r="D965" s="7"/>
      <c r="E965" s="7"/>
      <c r="F965" s="7"/>
    </row>
    <row r="966" ht="15.75" customHeight="1">
      <c r="A966" s="7"/>
      <c r="B966" s="7"/>
      <c r="C966" s="7"/>
      <c r="D966" s="7"/>
      <c r="E966" s="7"/>
      <c r="F966" s="7"/>
    </row>
    <row r="967" ht="15.75" customHeight="1">
      <c r="A967" s="7"/>
      <c r="B967" s="7"/>
      <c r="C967" s="7"/>
      <c r="D967" s="7"/>
      <c r="E967" s="7"/>
      <c r="F967" s="7"/>
    </row>
    <row r="968" ht="15.75" customHeight="1">
      <c r="A968" s="7"/>
      <c r="B968" s="7"/>
      <c r="C968" s="7"/>
      <c r="D968" s="7"/>
      <c r="E968" s="7"/>
      <c r="F968" s="7"/>
    </row>
    <row r="969" ht="15.75" customHeight="1">
      <c r="A969" s="7"/>
      <c r="B969" s="7"/>
      <c r="C969" s="7"/>
      <c r="D969" s="7"/>
      <c r="E969" s="7"/>
      <c r="F969" s="7"/>
    </row>
    <row r="970" ht="15.75" customHeight="1">
      <c r="A970" s="7"/>
      <c r="B970" s="7"/>
      <c r="C970" s="7"/>
      <c r="D970" s="7"/>
      <c r="E970" s="7"/>
      <c r="F970" s="7"/>
    </row>
    <row r="971" ht="15.75" customHeight="1">
      <c r="A971" s="7"/>
      <c r="B971" s="7"/>
      <c r="C971" s="7"/>
      <c r="D971" s="7"/>
      <c r="E971" s="7"/>
      <c r="F971" s="7"/>
    </row>
    <row r="972" ht="15.75" customHeight="1">
      <c r="A972" s="7"/>
      <c r="B972" s="7"/>
      <c r="C972" s="7"/>
      <c r="D972" s="7"/>
      <c r="E972" s="7"/>
      <c r="F972" s="7"/>
    </row>
    <row r="973" ht="15.75" customHeight="1">
      <c r="A973" s="7"/>
      <c r="B973" s="7"/>
      <c r="C973" s="7"/>
      <c r="D973" s="7"/>
      <c r="E973" s="7"/>
      <c r="F973" s="7"/>
    </row>
    <row r="974" ht="15.75" customHeight="1">
      <c r="A974" s="7"/>
      <c r="B974" s="7"/>
      <c r="C974" s="7"/>
      <c r="D974" s="7"/>
      <c r="E974" s="7"/>
      <c r="F974" s="7"/>
    </row>
    <row r="975" ht="15.75" customHeight="1">
      <c r="A975" s="7"/>
      <c r="B975" s="7"/>
      <c r="C975" s="7"/>
      <c r="D975" s="7"/>
      <c r="E975" s="7"/>
      <c r="F975" s="7"/>
    </row>
    <row r="976" ht="15.75" customHeight="1">
      <c r="A976" s="7"/>
      <c r="B976" s="7"/>
      <c r="C976" s="7"/>
      <c r="D976" s="7"/>
      <c r="E976" s="7"/>
      <c r="F976" s="7"/>
    </row>
    <row r="977" ht="15.75" customHeight="1">
      <c r="A977" s="7"/>
      <c r="B977" s="7"/>
      <c r="C977" s="7"/>
      <c r="D977" s="7"/>
      <c r="E977" s="7"/>
      <c r="F977" s="7"/>
    </row>
    <row r="978" ht="15.75" customHeight="1">
      <c r="A978" s="7"/>
      <c r="B978" s="7"/>
      <c r="C978" s="7"/>
      <c r="D978" s="7"/>
      <c r="E978" s="7"/>
      <c r="F978" s="7"/>
    </row>
    <row r="979" ht="15.75" customHeight="1">
      <c r="A979" s="7"/>
      <c r="B979" s="7"/>
      <c r="C979" s="7"/>
      <c r="D979" s="7"/>
      <c r="E979" s="7"/>
      <c r="F979" s="7"/>
    </row>
    <row r="980" ht="15.75" customHeight="1">
      <c r="A980" s="7"/>
      <c r="B980" s="7"/>
      <c r="C980" s="7"/>
      <c r="D980" s="7"/>
      <c r="E980" s="7"/>
      <c r="F980" s="7"/>
    </row>
    <row r="981" ht="15.75" customHeight="1">
      <c r="A981" s="7"/>
      <c r="B981" s="7"/>
      <c r="C981" s="7"/>
      <c r="D981" s="7"/>
      <c r="E981" s="7"/>
      <c r="F981" s="7"/>
    </row>
    <row r="982" ht="15.75" customHeight="1">
      <c r="A982" s="7"/>
      <c r="B982" s="7"/>
      <c r="C982" s="7"/>
      <c r="D982" s="7"/>
      <c r="E982" s="7"/>
      <c r="F982" s="7"/>
    </row>
    <row r="983" ht="15.75" customHeight="1">
      <c r="A983" s="7"/>
      <c r="B983" s="7"/>
      <c r="C983" s="7"/>
      <c r="D983" s="7"/>
      <c r="E983" s="7"/>
      <c r="F983" s="7"/>
    </row>
    <row r="984" ht="15.75" customHeight="1">
      <c r="A984" s="7"/>
      <c r="B984" s="7"/>
      <c r="C984" s="7"/>
      <c r="D984" s="7"/>
      <c r="E984" s="7"/>
      <c r="F984" s="7"/>
    </row>
    <row r="985" ht="15.75" customHeight="1">
      <c r="A985" s="7"/>
      <c r="B985" s="7"/>
      <c r="C985" s="7"/>
      <c r="D985" s="7"/>
      <c r="E985" s="7"/>
      <c r="F985" s="7"/>
    </row>
    <row r="986" ht="15.75" customHeight="1">
      <c r="A986" s="7"/>
      <c r="B986" s="7"/>
      <c r="C986" s="7"/>
      <c r="D986" s="7"/>
      <c r="E986" s="7"/>
      <c r="F986" s="7"/>
    </row>
    <row r="987" ht="15.75" customHeight="1">
      <c r="A987" s="7"/>
      <c r="B987" s="7"/>
      <c r="C987" s="7"/>
      <c r="D987" s="7"/>
      <c r="E987" s="7"/>
      <c r="F987" s="7"/>
    </row>
    <row r="988" ht="15.75" customHeight="1">
      <c r="A988" s="7"/>
      <c r="B988" s="7"/>
      <c r="C988" s="7"/>
      <c r="D988" s="7"/>
      <c r="E988" s="7"/>
      <c r="F988" s="7"/>
    </row>
    <row r="989" ht="15.75" customHeight="1">
      <c r="A989" s="7"/>
      <c r="B989" s="7"/>
      <c r="C989" s="7"/>
      <c r="D989" s="7"/>
      <c r="E989" s="7"/>
      <c r="F989" s="7"/>
    </row>
    <row r="990" ht="15.75" customHeight="1">
      <c r="A990" s="7"/>
      <c r="B990" s="7"/>
      <c r="C990" s="7"/>
      <c r="D990" s="7"/>
      <c r="E990" s="7"/>
      <c r="F990" s="7"/>
    </row>
    <row r="991" ht="15.75" customHeight="1">
      <c r="A991" s="7"/>
      <c r="B991" s="7"/>
      <c r="C991" s="7"/>
      <c r="D991" s="7"/>
      <c r="E991" s="7"/>
      <c r="F991" s="7"/>
    </row>
    <row r="992" ht="15.75" customHeight="1">
      <c r="A992" s="7"/>
      <c r="B992" s="7"/>
      <c r="C992" s="7"/>
      <c r="D992" s="7"/>
      <c r="E992" s="7"/>
      <c r="F992" s="7"/>
    </row>
    <row r="993" ht="15.75" customHeight="1">
      <c r="A993" s="7"/>
      <c r="B993" s="7"/>
      <c r="C993" s="7"/>
      <c r="D993" s="7"/>
      <c r="E993" s="7"/>
      <c r="F993" s="7"/>
    </row>
    <row r="994" ht="15.75" customHeight="1">
      <c r="A994" s="7"/>
      <c r="B994" s="7"/>
      <c r="C994" s="7"/>
      <c r="D994" s="7"/>
      <c r="E994" s="7"/>
      <c r="F994" s="7"/>
    </row>
    <row r="995" ht="15.75" customHeight="1">
      <c r="A995" s="7"/>
      <c r="B995" s="7"/>
      <c r="C995" s="7"/>
      <c r="D995" s="7"/>
      <c r="E995" s="7"/>
      <c r="F995" s="7"/>
    </row>
    <row r="996" ht="15.75" customHeight="1">
      <c r="A996" s="7"/>
      <c r="B996" s="7"/>
      <c r="C996" s="7"/>
      <c r="D996" s="7"/>
      <c r="E996" s="7"/>
      <c r="F996" s="7"/>
    </row>
    <row r="997" ht="15.75" customHeight="1">
      <c r="A997" s="7"/>
      <c r="B997" s="7"/>
      <c r="C997" s="7"/>
      <c r="D997" s="7"/>
      <c r="E997" s="7"/>
      <c r="F997" s="7"/>
    </row>
    <row r="998" ht="15.75" customHeight="1">
      <c r="A998" s="7"/>
      <c r="B998" s="7"/>
      <c r="C998" s="7"/>
      <c r="D998" s="7"/>
      <c r="E998" s="7"/>
      <c r="F998" s="7"/>
    </row>
    <row r="999" ht="15.75" customHeight="1">
      <c r="A999" s="7"/>
      <c r="B999" s="7"/>
      <c r="C999" s="7"/>
      <c r="D999" s="7"/>
      <c r="E999" s="7"/>
      <c r="F999" s="7"/>
    </row>
    <row r="1000" ht="15.75" customHeight="1">
      <c r="A1000" s="7"/>
      <c r="B1000" s="7"/>
      <c r="C1000" s="7"/>
      <c r="D1000" s="7"/>
      <c r="E1000" s="7"/>
      <c r="F1000" s="7"/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B2A4A"/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40.0"/>
    <col customWidth="1" min="3" max="3" width="20.0"/>
    <col customWidth="1" min="4" max="4" width="40.0"/>
    <col customWidth="1" min="5" max="6" width="8.71"/>
  </cols>
  <sheetData>
    <row r="1" ht="39.75" customHeight="1">
      <c r="A1" s="8" t="s">
        <v>37</v>
      </c>
      <c r="B1" s="9"/>
      <c r="C1" s="9"/>
      <c r="D1" s="10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0" customHeight="1">
      <c r="A3" s="11" t="s">
        <v>38</v>
      </c>
      <c r="B3" s="9"/>
      <c r="C3" s="9"/>
      <c r="D3" s="10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A4" s="2"/>
      <c r="B4" s="12" t="s">
        <v>39</v>
      </c>
      <c r="C4" s="13">
        <v>31.0</v>
      </c>
      <c r="D4" s="14" t="s">
        <v>40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2"/>
      <c r="B5" s="15" t="s">
        <v>41</v>
      </c>
      <c r="C5" s="16">
        <v>0.11</v>
      </c>
      <c r="D5" s="17" t="s">
        <v>42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0" customHeight="1">
      <c r="A6" s="2"/>
      <c r="B6" s="15" t="s">
        <v>43</v>
      </c>
      <c r="C6" s="18">
        <v>1.3</v>
      </c>
      <c r="D6" s="17" t="s">
        <v>44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3.25" customHeight="1">
      <c r="A7" s="2"/>
      <c r="B7" s="12" t="s">
        <v>45</v>
      </c>
      <c r="C7" s="19">
        <v>457.5</v>
      </c>
      <c r="D7" s="14" t="s">
        <v>46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3.25" customHeight="1">
      <c r="A8" s="2"/>
      <c r="B8" s="15" t="s">
        <v>47</v>
      </c>
      <c r="C8" s="16">
        <v>0.34</v>
      </c>
      <c r="D8" s="17" t="s">
        <v>48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2"/>
      <c r="B9" s="2" t="s">
        <v>49</v>
      </c>
      <c r="C9" s="20">
        <v>4.0</v>
      </c>
      <c r="D9" s="2" t="s">
        <v>50</v>
      </c>
      <c r="E9" s="2"/>
      <c r="F9" s="2"/>
    </row>
    <row r="10" ht="15.0" customHeight="1">
      <c r="A10" s="2"/>
      <c r="B10" s="2" t="s">
        <v>51</v>
      </c>
      <c r="C10" s="20">
        <v>1.0</v>
      </c>
      <c r="D10" s="2" t="s">
        <v>52</v>
      </c>
      <c r="E10" s="2"/>
      <c r="F10" s="2"/>
    </row>
    <row r="11" ht="23.25" customHeight="1">
      <c r="A11" s="2"/>
      <c r="B11" s="2" t="s">
        <v>53</v>
      </c>
      <c r="C11" s="21">
        <v>10.0</v>
      </c>
      <c r="D11" s="2" t="s">
        <v>54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3.25" customHeight="1">
      <c r="A12" s="22" t="s">
        <v>55</v>
      </c>
      <c r="B12" s="23"/>
      <c r="C12" s="23"/>
      <c r="D12" s="24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0" customHeight="1">
      <c r="A14" s="2"/>
      <c r="B14" s="15" t="s">
        <v>56</v>
      </c>
      <c r="C14" s="16">
        <v>0.7</v>
      </c>
      <c r="D14" s="17" t="s">
        <v>57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0" customHeight="1">
      <c r="A15" s="25"/>
      <c r="B15" s="2" t="s">
        <v>58</v>
      </c>
      <c r="C15" s="20">
        <v>0.3</v>
      </c>
      <c r="D15" s="2" t="s">
        <v>59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0" customHeight="1">
      <c r="A16" s="25"/>
      <c r="B16" s="2" t="s">
        <v>60</v>
      </c>
      <c r="C16" s="26">
        <f>C14+C15</f>
        <v>1</v>
      </c>
      <c r="D16" s="2" t="str">
        <f>IF(C16=1,"✓ Correcto","⚠ Debe sumar 100%")</f>
        <v>✓ Correcto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0" customHeight="1">
      <c r="A18" s="27" t="s">
        <v>61</v>
      </c>
      <c r="B18" s="23"/>
      <c r="C18" s="23"/>
      <c r="D18" s="24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0" customHeight="1">
      <c r="A20" s="25"/>
      <c r="B20" s="2" t="s">
        <v>62</v>
      </c>
      <c r="C20" s="20" t="s">
        <v>63</v>
      </c>
      <c r="D20" s="2" t="s">
        <v>64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5"/>
      <c r="B21" s="2" t="s">
        <v>65</v>
      </c>
      <c r="C21" s="20">
        <v>2026.0</v>
      </c>
      <c r="D21" s="2" t="s">
        <v>66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0" customHeight="1">
      <c r="A23" s="28" t="s">
        <v>67</v>
      </c>
      <c r="B23" s="23"/>
      <c r="C23" s="23"/>
      <c r="D23" s="24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9" t="s">
        <v>68</v>
      </c>
      <c r="C25" s="2"/>
      <c r="D25" s="30" t="s">
        <v>69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31" t="s">
        <v>70</v>
      </c>
      <c r="C26" s="2"/>
      <c r="D26" s="30" t="s">
        <v>71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7"/>
      <c r="B227" s="7"/>
      <c r="C227" s="7"/>
      <c r="D227" s="7"/>
      <c r="E227" s="7"/>
      <c r="F227" s="7"/>
    </row>
    <row r="228" ht="15.75" customHeight="1">
      <c r="A228" s="7"/>
      <c r="B228" s="7"/>
      <c r="C228" s="7"/>
      <c r="D228" s="7"/>
      <c r="E228" s="7"/>
      <c r="F228" s="7"/>
    </row>
    <row r="229" ht="15.75" customHeight="1">
      <c r="A229" s="7"/>
      <c r="B229" s="7"/>
      <c r="C229" s="7"/>
      <c r="D229" s="7"/>
      <c r="E229" s="7"/>
      <c r="F229" s="7"/>
    </row>
    <row r="230" ht="15.75" customHeight="1">
      <c r="A230" s="7"/>
      <c r="B230" s="7"/>
      <c r="C230" s="7"/>
      <c r="D230" s="7"/>
      <c r="E230" s="7"/>
      <c r="F230" s="7"/>
    </row>
    <row r="231" ht="15.75" customHeight="1">
      <c r="A231" s="7"/>
      <c r="B231" s="7"/>
      <c r="C231" s="7"/>
      <c r="D231" s="7"/>
      <c r="E231" s="7"/>
      <c r="F231" s="7"/>
    </row>
    <row r="232" ht="15.75" customHeight="1">
      <c r="A232" s="7"/>
      <c r="B232" s="7"/>
      <c r="C232" s="7"/>
      <c r="D232" s="7"/>
      <c r="E232" s="7"/>
      <c r="F232" s="7"/>
    </row>
    <row r="233" ht="15.75" customHeight="1">
      <c r="A233" s="7"/>
      <c r="B233" s="7"/>
      <c r="C233" s="7"/>
      <c r="D233" s="7"/>
      <c r="E233" s="7"/>
      <c r="F233" s="7"/>
    </row>
    <row r="234" ht="15.75" customHeight="1">
      <c r="A234" s="7"/>
      <c r="B234" s="7"/>
      <c r="C234" s="7"/>
      <c r="D234" s="7"/>
      <c r="E234" s="7"/>
      <c r="F234" s="7"/>
    </row>
    <row r="235" ht="15.75" customHeight="1">
      <c r="A235" s="7"/>
      <c r="B235" s="7"/>
      <c r="C235" s="7"/>
      <c r="D235" s="7"/>
      <c r="E235" s="7"/>
      <c r="F235" s="7"/>
    </row>
    <row r="236" ht="15.75" customHeight="1">
      <c r="A236" s="7"/>
      <c r="B236" s="7"/>
      <c r="C236" s="7"/>
      <c r="D236" s="7"/>
      <c r="E236" s="7"/>
      <c r="F236" s="7"/>
    </row>
    <row r="237" ht="15.75" customHeight="1">
      <c r="A237" s="7"/>
      <c r="B237" s="7"/>
      <c r="C237" s="7"/>
      <c r="D237" s="7"/>
      <c r="E237" s="7"/>
      <c r="F237" s="7"/>
    </row>
    <row r="238" ht="15.75" customHeight="1">
      <c r="A238" s="7"/>
      <c r="B238" s="7"/>
      <c r="C238" s="7"/>
      <c r="D238" s="7"/>
      <c r="E238" s="7"/>
      <c r="F238" s="7"/>
    </row>
    <row r="239" ht="15.75" customHeight="1">
      <c r="A239" s="7"/>
      <c r="B239" s="7"/>
      <c r="C239" s="7"/>
      <c r="D239" s="7"/>
      <c r="E239" s="7"/>
      <c r="F239" s="7"/>
    </row>
    <row r="240" ht="15.75" customHeight="1">
      <c r="A240" s="7"/>
      <c r="B240" s="7"/>
      <c r="C240" s="7"/>
      <c r="D240" s="7"/>
      <c r="E240" s="7"/>
      <c r="F240" s="7"/>
    </row>
    <row r="241" ht="15.75" customHeight="1">
      <c r="A241" s="7"/>
      <c r="B241" s="7"/>
      <c r="C241" s="7"/>
      <c r="D241" s="7"/>
      <c r="E241" s="7"/>
      <c r="F241" s="7"/>
    </row>
    <row r="242" ht="15.75" customHeight="1">
      <c r="A242" s="7"/>
      <c r="B242" s="7"/>
      <c r="C242" s="7"/>
      <c r="D242" s="7"/>
      <c r="E242" s="7"/>
      <c r="F242" s="7"/>
    </row>
    <row r="243" ht="15.75" customHeight="1">
      <c r="A243" s="7"/>
      <c r="B243" s="7"/>
      <c r="C243" s="7"/>
      <c r="D243" s="7"/>
      <c r="E243" s="7"/>
      <c r="F243" s="7"/>
    </row>
    <row r="244" ht="15.75" customHeight="1">
      <c r="A244" s="7"/>
      <c r="B244" s="7"/>
      <c r="C244" s="7"/>
      <c r="D244" s="7"/>
      <c r="E244" s="7"/>
      <c r="F244" s="7"/>
    </row>
    <row r="245" ht="15.75" customHeight="1">
      <c r="A245" s="7"/>
      <c r="B245" s="7"/>
      <c r="C245" s="7"/>
      <c r="D245" s="7"/>
      <c r="E245" s="7"/>
      <c r="F245" s="7"/>
    </row>
    <row r="246" ht="15.75" customHeight="1">
      <c r="A246" s="7"/>
      <c r="B246" s="7"/>
      <c r="C246" s="7"/>
      <c r="D246" s="7"/>
      <c r="E246" s="7"/>
      <c r="F246" s="7"/>
    </row>
    <row r="247" ht="15.75" customHeight="1">
      <c r="A247" s="7"/>
      <c r="B247" s="7"/>
      <c r="C247" s="7"/>
      <c r="D247" s="7"/>
      <c r="E247" s="7"/>
      <c r="F247" s="7"/>
    </row>
    <row r="248" ht="15.75" customHeight="1">
      <c r="A248" s="7"/>
      <c r="B248" s="7"/>
      <c r="C248" s="7"/>
      <c r="D248" s="7"/>
      <c r="E248" s="7"/>
      <c r="F248" s="7"/>
    </row>
    <row r="249" ht="15.75" customHeight="1">
      <c r="A249" s="7"/>
      <c r="B249" s="7"/>
      <c r="C249" s="7"/>
      <c r="D249" s="7"/>
      <c r="E249" s="7"/>
      <c r="F249" s="7"/>
    </row>
    <row r="250" ht="15.75" customHeight="1">
      <c r="A250" s="7"/>
      <c r="B250" s="7"/>
      <c r="C250" s="7"/>
      <c r="D250" s="7"/>
      <c r="E250" s="7"/>
      <c r="F250" s="7"/>
    </row>
    <row r="251" ht="15.75" customHeight="1">
      <c r="A251" s="7"/>
      <c r="B251" s="7"/>
      <c r="C251" s="7"/>
      <c r="D251" s="7"/>
      <c r="E251" s="7"/>
      <c r="F251" s="7"/>
    </row>
    <row r="252" ht="15.75" customHeight="1">
      <c r="A252" s="7"/>
      <c r="B252" s="7"/>
      <c r="C252" s="7"/>
      <c r="D252" s="7"/>
      <c r="E252" s="7"/>
      <c r="F252" s="7"/>
    </row>
    <row r="253" ht="15.75" customHeight="1">
      <c r="A253" s="7"/>
      <c r="B253" s="7"/>
      <c r="C253" s="7"/>
      <c r="D253" s="7"/>
      <c r="E253" s="7"/>
      <c r="F253" s="7"/>
    </row>
    <row r="254" ht="15.75" customHeight="1">
      <c r="A254" s="7"/>
      <c r="B254" s="7"/>
      <c r="C254" s="7"/>
      <c r="D254" s="7"/>
      <c r="E254" s="7"/>
      <c r="F254" s="7"/>
    </row>
    <row r="255" ht="15.75" customHeight="1">
      <c r="A255" s="7"/>
      <c r="B255" s="7"/>
      <c r="C255" s="7"/>
      <c r="D255" s="7"/>
      <c r="E255" s="7"/>
      <c r="F255" s="7"/>
    </row>
    <row r="256" ht="15.75" customHeight="1">
      <c r="A256" s="7"/>
      <c r="B256" s="7"/>
      <c r="C256" s="7"/>
      <c r="D256" s="7"/>
      <c r="E256" s="7"/>
      <c r="F256" s="7"/>
    </row>
    <row r="257" ht="15.75" customHeight="1">
      <c r="A257" s="7"/>
      <c r="B257" s="7"/>
      <c r="C257" s="7"/>
      <c r="D257" s="7"/>
      <c r="E257" s="7"/>
      <c r="F257" s="7"/>
    </row>
    <row r="258" ht="15.75" customHeight="1">
      <c r="A258" s="7"/>
      <c r="B258" s="7"/>
      <c r="C258" s="7"/>
      <c r="D258" s="7"/>
      <c r="E258" s="7"/>
      <c r="F258" s="7"/>
    </row>
    <row r="259" ht="15.75" customHeight="1">
      <c r="A259" s="7"/>
      <c r="B259" s="7"/>
      <c r="C259" s="7"/>
      <c r="D259" s="7"/>
      <c r="E259" s="7"/>
      <c r="F259" s="7"/>
    </row>
    <row r="260" ht="15.75" customHeight="1">
      <c r="A260" s="7"/>
      <c r="B260" s="7"/>
      <c r="C260" s="7"/>
      <c r="D260" s="7"/>
      <c r="E260" s="7"/>
      <c r="F260" s="7"/>
    </row>
    <row r="261" ht="15.75" customHeight="1">
      <c r="A261" s="7"/>
      <c r="B261" s="7"/>
      <c r="C261" s="7"/>
      <c r="D261" s="7"/>
      <c r="E261" s="7"/>
      <c r="F261" s="7"/>
    </row>
    <row r="262" ht="15.75" customHeight="1">
      <c r="A262" s="7"/>
      <c r="B262" s="7"/>
      <c r="C262" s="7"/>
      <c r="D262" s="7"/>
      <c r="E262" s="7"/>
      <c r="F262" s="7"/>
    </row>
    <row r="263" ht="15.75" customHeight="1">
      <c r="A263" s="7"/>
      <c r="B263" s="7"/>
      <c r="C263" s="7"/>
      <c r="D263" s="7"/>
      <c r="E263" s="7"/>
      <c r="F263" s="7"/>
    </row>
    <row r="264" ht="15.75" customHeight="1">
      <c r="A264" s="7"/>
      <c r="B264" s="7"/>
      <c r="C264" s="7"/>
      <c r="D264" s="7"/>
      <c r="E264" s="7"/>
      <c r="F264" s="7"/>
    </row>
    <row r="265" ht="15.75" customHeight="1">
      <c r="A265" s="7"/>
      <c r="B265" s="7"/>
      <c r="C265" s="7"/>
      <c r="D265" s="7"/>
      <c r="E265" s="7"/>
      <c r="F265" s="7"/>
    </row>
    <row r="266" ht="15.75" customHeight="1">
      <c r="A266" s="7"/>
      <c r="B266" s="7"/>
      <c r="C266" s="7"/>
      <c r="D266" s="7"/>
      <c r="E266" s="7"/>
      <c r="F266" s="7"/>
    </row>
    <row r="267" ht="15.75" customHeight="1">
      <c r="A267" s="7"/>
      <c r="B267" s="7"/>
      <c r="C267" s="7"/>
      <c r="D267" s="7"/>
      <c r="E267" s="7"/>
      <c r="F267" s="7"/>
    </row>
    <row r="268" ht="15.75" customHeight="1">
      <c r="A268" s="7"/>
      <c r="B268" s="7"/>
      <c r="C268" s="7"/>
      <c r="D268" s="7"/>
      <c r="E268" s="7"/>
      <c r="F268" s="7"/>
    </row>
    <row r="269" ht="15.75" customHeight="1">
      <c r="A269" s="7"/>
      <c r="B269" s="7"/>
      <c r="C269" s="7"/>
      <c r="D269" s="7"/>
      <c r="E269" s="7"/>
      <c r="F269" s="7"/>
    </row>
    <row r="270" ht="15.75" customHeight="1">
      <c r="A270" s="7"/>
      <c r="B270" s="7"/>
      <c r="C270" s="7"/>
      <c r="D270" s="7"/>
      <c r="E270" s="7"/>
      <c r="F270" s="7"/>
    </row>
    <row r="271" ht="15.75" customHeight="1">
      <c r="A271" s="7"/>
      <c r="B271" s="7"/>
      <c r="C271" s="7"/>
      <c r="D271" s="7"/>
      <c r="E271" s="7"/>
      <c r="F271" s="7"/>
    </row>
    <row r="272" ht="15.75" customHeight="1">
      <c r="A272" s="7"/>
      <c r="B272" s="7"/>
      <c r="C272" s="7"/>
      <c r="D272" s="7"/>
      <c r="E272" s="7"/>
      <c r="F272" s="7"/>
    </row>
    <row r="273" ht="15.75" customHeight="1">
      <c r="A273" s="7"/>
      <c r="B273" s="7"/>
      <c r="C273" s="7"/>
      <c r="D273" s="7"/>
      <c r="E273" s="7"/>
      <c r="F273" s="7"/>
    </row>
    <row r="274" ht="15.75" customHeight="1">
      <c r="A274" s="7"/>
      <c r="B274" s="7"/>
      <c r="C274" s="7"/>
      <c r="D274" s="7"/>
      <c r="E274" s="7"/>
      <c r="F274" s="7"/>
    </row>
    <row r="275" ht="15.75" customHeight="1">
      <c r="A275" s="7"/>
      <c r="B275" s="7"/>
      <c r="C275" s="7"/>
      <c r="D275" s="7"/>
      <c r="E275" s="7"/>
      <c r="F275" s="7"/>
    </row>
    <row r="276" ht="15.75" customHeight="1">
      <c r="A276" s="7"/>
      <c r="B276" s="7"/>
      <c r="C276" s="7"/>
      <c r="D276" s="7"/>
      <c r="E276" s="7"/>
      <c r="F276" s="7"/>
    </row>
    <row r="277" ht="15.75" customHeight="1">
      <c r="A277" s="7"/>
      <c r="B277" s="7"/>
      <c r="C277" s="7"/>
      <c r="D277" s="7"/>
      <c r="E277" s="7"/>
      <c r="F277" s="7"/>
    </row>
    <row r="278" ht="15.75" customHeight="1">
      <c r="A278" s="7"/>
      <c r="B278" s="7"/>
      <c r="C278" s="7"/>
      <c r="D278" s="7"/>
      <c r="E278" s="7"/>
      <c r="F278" s="7"/>
    </row>
    <row r="279" ht="15.75" customHeight="1">
      <c r="A279" s="7"/>
      <c r="B279" s="7"/>
      <c r="C279" s="7"/>
      <c r="D279" s="7"/>
      <c r="E279" s="7"/>
      <c r="F279" s="7"/>
    </row>
    <row r="280" ht="15.75" customHeight="1">
      <c r="A280" s="7"/>
      <c r="B280" s="7"/>
      <c r="C280" s="7"/>
      <c r="D280" s="7"/>
      <c r="E280" s="7"/>
      <c r="F280" s="7"/>
    </row>
    <row r="281" ht="15.75" customHeight="1">
      <c r="A281" s="7"/>
      <c r="B281" s="7"/>
      <c r="C281" s="7"/>
      <c r="D281" s="7"/>
      <c r="E281" s="7"/>
      <c r="F281" s="7"/>
    </row>
    <row r="282" ht="15.75" customHeight="1">
      <c r="A282" s="7"/>
      <c r="B282" s="7"/>
      <c r="C282" s="7"/>
      <c r="D282" s="7"/>
      <c r="E282" s="7"/>
      <c r="F282" s="7"/>
    </row>
    <row r="283" ht="15.75" customHeight="1">
      <c r="A283" s="7"/>
      <c r="B283" s="7"/>
      <c r="C283" s="7"/>
      <c r="D283" s="7"/>
      <c r="E283" s="7"/>
      <c r="F283" s="7"/>
    </row>
    <row r="284" ht="15.75" customHeight="1">
      <c r="A284" s="7"/>
      <c r="B284" s="7"/>
      <c r="C284" s="7"/>
      <c r="D284" s="7"/>
      <c r="E284" s="7"/>
      <c r="F284" s="7"/>
    </row>
    <row r="285" ht="15.75" customHeight="1">
      <c r="A285" s="7"/>
      <c r="B285" s="7"/>
      <c r="C285" s="7"/>
      <c r="D285" s="7"/>
      <c r="E285" s="7"/>
      <c r="F285" s="7"/>
    </row>
    <row r="286" ht="15.75" customHeight="1">
      <c r="A286" s="7"/>
      <c r="B286" s="7"/>
      <c r="C286" s="7"/>
      <c r="D286" s="7"/>
      <c r="E286" s="7"/>
      <c r="F286" s="7"/>
    </row>
    <row r="287" ht="15.75" customHeight="1">
      <c r="A287" s="7"/>
      <c r="B287" s="7"/>
      <c r="C287" s="7"/>
      <c r="D287" s="7"/>
      <c r="E287" s="7"/>
      <c r="F287" s="7"/>
    </row>
    <row r="288" ht="15.75" customHeight="1">
      <c r="A288" s="7"/>
      <c r="B288" s="7"/>
      <c r="C288" s="7"/>
      <c r="D288" s="7"/>
      <c r="E288" s="7"/>
      <c r="F288" s="7"/>
    </row>
    <row r="289" ht="15.75" customHeight="1">
      <c r="A289" s="7"/>
      <c r="B289" s="7"/>
      <c r="C289" s="7"/>
      <c r="D289" s="7"/>
      <c r="E289" s="7"/>
      <c r="F289" s="7"/>
    </row>
    <row r="290" ht="15.75" customHeight="1">
      <c r="A290" s="7"/>
      <c r="B290" s="7"/>
      <c r="C290" s="7"/>
      <c r="D290" s="7"/>
      <c r="E290" s="7"/>
      <c r="F290" s="7"/>
    </row>
    <row r="291" ht="15.75" customHeight="1">
      <c r="A291" s="7"/>
      <c r="B291" s="7"/>
      <c r="C291" s="7"/>
      <c r="D291" s="7"/>
      <c r="E291" s="7"/>
      <c r="F291" s="7"/>
    </row>
    <row r="292" ht="15.75" customHeight="1">
      <c r="A292" s="7"/>
      <c r="B292" s="7"/>
      <c r="C292" s="7"/>
      <c r="D292" s="7"/>
      <c r="E292" s="7"/>
      <c r="F292" s="7"/>
    </row>
    <row r="293" ht="15.75" customHeight="1">
      <c r="A293" s="7"/>
      <c r="B293" s="7"/>
      <c r="C293" s="7"/>
      <c r="D293" s="7"/>
      <c r="E293" s="7"/>
      <c r="F293" s="7"/>
    </row>
    <row r="294" ht="15.75" customHeight="1">
      <c r="A294" s="7"/>
      <c r="B294" s="7"/>
      <c r="C294" s="7"/>
      <c r="D294" s="7"/>
      <c r="E294" s="7"/>
      <c r="F294" s="7"/>
    </row>
    <row r="295" ht="15.75" customHeight="1">
      <c r="A295" s="7"/>
      <c r="B295" s="7"/>
      <c r="C295" s="7"/>
      <c r="D295" s="7"/>
      <c r="E295" s="7"/>
      <c r="F295" s="7"/>
    </row>
    <row r="296" ht="15.75" customHeight="1">
      <c r="A296" s="7"/>
      <c r="B296" s="7"/>
      <c r="C296" s="7"/>
      <c r="D296" s="7"/>
      <c r="E296" s="7"/>
      <c r="F296" s="7"/>
    </row>
    <row r="297" ht="15.75" customHeight="1">
      <c r="A297" s="7"/>
      <c r="B297" s="7"/>
      <c r="C297" s="7"/>
      <c r="D297" s="7"/>
      <c r="E297" s="7"/>
      <c r="F297" s="7"/>
    </row>
    <row r="298" ht="15.75" customHeight="1">
      <c r="A298" s="7"/>
      <c r="B298" s="7"/>
      <c r="C298" s="7"/>
      <c r="D298" s="7"/>
      <c r="E298" s="7"/>
      <c r="F298" s="7"/>
    </row>
    <row r="299" ht="15.75" customHeight="1">
      <c r="A299" s="7"/>
      <c r="B299" s="7"/>
      <c r="C299" s="7"/>
      <c r="D299" s="7"/>
      <c r="E299" s="7"/>
      <c r="F299" s="7"/>
    </row>
    <row r="300" ht="15.75" customHeight="1">
      <c r="A300" s="7"/>
      <c r="B300" s="7"/>
      <c r="C300" s="7"/>
      <c r="D300" s="7"/>
      <c r="E300" s="7"/>
      <c r="F300" s="7"/>
    </row>
    <row r="301" ht="15.75" customHeight="1">
      <c r="A301" s="7"/>
      <c r="B301" s="7"/>
      <c r="C301" s="7"/>
      <c r="D301" s="7"/>
      <c r="E301" s="7"/>
      <c r="F301" s="7"/>
    </row>
    <row r="302" ht="15.75" customHeight="1">
      <c r="A302" s="7"/>
      <c r="B302" s="7"/>
      <c r="C302" s="7"/>
      <c r="D302" s="7"/>
      <c r="E302" s="7"/>
      <c r="F302" s="7"/>
    </row>
    <row r="303" ht="15.75" customHeight="1">
      <c r="A303" s="7"/>
      <c r="B303" s="7"/>
      <c r="C303" s="7"/>
      <c r="D303" s="7"/>
      <c r="E303" s="7"/>
      <c r="F303" s="7"/>
    </row>
    <row r="304" ht="15.75" customHeight="1">
      <c r="A304" s="7"/>
      <c r="B304" s="7"/>
      <c r="C304" s="7"/>
      <c r="D304" s="7"/>
      <c r="E304" s="7"/>
      <c r="F304" s="7"/>
    </row>
    <row r="305" ht="15.75" customHeight="1">
      <c r="A305" s="7"/>
      <c r="B305" s="7"/>
      <c r="C305" s="7"/>
      <c r="D305" s="7"/>
      <c r="E305" s="7"/>
      <c r="F305" s="7"/>
    </row>
    <row r="306" ht="15.75" customHeight="1">
      <c r="A306" s="7"/>
      <c r="B306" s="7"/>
      <c r="C306" s="7"/>
      <c r="D306" s="7"/>
      <c r="E306" s="7"/>
      <c r="F306" s="7"/>
    </row>
    <row r="307" ht="15.75" customHeight="1">
      <c r="A307" s="7"/>
      <c r="B307" s="7"/>
      <c r="C307" s="7"/>
      <c r="D307" s="7"/>
      <c r="E307" s="7"/>
      <c r="F307" s="7"/>
    </row>
    <row r="308" ht="15.75" customHeight="1">
      <c r="A308" s="7"/>
      <c r="B308" s="7"/>
      <c r="C308" s="7"/>
      <c r="D308" s="7"/>
      <c r="E308" s="7"/>
      <c r="F308" s="7"/>
    </row>
    <row r="309" ht="15.75" customHeight="1">
      <c r="A309" s="7"/>
      <c r="B309" s="7"/>
      <c r="C309" s="7"/>
      <c r="D309" s="7"/>
      <c r="E309" s="7"/>
      <c r="F309" s="7"/>
    </row>
    <row r="310" ht="15.75" customHeight="1">
      <c r="A310" s="7"/>
      <c r="B310" s="7"/>
      <c r="C310" s="7"/>
      <c r="D310" s="7"/>
      <c r="E310" s="7"/>
      <c r="F310" s="7"/>
    </row>
    <row r="311" ht="15.75" customHeight="1">
      <c r="A311" s="7"/>
      <c r="B311" s="7"/>
      <c r="C311" s="7"/>
      <c r="D311" s="7"/>
      <c r="E311" s="7"/>
      <c r="F311" s="7"/>
    </row>
    <row r="312" ht="15.75" customHeight="1">
      <c r="A312" s="7"/>
      <c r="B312" s="7"/>
      <c r="C312" s="7"/>
      <c r="D312" s="7"/>
      <c r="E312" s="7"/>
      <c r="F312" s="7"/>
    </row>
    <row r="313" ht="15.75" customHeight="1">
      <c r="A313" s="7"/>
      <c r="B313" s="7"/>
      <c r="C313" s="7"/>
      <c r="D313" s="7"/>
      <c r="E313" s="7"/>
      <c r="F313" s="7"/>
    </row>
    <row r="314" ht="15.75" customHeight="1">
      <c r="A314" s="7"/>
      <c r="B314" s="7"/>
      <c r="C314" s="7"/>
      <c r="D314" s="7"/>
      <c r="E314" s="7"/>
      <c r="F314" s="7"/>
    </row>
    <row r="315" ht="15.75" customHeight="1">
      <c r="A315" s="7"/>
      <c r="B315" s="7"/>
      <c r="C315" s="7"/>
      <c r="D315" s="7"/>
      <c r="E315" s="7"/>
      <c r="F315" s="7"/>
    </row>
    <row r="316" ht="15.75" customHeight="1">
      <c r="A316" s="7"/>
      <c r="B316" s="7"/>
      <c r="C316" s="7"/>
      <c r="D316" s="7"/>
      <c r="E316" s="7"/>
      <c r="F316" s="7"/>
    </row>
    <row r="317" ht="15.75" customHeight="1">
      <c r="A317" s="7"/>
      <c r="B317" s="7"/>
      <c r="C317" s="7"/>
      <c r="D317" s="7"/>
      <c r="E317" s="7"/>
      <c r="F317" s="7"/>
    </row>
    <row r="318" ht="15.75" customHeight="1">
      <c r="A318" s="7"/>
      <c r="B318" s="7"/>
      <c r="C318" s="7"/>
      <c r="D318" s="7"/>
      <c r="E318" s="7"/>
      <c r="F318" s="7"/>
    </row>
    <row r="319" ht="15.75" customHeight="1">
      <c r="A319" s="7"/>
      <c r="B319" s="7"/>
      <c r="C319" s="7"/>
      <c r="D319" s="7"/>
      <c r="E319" s="7"/>
      <c r="F319" s="7"/>
    </row>
    <row r="320" ht="15.75" customHeight="1">
      <c r="A320" s="7"/>
      <c r="B320" s="7"/>
      <c r="C320" s="7"/>
      <c r="D320" s="7"/>
      <c r="E320" s="7"/>
      <c r="F320" s="7"/>
    </row>
    <row r="321" ht="15.75" customHeight="1">
      <c r="A321" s="7"/>
      <c r="B321" s="7"/>
      <c r="C321" s="7"/>
      <c r="D321" s="7"/>
      <c r="E321" s="7"/>
      <c r="F321" s="7"/>
    </row>
    <row r="322" ht="15.75" customHeight="1">
      <c r="A322" s="7"/>
      <c r="B322" s="7"/>
      <c r="C322" s="7"/>
      <c r="D322" s="7"/>
      <c r="E322" s="7"/>
      <c r="F322" s="7"/>
    </row>
    <row r="323" ht="15.75" customHeight="1">
      <c r="A323" s="7"/>
      <c r="B323" s="7"/>
      <c r="C323" s="7"/>
      <c r="D323" s="7"/>
      <c r="E323" s="7"/>
      <c r="F323" s="7"/>
    </row>
    <row r="324" ht="15.75" customHeight="1">
      <c r="A324" s="7"/>
      <c r="B324" s="7"/>
      <c r="C324" s="7"/>
      <c r="D324" s="7"/>
      <c r="E324" s="7"/>
      <c r="F324" s="7"/>
    </row>
    <row r="325" ht="15.75" customHeight="1">
      <c r="A325" s="7"/>
      <c r="B325" s="7"/>
      <c r="C325" s="7"/>
      <c r="D325" s="7"/>
      <c r="E325" s="7"/>
      <c r="F325" s="7"/>
    </row>
    <row r="326" ht="15.75" customHeight="1">
      <c r="A326" s="7"/>
      <c r="B326" s="7"/>
      <c r="C326" s="7"/>
      <c r="D326" s="7"/>
      <c r="E326" s="7"/>
      <c r="F326" s="7"/>
    </row>
    <row r="327" ht="15.75" customHeight="1">
      <c r="A327" s="7"/>
      <c r="B327" s="7"/>
      <c r="C327" s="7"/>
      <c r="D327" s="7"/>
      <c r="E327" s="7"/>
      <c r="F327" s="7"/>
    </row>
    <row r="328" ht="15.75" customHeight="1">
      <c r="A328" s="7"/>
      <c r="B328" s="7"/>
      <c r="C328" s="7"/>
      <c r="D328" s="7"/>
      <c r="E328" s="7"/>
      <c r="F328" s="7"/>
    </row>
    <row r="329" ht="15.75" customHeight="1">
      <c r="A329" s="7"/>
      <c r="B329" s="7"/>
      <c r="C329" s="7"/>
      <c r="D329" s="7"/>
      <c r="E329" s="7"/>
      <c r="F329" s="7"/>
    </row>
    <row r="330" ht="15.75" customHeight="1">
      <c r="A330" s="7"/>
      <c r="B330" s="7"/>
      <c r="C330" s="7"/>
      <c r="D330" s="7"/>
      <c r="E330" s="7"/>
      <c r="F330" s="7"/>
    </row>
    <row r="331" ht="15.75" customHeight="1">
      <c r="A331" s="7"/>
      <c r="B331" s="7"/>
      <c r="C331" s="7"/>
      <c r="D331" s="7"/>
      <c r="E331" s="7"/>
      <c r="F331" s="7"/>
    </row>
    <row r="332" ht="15.75" customHeight="1">
      <c r="A332" s="7"/>
      <c r="B332" s="7"/>
      <c r="C332" s="7"/>
      <c r="D332" s="7"/>
      <c r="E332" s="7"/>
      <c r="F332" s="7"/>
    </row>
    <row r="333" ht="15.75" customHeight="1">
      <c r="A333" s="7"/>
      <c r="B333" s="7"/>
      <c r="C333" s="7"/>
      <c r="D333" s="7"/>
      <c r="E333" s="7"/>
      <c r="F333" s="7"/>
    </row>
    <row r="334" ht="15.75" customHeight="1">
      <c r="A334" s="7"/>
      <c r="B334" s="7"/>
      <c r="C334" s="7"/>
      <c r="D334" s="7"/>
      <c r="E334" s="7"/>
      <c r="F334" s="7"/>
    </row>
    <row r="335" ht="15.75" customHeight="1">
      <c r="A335" s="7"/>
      <c r="B335" s="7"/>
      <c r="C335" s="7"/>
      <c r="D335" s="7"/>
      <c r="E335" s="7"/>
      <c r="F335" s="7"/>
    </row>
    <row r="336" ht="15.75" customHeight="1">
      <c r="A336" s="7"/>
      <c r="B336" s="7"/>
      <c r="C336" s="7"/>
      <c r="D336" s="7"/>
      <c r="E336" s="7"/>
      <c r="F336" s="7"/>
    </row>
    <row r="337" ht="15.75" customHeight="1">
      <c r="A337" s="7"/>
      <c r="B337" s="7"/>
      <c r="C337" s="7"/>
      <c r="D337" s="7"/>
      <c r="E337" s="7"/>
      <c r="F337" s="7"/>
    </row>
    <row r="338" ht="15.75" customHeight="1">
      <c r="A338" s="7"/>
      <c r="B338" s="7"/>
      <c r="C338" s="7"/>
      <c r="D338" s="7"/>
      <c r="E338" s="7"/>
      <c r="F338" s="7"/>
    </row>
    <row r="339" ht="15.75" customHeight="1">
      <c r="A339" s="7"/>
      <c r="B339" s="7"/>
      <c r="C339" s="7"/>
      <c r="D339" s="7"/>
      <c r="E339" s="7"/>
      <c r="F339" s="7"/>
    </row>
    <row r="340" ht="15.75" customHeight="1">
      <c r="A340" s="7"/>
      <c r="B340" s="7"/>
      <c r="C340" s="7"/>
      <c r="D340" s="7"/>
      <c r="E340" s="7"/>
      <c r="F340" s="7"/>
    </row>
    <row r="341" ht="15.75" customHeight="1">
      <c r="A341" s="7"/>
      <c r="B341" s="7"/>
      <c r="C341" s="7"/>
      <c r="D341" s="7"/>
      <c r="E341" s="7"/>
      <c r="F341" s="7"/>
    </row>
    <row r="342" ht="15.75" customHeight="1">
      <c r="A342" s="7"/>
      <c r="B342" s="7"/>
      <c r="C342" s="7"/>
      <c r="D342" s="7"/>
      <c r="E342" s="7"/>
      <c r="F342" s="7"/>
    </row>
    <row r="343" ht="15.75" customHeight="1">
      <c r="A343" s="7"/>
      <c r="B343" s="7"/>
      <c r="C343" s="7"/>
      <c r="D343" s="7"/>
      <c r="E343" s="7"/>
      <c r="F343" s="7"/>
    </row>
    <row r="344" ht="15.75" customHeight="1">
      <c r="A344" s="7"/>
      <c r="B344" s="7"/>
      <c r="C344" s="7"/>
      <c r="D344" s="7"/>
      <c r="E344" s="7"/>
      <c r="F344" s="7"/>
    </row>
    <row r="345" ht="15.75" customHeight="1">
      <c r="A345" s="7"/>
      <c r="B345" s="7"/>
      <c r="C345" s="7"/>
      <c r="D345" s="7"/>
      <c r="E345" s="7"/>
      <c r="F345" s="7"/>
    </row>
    <row r="346" ht="15.75" customHeight="1">
      <c r="A346" s="7"/>
      <c r="B346" s="7"/>
      <c r="C346" s="7"/>
      <c r="D346" s="7"/>
      <c r="E346" s="7"/>
      <c r="F346" s="7"/>
    </row>
    <row r="347" ht="15.75" customHeight="1">
      <c r="A347" s="7"/>
      <c r="B347" s="7"/>
      <c r="C347" s="7"/>
      <c r="D347" s="7"/>
      <c r="E347" s="7"/>
      <c r="F347" s="7"/>
    </row>
    <row r="348" ht="15.75" customHeight="1">
      <c r="A348" s="7"/>
      <c r="B348" s="7"/>
      <c r="C348" s="7"/>
      <c r="D348" s="7"/>
      <c r="E348" s="7"/>
      <c r="F348" s="7"/>
    </row>
    <row r="349" ht="15.75" customHeight="1">
      <c r="A349" s="7"/>
      <c r="B349" s="7"/>
      <c r="C349" s="7"/>
      <c r="D349" s="7"/>
      <c r="E349" s="7"/>
      <c r="F349" s="7"/>
    </row>
    <row r="350" ht="15.75" customHeight="1">
      <c r="A350" s="7"/>
      <c r="B350" s="7"/>
      <c r="C350" s="7"/>
      <c r="D350" s="7"/>
      <c r="E350" s="7"/>
      <c r="F350" s="7"/>
    </row>
    <row r="351" ht="15.75" customHeight="1">
      <c r="A351" s="7"/>
      <c r="B351" s="7"/>
      <c r="C351" s="7"/>
      <c r="D351" s="7"/>
      <c r="E351" s="7"/>
      <c r="F351" s="7"/>
    </row>
    <row r="352" ht="15.75" customHeight="1">
      <c r="A352" s="7"/>
      <c r="B352" s="7"/>
      <c r="C352" s="7"/>
      <c r="D352" s="7"/>
      <c r="E352" s="7"/>
      <c r="F352" s="7"/>
    </row>
    <row r="353" ht="15.75" customHeight="1">
      <c r="A353" s="7"/>
      <c r="B353" s="7"/>
      <c r="C353" s="7"/>
      <c r="D353" s="7"/>
      <c r="E353" s="7"/>
      <c r="F353" s="7"/>
    </row>
    <row r="354" ht="15.75" customHeight="1">
      <c r="A354" s="7"/>
      <c r="B354" s="7"/>
      <c r="C354" s="7"/>
      <c r="D354" s="7"/>
      <c r="E354" s="7"/>
      <c r="F354" s="7"/>
    </row>
    <row r="355" ht="15.75" customHeight="1">
      <c r="A355" s="7"/>
      <c r="B355" s="7"/>
      <c r="C355" s="7"/>
      <c r="D355" s="7"/>
      <c r="E355" s="7"/>
      <c r="F355" s="7"/>
    </row>
    <row r="356" ht="15.75" customHeight="1">
      <c r="A356" s="7"/>
      <c r="B356" s="7"/>
      <c r="C356" s="7"/>
      <c r="D356" s="7"/>
      <c r="E356" s="7"/>
      <c r="F356" s="7"/>
    </row>
    <row r="357" ht="15.75" customHeight="1">
      <c r="A357" s="7"/>
      <c r="B357" s="7"/>
      <c r="C357" s="7"/>
      <c r="D357" s="7"/>
      <c r="E357" s="7"/>
      <c r="F357" s="7"/>
    </row>
    <row r="358" ht="15.75" customHeight="1">
      <c r="A358" s="7"/>
      <c r="B358" s="7"/>
      <c r="C358" s="7"/>
      <c r="D358" s="7"/>
      <c r="E358" s="7"/>
      <c r="F358" s="7"/>
    </row>
    <row r="359" ht="15.75" customHeight="1">
      <c r="A359" s="7"/>
      <c r="B359" s="7"/>
      <c r="C359" s="7"/>
      <c r="D359" s="7"/>
      <c r="E359" s="7"/>
      <c r="F359" s="7"/>
    </row>
    <row r="360" ht="15.75" customHeight="1">
      <c r="A360" s="7"/>
      <c r="B360" s="7"/>
      <c r="C360" s="7"/>
      <c r="D360" s="7"/>
      <c r="E360" s="7"/>
      <c r="F360" s="7"/>
    </row>
    <row r="361" ht="15.75" customHeight="1">
      <c r="A361" s="7"/>
      <c r="B361" s="7"/>
      <c r="C361" s="7"/>
      <c r="D361" s="7"/>
      <c r="E361" s="7"/>
      <c r="F361" s="7"/>
    </row>
    <row r="362" ht="15.75" customHeight="1">
      <c r="A362" s="7"/>
      <c r="B362" s="7"/>
      <c r="C362" s="7"/>
      <c r="D362" s="7"/>
      <c r="E362" s="7"/>
      <c r="F362" s="7"/>
    </row>
    <row r="363" ht="15.75" customHeight="1">
      <c r="A363" s="7"/>
      <c r="B363" s="7"/>
      <c r="C363" s="7"/>
      <c r="D363" s="7"/>
      <c r="E363" s="7"/>
      <c r="F363" s="7"/>
    </row>
    <row r="364" ht="15.75" customHeight="1">
      <c r="A364" s="7"/>
      <c r="B364" s="7"/>
      <c r="C364" s="7"/>
      <c r="D364" s="7"/>
      <c r="E364" s="7"/>
      <c r="F364" s="7"/>
    </row>
    <row r="365" ht="15.75" customHeight="1">
      <c r="A365" s="7"/>
      <c r="B365" s="7"/>
      <c r="C365" s="7"/>
      <c r="D365" s="7"/>
      <c r="E365" s="7"/>
      <c r="F365" s="7"/>
    </row>
    <row r="366" ht="15.75" customHeight="1">
      <c r="A366" s="7"/>
      <c r="B366" s="7"/>
      <c r="C366" s="7"/>
      <c r="D366" s="7"/>
      <c r="E366" s="7"/>
      <c r="F366" s="7"/>
    </row>
    <row r="367" ht="15.75" customHeight="1">
      <c r="A367" s="7"/>
      <c r="B367" s="7"/>
      <c r="C367" s="7"/>
      <c r="D367" s="7"/>
      <c r="E367" s="7"/>
      <c r="F367" s="7"/>
    </row>
    <row r="368" ht="15.75" customHeight="1">
      <c r="A368" s="7"/>
      <c r="B368" s="7"/>
      <c r="C368" s="7"/>
      <c r="D368" s="7"/>
      <c r="E368" s="7"/>
      <c r="F368" s="7"/>
    </row>
    <row r="369" ht="15.75" customHeight="1">
      <c r="A369" s="7"/>
      <c r="B369" s="7"/>
      <c r="C369" s="7"/>
      <c r="D369" s="7"/>
      <c r="E369" s="7"/>
      <c r="F369" s="7"/>
    </row>
    <row r="370" ht="15.75" customHeight="1">
      <c r="A370" s="7"/>
      <c r="B370" s="7"/>
      <c r="C370" s="7"/>
      <c r="D370" s="7"/>
      <c r="E370" s="7"/>
      <c r="F370" s="7"/>
    </row>
    <row r="371" ht="15.75" customHeight="1">
      <c r="A371" s="7"/>
      <c r="B371" s="7"/>
      <c r="C371" s="7"/>
      <c r="D371" s="7"/>
      <c r="E371" s="7"/>
      <c r="F371" s="7"/>
    </row>
    <row r="372" ht="15.75" customHeight="1">
      <c r="A372" s="7"/>
      <c r="B372" s="7"/>
      <c r="C372" s="7"/>
      <c r="D372" s="7"/>
      <c r="E372" s="7"/>
      <c r="F372" s="7"/>
    </row>
    <row r="373" ht="15.75" customHeight="1">
      <c r="A373" s="7"/>
      <c r="B373" s="7"/>
      <c r="C373" s="7"/>
      <c r="D373" s="7"/>
      <c r="E373" s="7"/>
      <c r="F373" s="7"/>
    </row>
    <row r="374" ht="15.75" customHeight="1">
      <c r="A374" s="7"/>
      <c r="B374" s="7"/>
      <c r="C374" s="7"/>
      <c r="D374" s="7"/>
      <c r="E374" s="7"/>
      <c r="F374" s="7"/>
    </row>
    <row r="375" ht="15.75" customHeight="1">
      <c r="A375" s="7"/>
      <c r="B375" s="7"/>
      <c r="C375" s="7"/>
      <c r="D375" s="7"/>
      <c r="E375" s="7"/>
      <c r="F375" s="7"/>
    </row>
    <row r="376" ht="15.75" customHeight="1">
      <c r="A376" s="7"/>
      <c r="B376" s="7"/>
      <c r="C376" s="7"/>
      <c r="D376" s="7"/>
      <c r="E376" s="7"/>
      <c r="F376" s="7"/>
    </row>
    <row r="377" ht="15.75" customHeight="1">
      <c r="A377" s="7"/>
      <c r="B377" s="7"/>
      <c r="C377" s="7"/>
      <c r="D377" s="7"/>
      <c r="E377" s="7"/>
      <c r="F377" s="7"/>
    </row>
    <row r="378" ht="15.75" customHeight="1">
      <c r="A378" s="7"/>
      <c r="B378" s="7"/>
      <c r="C378" s="7"/>
      <c r="D378" s="7"/>
      <c r="E378" s="7"/>
      <c r="F378" s="7"/>
    </row>
    <row r="379" ht="15.75" customHeight="1">
      <c r="A379" s="7"/>
      <c r="B379" s="7"/>
      <c r="C379" s="7"/>
      <c r="D379" s="7"/>
      <c r="E379" s="7"/>
      <c r="F379" s="7"/>
    </row>
    <row r="380" ht="15.75" customHeight="1">
      <c r="A380" s="7"/>
      <c r="B380" s="7"/>
      <c r="C380" s="7"/>
      <c r="D380" s="7"/>
      <c r="E380" s="7"/>
      <c r="F380" s="7"/>
    </row>
    <row r="381" ht="15.75" customHeight="1">
      <c r="A381" s="7"/>
      <c r="B381" s="7"/>
      <c r="C381" s="7"/>
      <c r="D381" s="7"/>
      <c r="E381" s="7"/>
      <c r="F381" s="7"/>
    </row>
    <row r="382" ht="15.75" customHeight="1">
      <c r="A382" s="7"/>
      <c r="B382" s="7"/>
      <c r="C382" s="7"/>
      <c r="D382" s="7"/>
      <c r="E382" s="7"/>
      <c r="F382" s="7"/>
    </row>
    <row r="383" ht="15.75" customHeight="1">
      <c r="A383" s="7"/>
      <c r="B383" s="7"/>
      <c r="C383" s="7"/>
      <c r="D383" s="7"/>
      <c r="E383" s="7"/>
      <c r="F383" s="7"/>
    </row>
    <row r="384" ht="15.75" customHeight="1">
      <c r="A384" s="7"/>
      <c r="B384" s="7"/>
      <c r="C384" s="7"/>
      <c r="D384" s="7"/>
      <c r="E384" s="7"/>
      <c r="F384" s="7"/>
    </row>
    <row r="385" ht="15.75" customHeight="1">
      <c r="A385" s="7"/>
      <c r="B385" s="7"/>
      <c r="C385" s="7"/>
      <c r="D385" s="7"/>
      <c r="E385" s="7"/>
      <c r="F385" s="7"/>
    </row>
    <row r="386" ht="15.75" customHeight="1">
      <c r="A386" s="7"/>
      <c r="B386" s="7"/>
      <c r="C386" s="7"/>
      <c r="D386" s="7"/>
      <c r="E386" s="7"/>
      <c r="F386" s="7"/>
    </row>
    <row r="387" ht="15.75" customHeight="1">
      <c r="A387" s="7"/>
      <c r="B387" s="7"/>
      <c r="C387" s="7"/>
      <c r="D387" s="7"/>
      <c r="E387" s="7"/>
      <c r="F387" s="7"/>
    </row>
    <row r="388" ht="15.75" customHeight="1">
      <c r="A388" s="7"/>
      <c r="B388" s="7"/>
      <c r="C388" s="7"/>
      <c r="D388" s="7"/>
      <c r="E388" s="7"/>
      <c r="F388" s="7"/>
    </row>
    <row r="389" ht="15.75" customHeight="1">
      <c r="A389" s="7"/>
      <c r="B389" s="7"/>
      <c r="C389" s="7"/>
      <c r="D389" s="7"/>
      <c r="E389" s="7"/>
      <c r="F389" s="7"/>
    </row>
    <row r="390" ht="15.75" customHeight="1">
      <c r="A390" s="7"/>
      <c r="B390" s="7"/>
      <c r="C390" s="7"/>
      <c r="D390" s="7"/>
      <c r="E390" s="7"/>
      <c r="F390" s="7"/>
    </row>
    <row r="391" ht="15.75" customHeight="1">
      <c r="A391" s="7"/>
      <c r="B391" s="7"/>
      <c r="C391" s="7"/>
      <c r="D391" s="7"/>
      <c r="E391" s="7"/>
      <c r="F391" s="7"/>
    </row>
    <row r="392" ht="15.75" customHeight="1">
      <c r="A392" s="7"/>
      <c r="B392" s="7"/>
      <c r="C392" s="7"/>
      <c r="D392" s="7"/>
      <c r="E392" s="7"/>
      <c r="F392" s="7"/>
    </row>
    <row r="393" ht="15.75" customHeight="1">
      <c r="A393" s="7"/>
      <c r="B393" s="7"/>
      <c r="C393" s="7"/>
      <c r="D393" s="7"/>
      <c r="E393" s="7"/>
      <c r="F393" s="7"/>
    </row>
    <row r="394" ht="15.75" customHeight="1">
      <c r="A394" s="7"/>
      <c r="B394" s="7"/>
      <c r="C394" s="7"/>
      <c r="D394" s="7"/>
      <c r="E394" s="7"/>
      <c r="F394" s="7"/>
    </row>
    <row r="395" ht="15.75" customHeight="1">
      <c r="A395" s="7"/>
      <c r="B395" s="7"/>
      <c r="C395" s="7"/>
      <c r="D395" s="7"/>
      <c r="E395" s="7"/>
      <c r="F395" s="7"/>
    </row>
    <row r="396" ht="15.75" customHeight="1">
      <c r="A396" s="7"/>
      <c r="B396" s="7"/>
      <c r="C396" s="7"/>
      <c r="D396" s="7"/>
      <c r="E396" s="7"/>
      <c r="F396" s="7"/>
    </row>
    <row r="397" ht="15.75" customHeight="1">
      <c r="A397" s="7"/>
      <c r="B397" s="7"/>
      <c r="C397" s="7"/>
      <c r="D397" s="7"/>
      <c r="E397" s="7"/>
      <c r="F397" s="7"/>
    </row>
    <row r="398" ht="15.75" customHeight="1">
      <c r="A398" s="7"/>
      <c r="B398" s="7"/>
      <c r="C398" s="7"/>
      <c r="D398" s="7"/>
      <c r="E398" s="7"/>
      <c r="F398" s="7"/>
    </row>
    <row r="399" ht="15.75" customHeight="1">
      <c r="A399" s="7"/>
      <c r="B399" s="7"/>
      <c r="C399" s="7"/>
      <c r="D399" s="7"/>
      <c r="E399" s="7"/>
      <c r="F399" s="7"/>
    </row>
    <row r="400" ht="15.75" customHeight="1">
      <c r="A400" s="7"/>
      <c r="B400" s="7"/>
      <c r="C400" s="7"/>
      <c r="D400" s="7"/>
      <c r="E400" s="7"/>
      <c r="F400" s="7"/>
    </row>
    <row r="401" ht="15.75" customHeight="1">
      <c r="A401" s="7"/>
      <c r="B401" s="7"/>
      <c r="C401" s="7"/>
      <c r="D401" s="7"/>
      <c r="E401" s="7"/>
      <c r="F401" s="7"/>
    </row>
    <row r="402" ht="15.75" customHeight="1">
      <c r="A402" s="7"/>
      <c r="B402" s="7"/>
      <c r="C402" s="7"/>
      <c r="D402" s="7"/>
      <c r="E402" s="7"/>
      <c r="F402" s="7"/>
    </row>
    <row r="403" ht="15.75" customHeight="1">
      <c r="A403" s="7"/>
      <c r="B403" s="7"/>
      <c r="C403" s="7"/>
      <c r="D403" s="7"/>
      <c r="E403" s="7"/>
      <c r="F403" s="7"/>
    </row>
    <row r="404" ht="15.75" customHeight="1">
      <c r="A404" s="7"/>
      <c r="B404" s="7"/>
      <c r="C404" s="7"/>
      <c r="D404" s="7"/>
      <c r="E404" s="7"/>
      <c r="F404" s="7"/>
    </row>
    <row r="405" ht="15.75" customHeight="1">
      <c r="A405" s="7"/>
      <c r="B405" s="7"/>
      <c r="C405" s="7"/>
      <c r="D405" s="7"/>
      <c r="E405" s="7"/>
      <c r="F405" s="7"/>
    </row>
    <row r="406" ht="15.75" customHeight="1">
      <c r="A406" s="7"/>
      <c r="B406" s="7"/>
      <c r="C406" s="7"/>
      <c r="D406" s="7"/>
      <c r="E406" s="7"/>
      <c r="F406" s="7"/>
    </row>
    <row r="407" ht="15.75" customHeight="1">
      <c r="A407" s="7"/>
      <c r="B407" s="7"/>
      <c r="C407" s="7"/>
      <c r="D407" s="7"/>
      <c r="E407" s="7"/>
      <c r="F407" s="7"/>
    </row>
    <row r="408" ht="15.75" customHeight="1">
      <c r="A408" s="7"/>
      <c r="B408" s="7"/>
      <c r="C408" s="7"/>
      <c r="D408" s="7"/>
      <c r="E408" s="7"/>
      <c r="F408" s="7"/>
    </row>
    <row r="409" ht="15.75" customHeight="1">
      <c r="A409" s="7"/>
      <c r="B409" s="7"/>
      <c r="C409" s="7"/>
      <c r="D409" s="7"/>
      <c r="E409" s="7"/>
      <c r="F409" s="7"/>
    </row>
    <row r="410" ht="15.75" customHeight="1">
      <c r="A410" s="7"/>
      <c r="B410" s="7"/>
      <c r="C410" s="7"/>
      <c r="D410" s="7"/>
      <c r="E410" s="7"/>
      <c r="F410" s="7"/>
    </row>
    <row r="411" ht="15.75" customHeight="1">
      <c r="A411" s="7"/>
      <c r="B411" s="7"/>
      <c r="C411" s="7"/>
      <c r="D411" s="7"/>
      <c r="E411" s="7"/>
      <c r="F411" s="7"/>
    </row>
    <row r="412" ht="15.75" customHeight="1">
      <c r="A412" s="7"/>
      <c r="B412" s="7"/>
      <c r="C412" s="7"/>
      <c r="D412" s="7"/>
      <c r="E412" s="7"/>
      <c r="F412" s="7"/>
    </row>
    <row r="413" ht="15.75" customHeight="1">
      <c r="A413" s="7"/>
      <c r="B413" s="7"/>
      <c r="C413" s="7"/>
      <c r="D413" s="7"/>
      <c r="E413" s="7"/>
      <c r="F413" s="7"/>
    </row>
    <row r="414" ht="15.75" customHeight="1">
      <c r="A414" s="7"/>
      <c r="B414" s="7"/>
      <c r="C414" s="7"/>
      <c r="D414" s="7"/>
      <c r="E414" s="7"/>
      <c r="F414" s="7"/>
    </row>
    <row r="415" ht="15.75" customHeight="1">
      <c r="A415" s="7"/>
      <c r="B415" s="7"/>
      <c r="C415" s="7"/>
      <c r="D415" s="7"/>
      <c r="E415" s="7"/>
      <c r="F415" s="7"/>
    </row>
    <row r="416" ht="15.75" customHeight="1">
      <c r="A416" s="7"/>
      <c r="B416" s="7"/>
      <c r="C416" s="7"/>
      <c r="D416" s="7"/>
      <c r="E416" s="7"/>
      <c r="F416" s="7"/>
    </row>
    <row r="417" ht="15.75" customHeight="1">
      <c r="A417" s="7"/>
      <c r="B417" s="7"/>
      <c r="C417" s="7"/>
      <c r="D417" s="7"/>
      <c r="E417" s="7"/>
      <c r="F417" s="7"/>
    </row>
    <row r="418" ht="15.75" customHeight="1">
      <c r="A418" s="7"/>
      <c r="B418" s="7"/>
      <c r="C418" s="7"/>
      <c r="D418" s="7"/>
      <c r="E418" s="7"/>
      <c r="F418" s="7"/>
    </row>
    <row r="419" ht="15.75" customHeight="1">
      <c r="A419" s="7"/>
      <c r="B419" s="7"/>
      <c r="C419" s="7"/>
      <c r="D419" s="7"/>
      <c r="E419" s="7"/>
      <c r="F419" s="7"/>
    </row>
    <row r="420" ht="15.75" customHeight="1">
      <c r="A420" s="7"/>
      <c r="B420" s="7"/>
      <c r="C420" s="7"/>
      <c r="D420" s="7"/>
      <c r="E420" s="7"/>
      <c r="F420" s="7"/>
    </row>
    <row r="421" ht="15.75" customHeight="1">
      <c r="A421" s="7"/>
      <c r="B421" s="7"/>
      <c r="C421" s="7"/>
      <c r="D421" s="7"/>
      <c r="E421" s="7"/>
      <c r="F421" s="7"/>
    </row>
    <row r="422" ht="15.75" customHeight="1">
      <c r="A422" s="7"/>
      <c r="B422" s="7"/>
      <c r="C422" s="7"/>
      <c r="D422" s="7"/>
      <c r="E422" s="7"/>
      <c r="F422" s="7"/>
    </row>
    <row r="423" ht="15.75" customHeight="1">
      <c r="A423" s="7"/>
      <c r="B423" s="7"/>
      <c r="C423" s="7"/>
      <c r="D423" s="7"/>
      <c r="E423" s="7"/>
      <c r="F423" s="7"/>
    </row>
    <row r="424" ht="15.75" customHeight="1">
      <c r="A424" s="7"/>
      <c r="B424" s="7"/>
      <c r="C424" s="7"/>
      <c r="D424" s="7"/>
      <c r="E424" s="7"/>
      <c r="F424" s="7"/>
    </row>
    <row r="425" ht="15.75" customHeight="1">
      <c r="A425" s="7"/>
      <c r="B425" s="7"/>
      <c r="C425" s="7"/>
      <c r="D425" s="7"/>
      <c r="E425" s="7"/>
      <c r="F425" s="7"/>
    </row>
    <row r="426" ht="15.75" customHeight="1">
      <c r="A426" s="7"/>
      <c r="B426" s="7"/>
      <c r="C426" s="7"/>
      <c r="D426" s="7"/>
      <c r="E426" s="7"/>
      <c r="F426" s="7"/>
    </row>
    <row r="427" ht="15.75" customHeight="1">
      <c r="A427" s="7"/>
      <c r="B427" s="7"/>
      <c r="C427" s="7"/>
      <c r="D427" s="7"/>
      <c r="E427" s="7"/>
      <c r="F427" s="7"/>
    </row>
    <row r="428" ht="15.75" customHeight="1">
      <c r="A428" s="7"/>
      <c r="B428" s="7"/>
      <c r="C428" s="7"/>
      <c r="D428" s="7"/>
      <c r="E428" s="7"/>
      <c r="F428" s="7"/>
    </row>
    <row r="429" ht="15.75" customHeight="1">
      <c r="A429" s="7"/>
      <c r="B429" s="7"/>
      <c r="C429" s="7"/>
      <c r="D429" s="7"/>
      <c r="E429" s="7"/>
      <c r="F429" s="7"/>
    </row>
    <row r="430" ht="15.75" customHeight="1">
      <c r="A430" s="7"/>
      <c r="B430" s="7"/>
      <c r="C430" s="7"/>
      <c r="D430" s="7"/>
      <c r="E430" s="7"/>
      <c r="F430" s="7"/>
    </row>
    <row r="431" ht="15.75" customHeight="1">
      <c r="A431" s="7"/>
      <c r="B431" s="7"/>
      <c r="C431" s="7"/>
      <c r="D431" s="7"/>
      <c r="E431" s="7"/>
      <c r="F431" s="7"/>
    </row>
    <row r="432" ht="15.75" customHeight="1">
      <c r="A432" s="7"/>
      <c r="B432" s="7"/>
      <c r="C432" s="7"/>
      <c r="D432" s="7"/>
      <c r="E432" s="7"/>
      <c r="F432" s="7"/>
    </row>
    <row r="433" ht="15.75" customHeight="1">
      <c r="A433" s="7"/>
      <c r="B433" s="7"/>
      <c r="C433" s="7"/>
      <c r="D433" s="7"/>
      <c r="E433" s="7"/>
      <c r="F433" s="7"/>
    </row>
    <row r="434" ht="15.75" customHeight="1">
      <c r="A434" s="7"/>
      <c r="B434" s="7"/>
      <c r="C434" s="7"/>
      <c r="D434" s="7"/>
      <c r="E434" s="7"/>
      <c r="F434" s="7"/>
    </row>
    <row r="435" ht="15.75" customHeight="1">
      <c r="A435" s="7"/>
      <c r="B435" s="7"/>
      <c r="C435" s="7"/>
      <c r="D435" s="7"/>
      <c r="E435" s="7"/>
      <c r="F435" s="7"/>
    </row>
    <row r="436" ht="15.75" customHeight="1">
      <c r="A436" s="7"/>
      <c r="B436" s="7"/>
      <c r="C436" s="7"/>
      <c r="D436" s="7"/>
      <c r="E436" s="7"/>
      <c r="F436" s="7"/>
    </row>
    <row r="437" ht="15.75" customHeight="1">
      <c r="A437" s="7"/>
      <c r="B437" s="7"/>
      <c r="C437" s="7"/>
      <c r="D437" s="7"/>
      <c r="E437" s="7"/>
      <c r="F437" s="7"/>
    </row>
    <row r="438" ht="15.75" customHeight="1">
      <c r="A438" s="7"/>
      <c r="B438" s="7"/>
      <c r="C438" s="7"/>
      <c r="D438" s="7"/>
      <c r="E438" s="7"/>
      <c r="F438" s="7"/>
    </row>
    <row r="439" ht="15.75" customHeight="1">
      <c r="A439" s="7"/>
      <c r="B439" s="7"/>
      <c r="C439" s="7"/>
      <c r="D439" s="7"/>
      <c r="E439" s="7"/>
      <c r="F439" s="7"/>
    </row>
    <row r="440" ht="15.75" customHeight="1">
      <c r="A440" s="7"/>
      <c r="B440" s="7"/>
      <c r="C440" s="7"/>
      <c r="D440" s="7"/>
      <c r="E440" s="7"/>
      <c r="F440" s="7"/>
    </row>
    <row r="441" ht="15.75" customHeight="1">
      <c r="A441" s="7"/>
      <c r="B441" s="7"/>
      <c r="C441" s="7"/>
      <c r="D441" s="7"/>
      <c r="E441" s="7"/>
      <c r="F441" s="7"/>
    </row>
    <row r="442" ht="15.75" customHeight="1">
      <c r="A442" s="7"/>
      <c r="B442" s="7"/>
      <c r="C442" s="7"/>
      <c r="D442" s="7"/>
      <c r="E442" s="7"/>
      <c r="F442" s="7"/>
    </row>
    <row r="443" ht="15.75" customHeight="1">
      <c r="A443" s="7"/>
      <c r="B443" s="7"/>
      <c r="C443" s="7"/>
      <c r="D443" s="7"/>
      <c r="E443" s="7"/>
      <c r="F443" s="7"/>
    </row>
    <row r="444" ht="15.75" customHeight="1">
      <c r="A444" s="7"/>
      <c r="B444" s="7"/>
      <c r="C444" s="7"/>
      <c r="D444" s="7"/>
      <c r="E444" s="7"/>
      <c r="F444" s="7"/>
    </row>
    <row r="445" ht="15.75" customHeight="1">
      <c r="A445" s="7"/>
      <c r="B445" s="7"/>
      <c r="C445" s="7"/>
      <c r="D445" s="7"/>
      <c r="E445" s="7"/>
      <c r="F445" s="7"/>
    </row>
    <row r="446" ht="15.75" customHeight="1">
      <c r="A446" s="7"/>
      <c r="B446" s="7"/>
      <c r="C446" s="7"/>
      <c r="D446" s="7"/>
      <c r="E446" s="7"/>
      <c r="F446" s="7"/>
    </row>
    <row r="447" ht="15.75" customHeight="1">
      <c r="A447" s="7"/>
      <c r="B447" s="7"/>
      <c r="C447" s="7"/>
      <c r="D447" s="7"/>
      <c r="E447" s="7"/>
      <c r="F447" s="7"/>
    </row>
    <row r="448" ht="15.75" customHeight="1">
      <c r="A448" s="7"/>
      <c r="B448" s="7"/>
      <c r="C448" s="7"/>
      <c r="D448" s="7"/>
      <c r="E448" s="7"/>
      <c r="F448" s="7"/>
    </row>
    <row r="449" ht="15.75" customHeight="1">
      <c r="A449" s="7"/>
      <c r="B449" s="7"/>
      <c r="C449" s="7"/>
      <c r="D449" s="7"/>
      <c r="E449" s="7"/>
      <c r="F449" s="7"/>
    </row>
    <row r="450" ht="15.75" customHeight="1">
      <c r="A450" s="7"/>
      <c r="B450" s="7"/>
      <c r="C450" s="7"/>
      <c r="D450" s="7"/>
      <c r="E450" s="7"/>
      <c r="F450" s="7"/>
    </row>
    <row r="451" ht="15.75" customHeight="1">
      <c r="A451" s="7"/>
      <c r="B451" s="7"/>
      <c r="C451" s="7"/>
      <c r="D451" s="7"/>
      <c r="E451" s="7"/>
      <c r="F451" s="7"/>
    </row>
    <row r="452" ht="15.75" customHeight="1">
      <c r="A452" s="7"/>
      <c r="B452" s="7"/>
      <c r="C452" s="7"/>
      <c r="D452" s="7"/>
      <c r="E452" s="7"/>
      <c r="F452" s="7"/>
    </row>
    <row r="453" ht="15.75" customHeight="1">
      <c r="A453" s="7"/>
      <c r="B453" s="7"/>
      <c r="C453" s="7"/>
      <c r="D453" s="7"/>
      <c r="E453" s="7"/>
      <c r="F453" s="7"/>
    </row>
    <row r="454" ht="15.75" customHeight="1">
      <c r="A454" s="7"/>
      <c r="B454" s="7"/>
      <c r="C454" s="7"/>
      <c r="D454" s="7"/>
      <c r="E454" s="7"/>
      <c r="F454" s="7"/>
    </row>
    <row r="455" ht="15.75" customHeight="1">
      <c r="A455" s="7"/>
      <c r="B455" s="7"/>
      <c r="C455" s="7"/>
      <c r="D455" s="7"/>
      <c r="E455" s="7"/>
      <c r="F455" s="7"/>
    </row>
    <row r="456" ht="15.75" customHeight="1">
      <c r="A456" s="7"/>
      <c r="B456" s="7"/>
      <c r="C456" s="7"/>
      <c r="D456" s="7"/>
      <c r="E456" s="7"/>
      <c r="F456" s="7"/>
    </row>
    <row r="457" ht="15.75" customHeight="1">
      <c r="A457" s="7"/>
      <c r="B457" s="7"/>
      <c r="C457" s="7"/>
      <c r="D457" s="7"/>
      <c r="E457" s="7"/>
      <c r="F457" s="7"/>
    </row>
    <row r="458" ht="15.75" customHeight="1">
      <c r="A458" s="7"/>
      <c r="B458" s="7"/>
      <c r="C458" s="7"/>
      <c r="D458" s="7"/>
      <c r="E458" s="7"/>
      <c r="F458" s="7"/>
    </row>
    <row r="459" ht="15.75" customHeight="1">
      <c r="A459" s="7"/>
      <c r="B459" s="7"/>
      <c r="C459" s="7"/>
      <c r="D459" s="7"/>
      <c r="E459" s="7"/>
      <c r="F459" s="7"/>
    </row>
    <row r="460" ht="15.75" customHeight="1">
      <c r="A460" s="7"/>
      <c r="B460" s="7"/>
      <c r="C460" s="7"/>
      <c r="D460" s="7"/>
      <c r="E460" s="7"/>
      <c r="F460" s="7"/>
    </row>
    <row r="461" ht="15.75" customHeight="1">
      <c r="A461" s="7"/>
      <c r="B461" s="7"/>
      <c r="C461" s="7"/>
      <c r="D461" s="7"/>
      <c r="E461" s="7"/>
      <c r="F461" s="7"/>
    </row>
    <row r="462" ht="15.75" customHeight="1">
      <c r="A462" s="7"/>
      <c r="B462" s="7"/>
      <c r="C462" s="7"/>
      <c r="D462" s="7"/>
      <c r="E462" s="7"/>
      <c r="F462" s="7"/>
    </row>
    <row r="463" ht="15.75" customHeight="1">
      <c r="A463" s="7"/>
      <c r="B463" s="7"/>
      <c r="C463" s="7"/>
      <c r="D463" s="7"/>
      <c r="E463" s="7"/>
      <c r="F463" s="7"/>
    </row>
    <row r="464" ht="15.75" customHeight="1">
      <c r="A464" s="7"/>
      <c r="B464" s="7"/>
      <c r="C464" s="7"/>
      <c r="D464" s="7"/>
      <c r="E464" s="7"/>
      <c r="F464" s="7"/>
    </row>
    <row r="465" ht="15.75" customHeight="1">
      <c r="A465" s="7"/>
      <c r="B465" s="7"/>
      <c r="C465" s="7"/>
      <c r="D465" s="7"/>
      <c r="E465" s="7"/>
      <c r="F465" s="7"/>
    </row>
    <row r="466" ht="15.75" customHeight="1">
      <c r="A466" s="7"/>
      <c r="B466" s="7"/>
      <c r="C466" s="7"/>
      <c r="D466" s="7"/>
      <c r="E466" s="7"/>
      <c r="F466" s="7"/>
    </row>
    <row r="467" ht="15.75" customHeight="1">
      <c r="A467" s="7"/>
      <c r="B467" s="7"/>
      <c r="C467" s="7"/>
      <c r="D467" s="7"/>
      <c r="E467" s="7"/>
      <c r="F467" s="7"/>
    </row>
    <row r="468" ht="15.75" customHeight="1">
      <c r="A468" s="7"/>
      <c r="B468" s="7"/>
      <c r="C468" s="7"/>
      <c r="D468" s="7"/>
      <c r="E468" s="7"/>
      <c r="F468" s="7"/>
    </row>
    <row r="469" ht="15.75" customHeight="1">
      <c r="A469" s="7"/>
      <c r="B469" s="7"/>
      <c r="C469" s="7"/>
      <c r="D469" s="7"/>
      <c r="E469" s="7"/>
      <c r="F469" s="7"/>
    </row>
    <row r="470" ht="15.75" customHeight="1">
      <c r="A470" s="7"/>
      <c r="B470" s="7"/>
      <c r="C470" s="7"/>
      <c r="D470" s="7"/>
      <c r="E470" s="7"/>
      <c r="F470" s="7"/>
    </row>
    <row r="471" ht="15.75" customHeight="1">
      <c r="A471" s="7"/>
      <c r="B471" s="7"/>
      <c r="C471" s="7"/>
      <c r="D471" s="7"/>
      <c r="E471" s="7"/>
      <c r="F471" s="7"/>
    </row>
    <row r="472" ht="15.75" customHeight="1">
      <c r="A472" s="7"/>
      <c r="B472" s="7"/>
      <c r="C472" s="7"/>
      <c r="D472" s="7"/>
      <c r="E472" s="7"/>
      <c r="F472" s="7"/>
    </row>
    <row r="473" ht="15.75" customHeight="1">
      <c r="A473" s="7"/>
      <c r="B473" s="7"/>
      <c r="C473" s="7"/>
      <c r="D473" s="7"/>
      <c r="E473" s="7"/>
      <c r="F473" s="7"/>
    </row>
    <row r="474" ht="15.75" customHeight="1">
      <c r="A474" s="7"/>
      <c r="B474" s="7"/>
      <c r="C474" s="7"/>
      <c r="D474" s="7"/>
      <c r="E474" s="7"/>
      <c r="F474" s="7"/>
    </row>
    <row r="475" ht="15.75" customHeight="1">
      <c r="A475" s="7"/>
      <c r="B475" s="7"/>
      <c r="C475" s="7"/>
      <c r="D475" s="7"/>
      <c r="E475" s="7"/>
      <c r="F475" s="7"/>
    </row>
    <row r="476" ht="15.75" customHeight="1">
      <c r="A476" s="7"/>
      <c r="B476" s="7"/>
      <c r="C476" s="7"/>
      <c r="D476" s="7"/>
      <c r="E476" s="7"/>
      <c r="F476" s="7"/>
    </row>
    <row r="477" ht="15.75" customHeight="1">
      <c r="A477" s="7"/>
      <c r="B477" s="7"/>
      <c r="C477" s="7"/>
      <c r="D477" s="7"/>
      <c r="E477" s="7"/>
      <c r="F477" s="7"/>
    </row>
    <row r="478" ht="15.75" customHeight="1">
      <c r="A478" s="7"/>
      <c r="B478" s="7"/>
      <c r="C478" s="7"/>
      <c r="D478" s="7"/>
      <c r="E478" s="7"/>
      <c r="F478" s="7"/>
    </row>
    <row r="479" ht="15.75" customHeight="1">
      <c r="A479" s="7"/>
      <c r="B479" s="7"/>
      <c r="C479" s="7"/>
      <c r="D479" s="7"/>
      <c r="E479" s="7"/>
      <c r="F479" s="7"/>
    </row>
    <row r="480" ht="15.75" customHeight="1">
      <c r="A480" s="7"/>
      <c r="B480" s="7"/>
      <c r="C480" s="7"/>
      <c r="D480" s="7"/>
      <c r="E480" s="7"/>
      <c r="F480" s="7"/>
    </row>
    <row r="481" ht="15.75" customHeight="1">
      <c r="A481" s="7"/>
      <c r="B481" s="7"/>
      <c r="C481" s="7"/>
      <c r="D481" s="7"/>
      <c r="E481" s="7"/>
      <c r="F481" s="7"/>
    </row>
    <row r="482" ht="15.75" customHeight="1">
      <c r="A482" s="7"/>
      <c r="B482" s="7"/>
      <c r="C482" s="7"/>
      <c r="D482" s="7"/>
      <c r="E482" s="7"/>
      <c r="F482" s="7"/>
    </row>
    <row r="483" ht="15.75" customHeight="1">
      <c r="A483" s="7"/>
      <c r="B483" s="7"/>
      <c r="C483" s="7"/>
      <c r="D483" s="7"/>
      <c r="E483" s="7"/>
      <c r="F483" s="7"/>
    </row>
    <row r="484" ht="15.75" customHeight="1">
      <c r="A484" s="7"/>
      <c r="B484" s="7"/>
      <c r="C484" s="7"/>
      <c r="D484" s="7"/>
      <c r="E484" s="7"/>
      <c r="F484" s="7"/>
    </row>
    <row r="485" ht="15.75" customHeight="1">
      <c r="A485" s="7"/>
      <c r="B485" s="7"/>
      <c r="C485" s="7"/>
      <c r="D485" s="7"/>
      <c r="E485" s="7"/>
      <c r="F485" s="7"/>
    </row>
    <row r="486" ht="15.75" customHeight="1">
      <c r="A486" s="7"/>
      <c r="B486" s="7"/>
      <c r="C486" s="7"/>
      <c r="D486" s="7"/>
      <c r="E486" s="7"/>
      <c r="F486" s="7"/>
    </row>
    <row r="487" ht="15.75" customHeight="1">
      <c r="A487" s="7"/>
      <c r="B487" s="7"/>
      <c r="C487" s="7"/>
      <c r="D487" s="7"/>
      <c r="E487" s="7"/>
      <c r="F487" s="7"/>
    </row>
    <row r="488" ht="15.75" customHeight="1">
      <c r="A488" s="7"/>
      <c r="B488" s="7"/>
      <c r="C488" s="7"/>
      <c r="D488" s="7"/>
      <c r="E488" s="7"/>
      <c r="F488" s="7"/>
    </row>
    <row r="489" ht="15.75" customHeight="1">
      <c r="A489" s="7"/>
      <c r="B489" s="7"/>
      <c r="C489" s="7"/>
      <c r="D489" s="7"/>
      <c r="E489" s="7"/>
      <c r="F489" s="7"/>
    </row>
    <row r="490" ht="15.75" customHeight="1">
      <c r="A490" s="7"/>
      <c r="B490" s="7"/>
      <c r="C490" s="7"/>
      <c r="D490" s="7"/>
      <c r="E490" s="7"/>
      <c r="F490" s="7"/>
    </row>
    <row r="491" ht="15.75" customHeight="1">
      <c r="A491" s="7"/>
      <c r="B491" s="7"/>
      <c r="C491" s="7"/>
      <c r="D491" s="7"/>
      <c r="E491" s="7"/>
      <c r="F491" s="7"/>
    </row>
    <row r="492" ht="15.75" customHeight="1">
      <c r="A492" s="7"/>
      <c r="B492" s="7"/>
      <c r="C492" s="7"/>
      <c r="D492" s="7"/>
      <c r="E492" s="7"/>
      <c r="F492" s="7"/>
    </row>
    <row r="493" ht="15.75" customHeight="1">
      <c r="A493" s="7"/>
      <c r="B493" s="7"/>
      <c r="C493" s="7"/>
      <c r="D493" s="7"/>
      <c r="E493" s="7"/>
      <c r="F493" s="7"/>
    </row>
    <row r="494" ht="15.75" customHeight="1">
      <c r="A494" s="7"/>
      <c r="B494" s="7"/>
      <c r="C494" s="7"/>
      <c r="D494" s="7"/>
      <c r="E494" s="7"/>
      <c r="F494" s="7"/>
    </row>
    <row r="495" ht="15.75" customHeight="1">
      <c r="A495" s="7"/>
      <c r="B495" s="7"/>
      <c r="C495" s="7"/>
      <c r="D495" s="7"/>
      <c r="E495" s="7"/>
      <c r="F495" s="7"/>
    </row>
    <row r="496" ht="15.75" customHeight="1">
      <c r="A496" s="7"/>
      <c r="B496" s="7"/>
      <c r="C496" s="7"/>
      <c r="D496" s="7"/>
      <c r="E496" s="7"/>
      <c r="F496" s="7"/>
    </row>
    <row r="497" ht="15.75" customHeight="1">
      <c r="A497" s="7"/>
      <c r="B497" s="7"/>
      <c r="C497" s="7"/>
      <c r="D497" s="7"/>
      <c r="E497" s="7"/>
      <c r="F497" s="7"/>
    </row>
    <row r="498" ht="15.75" customHeight="1">
      <c r="A498" s="7"/>
      <c r="B498" s="7"/>
      <c r="C498" s="7"/>
      <c r="D498" s="7"/>
      <c r="E498" s="7"/>
      <c r="F498" s="7"/>
    </row>
    <row r="499" ht="15.75" customHeight="1">
      <c r="A499" s="7"/>
      <c r="B499" s="7"/>
      <c r="C499" s="7"/>
      <c r="D499" s="7"/>
      <c r="E499" s="7"/>
      <c r="F499" s="7"/>
    </row>
    <row r="500" ht="15.75" customHeight="1">
      <c r="A500" s="7"/>
      <c r="B500" s="7"/>
      <c r="C500" s="7"/>
      <c r="D500" s="7"/>
      <c r="E500" s="7"/>
      <c r="F500" s="7"/>
    </row>
    <row r="501" ht="15.75" customHeight="1">
      <c r="A501" s="7"/>
      <c r="B501" s="7"/>
      <c r="C501" s="7"/>
      <c r="D501" s="7"/>
      <c r="E501" s="7"/>
      <c r="F501" s="7"/>
    </row>
    <row r="502" ht="15.75" customHeight="1">
      <c r="A502" s="7"/>
      <c r="B502" s="7"/>
      <c r="C502" s="7"/>
      <c r="D502" s="7"/>
      <c r="E502" s="7"/>
      <c r="F502" s="7"/>
    </row>
    <row r="503" ht="15.75" customHeight="1">
      <c r="A503" s="7"/>
      <c r="B503" s="7"/>
      <c r="C503" s="7"/>
      <c r="D503" s="7"/>
      <c r="E503" s="7"/>
      <c r="F503" s="7"/>
    </row>
    <row r="504" ht="15.75" customHeight="1">
      <c r="A504" s="7"/>
      <c r="B504" s="7"/>
      <c r="C504" s="7"/>
      <c r="D504" s="7"/>
      <c r="E504" s="7"/>
      <c r="F504" s="7"/>
    </row>
    <row r="505" ht="15.75" customHeight="1">
      <c r="A505" s="7"/>
      <c r="B505" s="7"/>
      <c r="C505" s="7"/>
      <c r="D505" s="7"/>
      <c r="E505" s="7"/>
      <c r="F505" s="7"/>
    </row>
    <row r="506" ht="15.75" customHeight="1">
      <c r="A506" s="7"/>
      <c r="B506" s="7"/>
      <c r="C506" s="7"/>
      <c r="D506" s="7"/>
      <c r="E506" s="7"/>
      <c r="F506" s="7"/>
    </row>
    <row r="507" ht="15.75" customHeight="1">
      <c r="A507" s="7"/>
      <c r="B507" s="7"/>
      <c r="C507" s="7"/>
      <c r="D507" s="7"/>
      <c r="E507" s="7"/>
      <c r="F507" s="7"/>
    </row>
    <row r="508" ht="15.75" customHeight="1">
      <c r="A508" s="7"/>
      <c r="B508" s="7"/>
      <c r="C508" s="7"/>
      <c r="D508" s="7"/>
      <c r="E508" s="7"/>
      <c r="F508" s="7"/>
    </row>
    <row r="509" ht="15.75" customHeight="1">
      <c r="A509" s="7"/>
      <c r="B509" s="7"/>
      <c r="C509" s="7"/>
      <c r="D509" s="7"/>
      <c r="E509" s="7"/>
      <c r="F509" s="7"/>
    </row>
    <row r="510" ht="15.75" customHeight="1">
      <c r="A510" s="7"/>
      <c r="B510" s="7"/>
      <c r="C510" s="7"/>
      <c r="D510" s="7"/>
      <c r="E510" s="7"/>
      <c r="F510" s="7"/>
    </row>
    <row r="511" ht="15.75" customHeight="1">
      <c r="A511" s="7"/>
      <c r="B511" s="7"/>
      <c r="C511" s="7"/>
      <c r="D511" s="7"/>
      <c r="E511" s="7"/>
      <c r="F511" s="7"/>
    </row>
    <row r="512" ht="15.75" customHeight="1">
      <c r="A512" s="7"/>
      <c r="B512" s="7"/>
      <c r="C512" s="7"/>
      <c r="D512" s="7"/>
      <c r="E512" s="7"/>
      <c r="F512" s="7"/>
    </row>
    <row r="513" ht="15.75" customHeight="1">
      <c r="A513" s="7"/>
      <c r="B513" s="7"/>
      <c r="C513" s="7"/>
      <c r="D513" s="7"/>
      <c r="E513" s="7"/>
      <c r="F513" s="7"/>
    </row>
    <row r="514" ht="15.75" customHeight="1">
      <c r="A514" s="7"/>
      <c r="B514" s="7"/>
      <c r="C514" s="7"/>
      <c r="D514" s="7"/>
      <c r="E514" s="7"/>
      <c r="F514" s="7"/>
    </row>
    <row r="515" ht="15.75" customHeight="1">
      <c r="A515" s="7"/>
      <c r="B515" s="7"/>
      <c r="C515" s="7"/>
      <c r="D515" s="7"/>
      <c r="E515" s="7"/>
      <c r="F515" s="7"/>
    </row>
    <row r="516" ht="15.75" customHeight="1">
      <c r="A516" s="7"/>
      <c r="B516" s="7"/>
      <c r="C516" s="7"/>
      <c r="D516" s="7"/>
      <c r="E516" s="7"/>
      <c r="F516" s="7"/>
    </row>
    <row r="517" ht="15.75" customHeight="1">
      <c r="A517" s="7"/>
      <c r="B517" s="7"/>
      <c r="C517" s="7"/>
      <c r="D517" s="7"/>
      <c r="E517" s="7"/>
      <c r="F517" s="7"/>
    </row>
    <row r="518" ht="15.75" customHeight="1">
      <c r="A518" s="7"/>
      <c r="B518" s="7"/>
      <c r="C518" s="7"/>
      <c r="D518" s="7"/>
      <c r="E518" s="7"/>
      <c r="F518" s="7"/>
    </row>
    <row r="519" ht="15.75" customHeight="1">
      <c r="A519" s="7"/>
      <c r="B519" s="7"/>
      <c r="C519" s="7"/>
      <c r="D519" s="7"/>
      <c r="E519" s="7"/>
      <c r="F519" s="7"/>
    </row>
    <row r="520" ht="15.75" customHeight="1">
      <c r="A520" s="7"/>
      <c r="B520" s="7"/>
      <c r="C520" s="7"/>
      <c r="D520" s="7"/>
      <c r="E520" s="7"/>
      <c r="F520" s="7"/>
    </row>
    <row r="521" ht="15.75" customHeight="1">
      <c r="A521" s="7"/>
      <c r="B521" s="7"/>
      <c r="C521" s="7"/>
      <c r="D521" s="7"/>
      <c r="E521" s="7"/>
      <c r="F521" s="7"/>
    </row>
    <row r="522" ht="15.75" customHeight="1">
      <c r="A522" s="7"/>
      <c r="B522" s="7"/>
      <c r="C522" s="7"/>
      <c r="D522" s="7"/>
      <c r="E522" s="7"/>
      <c r="F522" s="7"/>
    </row>
    <row r="523" ht="15.75" customHeight="1">
      <c r="A523" s="7"/>
      <c r="B523" s="7"/>
      <c r="C523" s="7"/>
      <c r="D523" s="7"/>
      <c r="E523" s="7"/>
      <c r="F523" s="7"/>
    </row>
    <row r="524" ht="15.75" customHeight="1">
      <c r="A524" s="7"/>
      <c r="B524" s="7"/>
      <c r="C524" s="7"/>
      <c r="D524" s="7"/>
      <c r="E524" s="7"/>
      <c r="F524" s="7"/>
    </row>
    <row r="525" ht="15.75" customHeight="1">
      <c r="A525" s="7"/>
      <c r="B525" s="7"/>
      <c r="C525" s="7"/>
      <c r="D525" s="7"/>
      <c r="E525" s="7"/>
      <c r="F525" s="7"/>
    </row>
    <row r="526" ht="15.75" customHeight="1">
      <c r="A526" s="7"/>
      <c r="B526" s="7"/>
      <c r="C526" s="7"/>
      <c r="D526" s="7"/>
      <c r="E526" s="7"/>
      <c r="F526" s="7"/>
    </row>
    <row r="527" ht="15.75" customHeight="1">
      <c r="A527" s="7"/>
      <c r="B527" s="7"/>
      <c r="C527" s="7"/>
      <c r="D527" s="7"/>
      <c r="E527" s="7"/>
      <c r="F527" s="7"/>
    </row>
    <row r="528" ht="15.75" customHeight="1">
      <c r="A528" s="7"/>
      <c r="B528" s="7"/>
      <c r="C528" s="7"/>
      <c r="D528" s="7"/>
      <c r="E528" s="7"/>
      <c r="F528" s="7"/>
    </row>
    <row r="529" ht="15.75" customHeight="1">
      <c r="A529" s="7"/>
      <c r="B529" s="7"/>
      <c r="C529" s="7"/>
      <c r="D529" s="7"/>
      <c r="E529" s="7"/>
      <c r="F529" s="7"/>
    </row>
    <row r="530" ht="15.75" customHeight="1">
      <c r="A530" s="7"/>
      <c r="B530" s="7"/>
      <c r="C530" s="7"/>
      <c r="D530" s="7"/>
      <c r="E530" s="7"/>
      <c r="F530" s="7"/>
    </row>
    <row r="531" ht="15.75" customHeight="1">
      <c r="A531" s="7"/>
      <c r="B531" s="7"/>
      <c r="C531" s="7"/>
      <c r="D531" s="7"/>
      <c r="E531" s="7"/>
      <c r="F531" s="7"/>
    </row>
    <row r="532" ht="15.75" customHeight="1">
      <c r="A532" s="7"/>
      <c r="B532" s="7"/>
      <c r="C532" s="7"/>
      <c r="D532" s="7"/>
      <c r="E532" s="7"/>
      <c r="F532" s="7"/>
    </row>
    <row r="533" ht="15.75" customHeight="1">
      <c r="A533" s="7"/>
      <c r="B533" s="7"/>
      <c r="C533" s="7"/>
      <c r="D533" s="7"/>
      <c r="E533" s="7"/>
      <c r="F533" s="7"/>
    </row>
    <row r="534" ht="15.75" customHeight="1">
      <c r="A534" s="7"/>
      <c r="B534" s="7"/>
      <c r="C534" s="7"/>
      <c r="D534" s="7"/>
      <c r="E534" s="7"/>
      <c r="F534" s="7"/>
    </row>
    <row r="535" ht="15.75" customHeight="1">
      <c r="A535" s="7"/>
      <c r="B535" s="7"/>
      <c r="C535" s="7"/>
      <c r="D535" s="7"/>
      <c r="E535" s="7"/>
      <c r="F535" s="7"/>
    </row>
    <row r="536" ht="15.75" customHeight="1">
      <c r="A536" s="7"/>
      <c r="B536" s="7"/>
      <c r="C536" s="7"/>
      <c r="D536" s="7"/>
      <c r="E536" s="7"/>
      <c r="F536" s="7"/>
    </row>
    <row r="537" ht="15.75" customHeight="1">
      <c r="A537" s="7"/>
      <c r="B537" s="7"/>
      <c r="C537" s="7"/>
      <c r="D537" s="7"/>
      <c r="E537" s="7"/>
      <c r="F537" s="7"/>
    </row>
    <row r="538" ht="15.75" customHeight="1">
      <c r="A538" s="7"/>
      <c r="B538" s="7"/>
      <c r="C538" s="7"/>
      <c r="D538" s="7"/>
      <c r="E538" s="7"/>
      <c r="F538" s="7"/>
    </row>
    <row r="539" ht="15.75" customHeight="1">
      <c r="A539" s="7"/>
      <c r="B539" s="7"/>
      <c r="C539" s="7"/>
      <c r="D539" s="7"/>
      <c r="E539" s="7"/>
      <c r="F539" s="7"/>
    </row>
    <row r="540" ht="15.75" customHeight="1">
      <c r="A540" s="7"/>
      <c r="B540" s="7"/>
      <c r="C540" s="7"/>
      <c r="D540" s="7"/>
      <c r="E540" s="7"/>
      <c r="F540" s="7"/>
    </row>
    <row r="541" ht="15.75" customHeight="1">
      <c r="A541" s="7"/>
      <c r="B541" s="7"/>
      <c r="C541" s="7"/>
      <c r="D541" s="7"/>
      <c r="E541" s="7"/>
      <c r="F541" s="7"/>
    </row>
    <row r="542" ht="15.75" customHeight="1">
      <c r="A542" s="7"/>
      <c r="B542" s="7"/>
      <c r="C542" s="7"/>
      <c r="D542" s="7"/>
      <c r="E542" s="7"/>
      <c r="F542" s="7"/>
    </row>
    <row r="543" ht="15.75" customHeight="1">
      <c r="A543" s="7"/>
      <c r="B543" s="7"/>
      <c r="C543" s="7"/>
      <c r="D543" s="7"/>
      <c r="E543" s="7"/>
      <c r="F543" s="7"/>
    </row>
    <row r="544" ht="15.75" customHeight="1">
      <c r="A544" s="7"/>
      <c r="B544" s="7"/>
      <c r="C544" s="7"/>
      <c r="D544" s="7"/>
      <c r="E544" s="7"/>
      <c r="F544" s="7"/>
    </row>
    <row r="545" ht="15.75" customHeight="1">
      <c r="A545" s="7"/>
      <c r="B545" s="7"/>
      <c r="C545" s="7"/>
      <c r="D545" s="7"/>
      <c r="E545" s="7"/>
      <c r="F545" s="7"/>
    </row>
    <row r="546" ht="15.75" customHeight="1">
      <c r="A546" s="7"/>
      <c r="B546" s="7"/>
      <c r="C546" s="7"/>
      <c r="D546" s="7"/>
      <c r="E546" s="7"/>
      <c r="F546" s="7"/>
    </row>
    <row r="547" ht="15.75" customHeight="1">
      <c r="A547" s="7"/>
      <c r="B547" s="7"/>
      <c r="C547" s="7"/>
      <c r="D547" s="7"/>
      <c r="E547" s="7"/>
      <c r="F547" s="7"/>
    </row>
    <row r="548" ht="15.75" customHeight="1">
      <c r="A548" s="7"/>
      <c r="B548" s="7"/>
      <c r="C548" s="7"/>
      <c r="D548" s="7"/>
      <c r="E548" s="7"/>
      <c r="F548" s="7"/>
    </row>
    <row r="549" ht="15.75" customHeight="1">
      <c r="A549" s="7"/>
      <c r="B549" s="7"/>
      <c r="C549" s="7"/>
      <c r="D549" s="7"/>
      <c r="E549" s="7"/>
      <c r="F549" s="7"/>
    </row>
    <row r="550" ht="15.75" customHeight="1">
      <c r="A550" s="7"/>
      <c r="B550" s="7"/>
      <c r="C550" s="7"/>
      <c r="D550" s="7"/>
      <c r="E550" s="7"/>
      <c r="F550" s="7"/>
    </row>
    <row r="551" ht="15.75" customHeight="1">
      <c r="A551" s="7"/>
      <c r="B551" s="7"/>
      <c r="C551" s="7"/>
      <c r="D551" s="7"/>
      <c r="E551" s="7"/>
      <c r="F551" s="7"/>
    </row>
    <row r="552" ht="15.75" customHeight="1">
      <c r="A552" s="7"/>
      <c r="B552" s="7"/>
      <c r="C552" s="7"/>
      <c r="D552" s="7"/>
      <c r="E552" s="7"/>
      <c r="F552" s="7"/>
    </row>
    <row r="553" ht="15.75" customHeight="1">
      <c r="A553" s="7"/>
      <c r="B553" s="7"/>
      <c r="C553" s="7"/>
      <c r="D553" s="7"/>
      <c r="E553" s="7"/>
      <c r="F553" s="7"/>
    </row>
    <row r="554" ht="15.75" customHeight="1">
      <c r="A554" s="7"/>
      <c r="B554" s="7"/>
      <c r="C554" s="7"/>
      <c r="D554" s="7"/>
      <c r="E554" s="7"/>
      <c r="F554" s="7"/>
    </row>
    <row r="555" ht="15.75" customHeight="1">
      <c r="A555" s="7"/>
      <c r="B555" s="7"/>
      <c r="C555" s="7"/>
      <c r="D555" s="7"/>
      <c r="E555" s="7"/>
      <c r="F555" s="7"/>
    </row>
    <row r="556" ht="15.75" customHeight="1">
      <c r="A556" s="7"/>
      <c r="B556" s="7"/>
      <c r="C556" s="7"/>
      <c r="D556" s="7"/>
      <c r="E556" s="7"/>
      <c r="F556" s="7"/>
    </row>
    <row r="557" ht="15.75" customHeight="1">
      <c r="A557" s="7"/>
      <c r="B557" s="7"/>
      <c r="C557" s="7"/>
      <c r="D557" s="7"/>
      <c r="E557" s="7"/>
      <c r="F557" s="7"/>
    </row>
    <row r="558" ht="15.75" customHeight="1">
      <c r="A558" s="7"/>
      <c r="B558" s="7"/>
      <c r="C558" s="7"/>
      <c r="D558" s="7"/>
      <c r="E558" s="7"/>
      <c r="F558" s="7"/>
    </row>
    <row r="559" ht="15.75" customHeight="1">
      <c r="A559" s="7"/>
      <c r="B559" s="7"/>
      <c r="C559" s="7"/>
      <c r="D559" s="7"/>
      <c r="E559" s="7"/>
      <c r="F559" s="7"/>
    </row>
    <row r="560" ht="15.75" customHeight="1">
      <c r="A560" s="7"/>
      <c r="B560" s="7"/>
      <c r="C560" s="7"/>
      <c r="D560" s="7"/>
      <c r="E560" s="7"/>
      <c r="F560" s="7"/>
    </row>
    <row r="561" ht="15.75" customHeight="1">
      <c r="A561" s="7"/>
      <c r="B561" s="7"/>
      <c r="C561" s="7"/>
      <c r="D561" s="7"/>
      <c r="E561" s="7"/>
      <c r="F561" s="7"/>
    </row>
    <row r="562" ht="15.75" customHeight="1">
      <c r="A562" s="7"/>
      <c r="B562" s="7"/>
      <c r="C562" s="7"/>
      <c r="D562" s="7"/>
      <c r="E562" s="7"/>
      <c r="F562" s="7"/>
    </row>
    <row r="563" ht="15.75" customHeight="1">
      <c r="A563" s="7"/>
      <c r="B563" s="7"/>
      <c r="C563" s="7"/>
      <c r="D563" s="7"/>
      <c r="E563" s="7"/>
      <c r="F563" s="7"/>
    </row>
    <row r="564" ht="15.75" customHeight="1">
      <c r="A564" s="7"/>
      <c r="B564" s="7"/>
      <c r="C564" s="7"/>
      <c r="D564" s="7"/>
      <c r="E564" s="7"/>
      <c r="F564" s="7"/>
    </row>
    <row r="565" ht="15.75" customHeight="1">
      <c r="A565" s="7"/>
      <c r="B565" s="7"/>
      <c r="C565" s="7"/>
      <c r="D565" s="7"/>
      <c r="E565" s="7"/>
      <c r="F565" s="7"/>
    </row>
    <row r="566" ht="15.75" customHeight="1">
      <c r="A566" s="7"/>
      <c r="B566" s="7"/>
      <c r="C566" s="7"/>
      <c r="D566" s="7"/>
      <c r="E566" s="7"/>
      <c r="F566" s="7"/>
    </row>
    <row r="567" ht="15.75" customHeight="1">
      <c r="A567" s="7"/>
      <c r="B567" s="7"/>
      <c r="C567" s="7"/>
      <c r="D567" s="7"/>
      <c r="E567" s="7"/>
      <c r="F567" s="7"/>
    </row>
    <row r="568" ht="15.75" customHeight="1">
      <c r="A568" s="7"/>
      <c r="B568" s="7"/>
      <c r="C568" s="7"/>
      <c r="D568" s="7"/>
      <c r="E568" s="7"/>
      <c r="F568" s="7"/>
    </row>
    <row r="569" ht="15.75" customHeight="1">
      <c r="A569" s="7"/>
      <c r="B569" s="7"/>
      <c r="C569" s="7"/>
      <c r="D569" s="7"/>
      <c r="E569" s="7"/>
      <c r="F569" s="7"/>
    </row>
    <row r="570" ht="15.75" customHeight="1">
      <c r="A570" s="7"/>
      <c r="B570" s="7"/>
      <c r="C570" s="7"/>
      <c r="D570" s="7"/>
      <c r="E570" s="7"/>
      <c r="F570" s="7"/>
    </row>
    <row r="571" ht="15.75" customHeight="1">
      <c r="A571" s="7"/>
      <c r="B571" s="7"/>
      <c r="C571" s="7"/>
      <c r="D571" s="7"/>
      <c r="E571" s="7"/>
      <c r="F571" s="7"/>
    </row>
    <row r="572" ht="15.75" customHeight="1">
      <c r="A572" s="7"/>
      <c r="B572" s="7"/>
      <c r="C572" s="7"/>
      <c r="D572" s="7"/>
      <c r="E572" s="7"/>
      <c r="F572" s="7"/>
    </row>
    <row r="573" ht="15.75" customHeight="1">
      <c r="A573" s="7"/>
      <c r="B573" s="7"/>
      <c r="C573" s="7"/>
      <c r="D573" s="7"/>
      <c r="E573" s="7"/>
      <c r="F573" s="7"/>
    </row>
    <row r="574" ht="15.75" customHeight="1">
      <c r="A574" s="7"/>
      <c r="B574" s="7"/>
      <c r="C574" s="7"/>
      <c r="D574" s="7"/>
      <c r="E574" s="7"/>
      <c r="F574" s="7"/>
    </row>
    <row r="575" ht="15.75" customHeight="1">
      <c r="A575" s="7"/>
      <c r="B575" s="7"/>
      <c r="C575" s="7"/>
      <c r="D575" s="7"/>
      <c r="E575" s="7"/>
      <c r="F575" s="7"/>
    </row>
    <row r="576" ht="15.75" customHeight="1">
      <c r="A576" s="7"/>
      <c r="B576" s="7"/>
      <c r="C576" s="7"/>
      <c r="D576" s="7"/>
      <c r="E576" s="7"/>
      <c r="F576" s="7"/>
    </row>
    <row r="577" ht="15.75" customHeight="1">
      <c r="A577" s="7"/>
      <c r="B577" s="7"/>
      <c r="C577" s="7"/>
      <c r="D577" s="7"/>
      <c r="E577" s="7"/>
      <c r="F577" s="7"/>
    </row>
    <row r="578" ht="15.75" customHeight="1">
      <c r="A578" s="7"/>
      <c r="B578" s="7"/>
      <c r="C578" s="7"/>
      <c r="D578" s="7"/>
      <c r="E578" s="7"/>
      <c r="F578" s="7"/>
    </row>
    <row r="579" ht="15.75" customHeight="1">
      <c r="A579" s="7"/>
      <c r="B579" s="7"/>
      <c r="C579" s="7"/>
      <c r="D579" s="7"/>
      <c r="E579" s="7"/>
      <c r="F579" s="7"/>
    </row>
    <row r="580" ht="15.75" customHeight="1">
      <c r="A580" s="7"/>
      <c r="B580" s="7"/>
      <c r="C580" s="7"/>
      <c r="D580" s="7"/>
      <c r="E580" s="7"/>
      <c r="F580" s="7"/>
    </row>
    <row r="581" ht="15.75" customHeight="1">
      <c r="A581" s="7"/>
      <c r="B581" s="7"/>
      <c r="C581" s="7"/>
      <c r="D581" s="7"/>
      <c r="E581" s="7"/>
      <c r="F581" s="7"/>
    </row>
    <row r="582" ht="15.75" customHeight="1">
      <c r="A582" s="7"/>
      <c r="B582" s="7"/>
      <c r="C582" s="7"/>
      <c r="D582" s="7"/>
      <c r="E582" s="7"/>
      <c r="F582" s="7"/>
    </row>
    <row r="583" ht="15.75" customHeight="1">
      <c r="A583" s="7"/>
      <c r="B583" s="7"/>
      <c r="C583" s="7"/>
      <c r="D583" s="7"/>
      <c r="E583" s="7"/>
      <c r="F583" s="7"/>
    </row>
    <row r="584" ht="15.75" customHeight="1">
      <c r="A584" s="7"/>
      <c r="B584" s="7"/>
      <c r="C584" s="7"/>
      <c r="D584" s="7"/>
      <c r="E584" s="7"/>
      <c r="F584" s="7"/>
    </row>
    <row r="585" ht="15.75" customHeight="1">
      <c r="A585" s="7"/>
      <c r="B585" s="7"/>
      <c r="C585" s="7"/>
      <c r="D585" s="7"/>
      <c r="E585" s="7"/>
      <c r="F585" s="7"/>
    </row>
    <row r="586" ht="15.75" customHeight="1">
      <c r="A586" s="7"/>
      <c r="B586" s="7"/>
      <c r="C586" s="7"/>
      <c r="D586" s="7"/>
      <c r="E586" s="7"/>
      <c r="F586" s="7"/>
    </row>
    <row r="587" ht="15.75" customHeight="1">
      <c r="A587" s="7"/>
      <c r="B587" s="7"/>
      <c r="C587" s="7"/>
      <c r="D587" s="7"/>
      <c r="E587" s="7"/>
      <c r="F587" s="7"/>
    </row>
    <row r="588" ht="15.75" customHeight="1">
      <c r="A588" s="7"/>
      <c r="B588" s="7"/>
      <c r="C588" s="7"/>
      <c r="D588" s="7"/>
      <c r="E588" s="7"/>
      <c r="F588" s="7"/>
    </row>
    <row r="589" ht="15.75" customHeight="1">
      <c r="A589" s="7"/>
      <c r="B589" s="7"/>
      <c r="C589" s="7"/>
      <c r="D589" s="7"/>
      <c r="E589" s="7"/>
      <c r="F589" s="7"/>
    </row>
    <row r="590" ht="15.75" customHeight="1">
      <c r="A590" s="7"/>
      <c r="B590" s="7"/>
      <c r="C590" s="7"/>
      <c r="D590" s="7"/>
      <c r="E590" s="7"/>
      <c r="F590" s="7"/>
    </row>
    <row r="591" ht="15.75" customHeight="1">
      <c r="A591" s="7"/>
      <c r="B591" s="7"/>
      <c r="C591" s="7"/>
      <c r="D591" s="7"/>
      <c r="E591" s="7"/>
      <c r="F591" s="7"/>
    </row>
    <row r="592" ht="15.75" customHeight="1">
      <c r="A592" s="7"/>
      <c r="B592" s="7"/>
      <c r="C592" s="7"/>
      <c r="D592" s="7"/>
      <c r="E592" s="7"/>
      <c r="F592" s="7"/>
    </row>
    <row r="593" ht="15.75" customHeight="1">
      <c r="A593" s="7"/>
      <c r="B593" s="7"/>
      <c r="C593" s="7"/>
      <c r="D593" s="7"/>
      <c r="E593" s="7"/>
      <c r="F593" s="7"/>
    </row>
    <row r="594" ht="15.75" customHeight="1">
      <c r="A594" s="7"/>
      <c r="B594" s="7"/>
      <c r="C594" s="7"/>
      <c r="D594" s="7"/>
      <c r="E594" s="7"/>
      <c r="F594" s="7"/>
    </row>
    <row r="595" ht="15.75" customHeight="1">
      <c r="A595" s="7"/>
      <c r="B595" s="7"/>
      <c r="C595" s="7"/>
      <c r="D595" s="7"/>
      <c r="E595" s="7"/>
      <c r="F595" s="7"/>
    </row>
    <row r="596" ht="15.75" customHeight="1">
      <c r="A596" s="7"/>
      <c r="B596" s="7"/>
      <c r="C596" s="7"/>
      <c r="D596" s="7"/>
      <c r="E596" s="7"/>
      <c r="F596" s="7"/>
    </row>
    <row r="597" ht="15.75" customHeight="1">
      <c r="A597" s="7"/>
      <c r="B597" s="7"/>
      <c r="C597" s="7"/>
      <c r="D597" s="7"/>
      <c r="E597" s="7"/>
      <c r="F597" s="7"/>
    </row>
    <row r="598" ht="15.75" customHeight="1">
      <c r="A598" s="7"/>
      <c r="B598" s="7"/>
      <c r="C598" s="7"/>
      <c r="D598" s="7"/>
      <c r="E598" s="7"/>
      <c r="F598" s="7"/>
    </row>
    <row r="599" ht="15.75" customHeight="1">
      <c r="A599" s="7"/>
      <c r="B599" s="7"/>
      <c r="C599" s="7"/>
      <c r="D599" s="7"/>
      <c r="E599" s="7"/>
      <c r="F599" s="7"/>
    </row>
    <row r="600" ht="15.75" customHeight="1">
      <c r="A600" s="7"/>
      <c r="B600" s="7"/>
      <c r="C600" s="7"/>
      <c r="D600" s="7"/>
      <c r="E600" s="7"/>
      <c r="F600" s="7"/>
    </row>
    <row r="601" ht="15.75" customHeight="1">
      <c r="A601" s="7"/>
      <c r="B601" s="7"/>
      <c r="C601" s="7"/>
      <c r="D601" s="7"/>
      <c r="E601" s="7"/>
      <c r="F601" s="7"/>
    </row>
    <row r="602" ht="15.75" customHeight="1">
      <c r="A602" s="7"/>
      <c r="B602" s="7"/>
      <c r="C602" s="7"/>
      <c r="D602" s="7"/>
      <c r="E602" s="7"/>
      <c r="F602" s="7"/>
    </row>
    <row r="603" ht="15.75" customHeight="1">
      <c r="A603" s="7"/>
      <c r="B603" s="7"/>
      <c r="C603" s="7"/>
      <c r="D603" s="7"/>
      <c r="E603" s="7"/>
      <c r="F603" s="7"/>
    </row>
    <row r="604" ht="15.75" customHeight="1">
      <c r="A604" s="7"/>
      <c r="B604" s="7"/>
      <c r="C604" s="7"/>
      <c r="D604" s="7"/>
      <c r="E604" s="7"/>
      <c r="F604" s="7"/>
    </row>
    <row r="605" ht="15.75" customHeight="1">
      <c r="A605" s="7"/>
      <c r="B605" s="7"/>
      <c r="C605" s="7"/>
      <c r="D605" s="7"/>
      <c r="E605" s="7"/>
      <c r="F605" s="7"/>
    </row>
    <row r="606" ht="15.75" customHeight="1">
      <c r="A606" s="7"/>
      <c r="B606" s="7"/>
      <c r="C606" s="7"/>
      <c r="D606" s="7"/>
      <c r="E606" s="7"/>
      <c r="F606" s="7"/>
    </row>
    <row r="607" ht="15.75" customHeight="1">
      <c r="A607" s="7"/>
      <c r="B607" s="7"/>
      <c r="C607" s="7"/>
      <c r="D607" s="7"/>
      <c r="E607" s="7"/>
      <c r="F607" s="7"/>
    </row>
    <row r="608" ht="15.75" customHeight="1">
      <c r="A608" s="7"/>
      <c r="B608" s="7"/>
      <c r="C608" s="7"/>
      <c r="D608" s="7"/>
      <c r="E608" s="7"/>
      <c r="F608" s="7"/>
    </row>
    <row r="609" ht="15.75" customHeight="1">
      <c r="A609" s="7"/>
      <c r="B609" s="7"/>
      <c r="C609" s="7"/>
      <c r="D609" s="7"/>
      <c r="E609" s="7"/>
      <c r="F609" s="7"/>
    </row>
    <row r="610" ht="15.75" customHeight="1">
      <c r="A610" s="7"/>
      <c r="B610" s="7"/>
      <c r="C610" s="7"/>
      <c r="D610" s="7"/>
      <c r="E610" s="7"/>
      <c r="F610" s="7"/>
    </row>
    <row r="611" ht="15.75" customHeight="1">
      <c r="A611" s="7"/>
      <c r="B611" s="7"/>
      <c r="C611" s="7"/>
      <c r="D611" s="7"/>
      <c r="E611" s="7"/>
      <c r="F611" s="7"/>
    </row>
    <row r="612" ht="15.75" customHeight="1">
      <c r="A612" s="7"/>
      <c r="B612" s="7"/>
      <c r="C612" s="7"/>
      <c r="D612" s="7"/>
      <c r="E612" s="7"/>
      <c r="F612" s="7"/>
    </row>
    <row r="613" ht="15.75" customHeight="1">
      <c r="A613" s="7"/>
      <c r="B613" s="7"/>
      <c r="C613" s="7"/>
      <c r="D613" s="7"/>
      <c r="E613" s="7"/>
      <c r="F613" s="7"/>
    </row>
    <row r="614" ht="15.75" customHeight="1">
      <c r="A614" s="7"/>
      <c r="B614" s="7"/>
      <c r="C614" s="7"/>
      <c r="D614" s="7"/>
      <c r="E614" s="7"/>
      <c r="F614" s="7"/>
    </row>
    <row r="615" ht="15.75" customHeight="1">
      <c r="A615" s="7"/>
      <c r="B615" s="7"/>
      <c r="C615" s="7"/>
      <c r="D615" s="7"/>
      <c r="E615" s="7"/>
      <c r="F615" s="7"/>
    </row>
    <row r="616" ht="15.75" customHeight="1">
      <c r="A616" s="7"/>
      <c r="B616" s="7"/>
      <c r="C616" s="7"/>
      <c r="D616" s="7"/>
      <c r="E616" s="7"/>
      <c r="F616" s="7"/>
    </row>
    <row r="617" ht="15.75" customHeight="1">
      <c r="A617" s="7"/>
      <c r="B617" s="7"/>
      <c r="C617" s="7"/>
      <c r="D617" s="7"/>
      <c r="E617" s="7"/>
      <c r="F617" s="7"/>
    </row>
    <row r="618" ht="15.75" customHeight="1">
      <c r="A618" s="7"/>
      <c r="B618" s="7"/>
      <c r="C618" s="7"/>
      <c r="D618" s="7"/>
      <c r="E618" s="7"/>
      <c r="F618" s="7"/>
    </row>
    <row r="619" ht="15.75" customHeight="1">
      <c r="A619" s="7"/>
      <c r="B619" s="7"/>
      <c r="C619" s="7"/>
      <c r="D619" s="7"/>
      <c r="E619" s="7"/>
      <c r="F619" s="7"/>
    </row>
    <row r="620" ht="15.75" customHeight="1">
      <c r="A620" s="7"/>
      <c r="B620" s="7"/>
      <c r="C620" s="7"/>
      <c r="D620" s="7"/>
      <c r="E620" s="7"/>
      <c r="F620" s="7"/>
    </row>
    <row r="621" ht="15.75" customHeight="1">
      <c r="A621" s="7"/>
      <c r="B621" s="7"/>
      <c r="C621" s="7"/>
      <c r="D621" s="7"/>
      <c r="E621" s="7"/>
      <c r="F621" s="7"/>
    </row>
    <row r="622" ht="15.75" customHeight="1">
      <c r="A622" s="7"/>
      <c r="B622" s="7"/>
      <c r="C622" s="7"/>
      <c r="D622" s="7"/>
      <c r="E622" s="7"/>
      <c r="F622" s="7"/>
    </row>
    <row r="623" ht="15.75" customHeight="1">
      <c r="A623" s="7"/>
      <c r="B623" s="7"/>
      <c r="C623" s="7"/>
      <c r="D623" s="7"/>
      <c r="E623" s="7"/>
      <c r="F623" s="7"/>
    </row>
    <row r="624" ht="15.75" customHeight="1">
      <c r="A624" s="7"/>
      <c r="B624" s="7"/>
      <c r="C624" s="7"/>
      <c r="D624" s="7"/>
      <c r="E624" s="7"/>
      <c r="F624" s="7"/>
    </row>
    <row r="625" ht="15.75" customHeight="1">
      <c r="A625" s="7"/>
      <c r="B625" s="7"/>
      <c r="C625" s="7"/>
      <c r="D625" s="7"/>
      <c r="E625" s="7"/>
      <c r="F625" s="7"/>
    </row>
    <row r="626" ht="15.75" customHeight="1">
      <c r="A626" s="7"/>
      <c r="B626" s="7"/>
      <c r="C626" s="7"/>
      <c r="D626" s="7"/>
      <c r="E626" s="7"/>
      <c r="F626" s="7"/>
    </row>
    <row r="627" ht="15.75" customHeight="1">
      <c r="A627" s="7"/>
      <c r="B627" s="7"/>
      <c r="C627" s="7"/>
      <c r="D627" s="7"/>
      <c r="E627" s="7"/>
      <c r="F627" s="7"/>
    </row>
    <row r="628" ht="15.75" customHeight="1">
      <c r="A628" s="7"/>
      <c r="B628" s="7"/>
      <c r="C628" s="7"/>
      <c r="D628" s="7"/>
      <c r="E628" s="7"/>
      <c r="F628" s="7"/>
    </row>
    <row r="629" ht="15.75" customHeight="1">
      <c r="A629" s="7"/>
      <c r="B629" s="7"/>
      <c r="C629" s="7"/>
      <c r="D629" s="7"/>
      <c r="E629" s="7"/>
      <c r="F629" s="7"/>
    </row>
    <row r="630" ht="15.75" customHeight="1">
      <c r="A630" s="7"/>
      <c r="B630" s="7"/>
      <c r="C630" s="7"/>
      <c r="D630" s="7"/>
      <c r="E630" s="7"/>
      <c r="F630" s="7"/>
    </row>
    <row r="631" ht="15.75" customHeight="1">
      <c r="A631" s="7"/>
      <c r="B631" s="7"/>
      <c r="C631" s="7"/>
      <c r="D631" s="7"/>
      <c r="E631" s="7"/>
      <c r="F631" s="7"/>
    </row>
    <row r="632" ht="15.75" customHeight="1">
      <c r="A632" s="7"/>
      <c r="B632" s="7"/>
      <c r="C632" s="7"/>
      <c r="D632" s="7"/>
      <c r="E632" s="7"/>
      <c r="F632" s="7"/>
    </row>
    <row r="633" ht="15.75" customHeight="1">
      <c r="A633" s="7"/>
      <c r="B633" s="7"/>
      <c r="C633" s="7"/>
      <c r="D633" s="7"/>
      <c r="E633" s="7"/>
      <c r="F633" s="7"/>
    </row>
    <row r="634" ht="15.75" customHeight="1">
      <c r="A634" s="7"/>
      <c r="B634" s="7"/>
      <c r="C634" s="7"/>
      <c r="D634" s="7"/>
      <c r="E634" s="7"/>
      <c r="F634" s="7"/>
    </row>
    <row r="635" ht="15.75" customHeight="1">
      <c r="A635" s="7"/>
      <c r="B635" s="7"/>
      <c r="C635" s="7"/>
      <c r="D635" s="7"/>
      <c r="E635" s="7"/>
      <c r="F635" s="7"/>
    </row>
    <row r="636" ht="15.75" customHeight="1">
      <c r="A636" s="7"/>
      <c r="B636" s="7"/>
      <c r="C636" s="7"/>
      <c r="D636" s="7"/>
      <c r="E636" s="7"/>
      <c r="F636" s="7"/>
    </row>
    <row r="637" ht="15.75" customHeight="1">
      <c r="A637" s="7"/>
      <c r="B637" s="7"/>
      <c r="C637" s="7"/>
      <c r="D637" s="7"/>
      <c r="E637" s="7"/>
      <c r="F637" s="7"/>
    </row>
    <row r="638" ht="15.75" customHeight="1">
      <c r="A638" s="7"/>
      <c r="B638" s="7"/>
      <c r="C638" s="7"/>
      <c r="D638" s="7"/>
      <c r="E638" s="7"/>
      <c r="F638" s="7"/>
    </row>
    <row r="639" ht="15.75" customHeight="1">
      <c r="A639" s="7"/>
      <c r="B639" s="7"/>
      <c r="C639" s="7"/>
      <c r="D639" s="7"/>
      <c r="E639" s="7"/>
      <c r="F639" s="7"/>
    </row>
    <row r="640" ht="15.75" customHeight="1">
      <c r="A640" s="7"/>
      <c r="B640" s="7"/>
      <c r="C640" s="7"/>
      <c r="D640" s="7"/>
      <c r="E640" s="7"/>
      <c r="F640" s="7"/>
    </row>
    <row r="641" ht="15.75" customHeight="1">
      <c r="A641" s="7"/>
      <c r="B641" s="7"/>
      <c r="C641" s="7"/>
      <c r="D641" s="7"/>
      <c r="E641" s="7"/>
      <c r="F641" s="7"/>
    </row>
    <row r="642" ht="15.75" customHeight="1">
      <c r="A642" s="7"/>
      <c r="B642" s="7"/>
      <c r="C642" s="7"/>
      <c r="D642" s="7"/>
      <c r="E642" s="7"/>
      <c r="F642" s="7"/>
    </row>
    <row r="643" ht="15.75" customHeight="1">
      <c r="A643" s="7"/>
      <c r="B643" s="7"/>
      <c r="C643" s="7"/>
      <c r="D643" s="7"/>
      <c r="E643" s="7"/>
      <c r="F643" s="7"/>
    </row>
    <row r="644" ht="15.75" customHeight="1">
      <c r="A644" s="7"/>
      <c r="B644" s="7"/>
      <c r="C644" s="7"/>
      <c r="D644" s="7"/>
      <c r="E644" s="7"/>
      <c r="F644" s="7"/>
    </row>
    <row r="645" ht="15.75" customHeight="1">
      <c r="A645" s="7"/>
      <c r="B645" s="7"/>
      <c r="C645" s="7"/>
      <c r="D645" s="7"/>
      <c r="E645" s="7"/>
      <c r="F645" s="7"/>
    </row>
    <row r="646" ht="15.75" customHeight="1">
      <c r="A646" s="7"/>
      <c r="B646" s="7"/>
      <c r="C646" s="7"/>
      <c r="D646" s="7"/>
      <c r="E646" s="7"/>
      <c r="F646" s="7"/>
    </row>
    <row r="647" ht="15.75" customHeight="1">
      <c r="A647" s="7"/>
      <c r="B647" s="7"/>
      <c r="C647" s="7"/>
      <c r="D647" s="7"/>
      <c r="E647" s="7"/>
      <c r="F647" s="7"/>
    </row>
    <row r="648" ht="15.75" customHeight="1">
      <c r="A648" s="7"/>
      <c r="B648" s="7"/>
      <c r="C648" s="7"/>
      <c r="D648" s="7"/>
      <c r="E648" s="7"/>
      <c r="F648" s="7"/>
    </row>
    <row r="649" ht="15.75" customHeight="1">
      <c r="A649" s="7"/>
      <c r="B649" s="7"/>
      <c r="C649" s="7"/>
      <c r="D649" s="7"/>
      <c r="E649" s="7"/>
      <c r="F649" s="7"/>
    </row>
    <row r="650" ht="15.75" customHeight="1">
      <c r="A650" s="7"/>
      <c r="B650" s="7"/>
      <c r="C650" s="7"/>
      <c r="D650" s="7"/>
      <c r="E650" s="7"/>
      <c r="F650" s="7"/>
    </row>
    <row r="651" ht="15.75" customHeight="1">
      <c r="A651" s="7"/>
      <c r="B651" s="7"/>
      <c r="C651" s="7"/>
      <c r="D651" s="7"/>
      <c r="E651" s="7"/>
      <c r="F651" s="7"/>
    </row>
    <row r="652" ht="15.75" customHeight="1">
      <c r="A652" s="7"/>
      <c r="B652" s="7"/>
      <c r="C652" s="7"/>
      <c r="D652" s="7"/>
      <c r="E652" s="7"/>
      <c r="F652" s="7"/>
    </row>
    <row r="653" ht="15.75" customHeight="1">
      <c r="A653" s="7"/>
      <c r="B653" s="7"/>
      <c r="C653" s="7"/>
      <c r="D653" s="7"/>
      <c r="E653" s="7"/>
      <c r="F653" s="7"/>
    </row>
    <row r="654" ht="15.75" customHeight="1">
      <c r="A654" s="7"/>
      <c r="B654" s="7"/>
      <c r="C654" s="7"/>
      <c r="D654" s="7"/>
      <c r="E654" s="7"/>
      <c r="F654" s="7"/>
    </row>
    <row r="655" ht="15.75" customHeight="1">
      <c r="A655" s="7"/>
      <c r="B655" s="7"/>
      <c r="C655" s="7"/>
      <c r="D655" s="7"/>
      <c r="E655" s="7"/>
      <c r="F655" s="7"/>
    </row>
    <row r="656" ht="15.75" customHeight="1">
      <c r="A656" s="7"/>
      <c r="B656" s="7"/>
      <c r="C656" s="7"/>
      <c r="D656" s="7"/>
      <c r="E656" s="7"/>
      <c r="F656" s="7"/>
    </row>
    <row r="657" ht="15.75" customHeight="1">
      <c r="A657" s="7"/>
      <c r="B657" s="7"/>
      <c r="C657" s="7"/>
      <c r="D657" s="7"/>
      <c r="E657" s="7"/>
      <c r="F657" s="7"/>
    </row>
    <row r="658" ht="15.75" customHeight="1">
      <c r="A658" s="7"/>
      <c r="B658" s="7"/>
      <c r="C658" s="7"/>
      <c r="D658" s="7"/>
      <c r="E658" s="7"/>
      <c r="F658" s="7"/>
    </row>
    <row r="659" ht="15.75" customHeight="1">
      <c r="A659" s="7"/>
      <c r="B659" s="7"/>
      <c r="C659" s="7"/>
      <c r="D659" s="7"/>
      <c r="E659" s="7"/>
      <c r="F659" s="7"/>
    </row>
    <row r="660" ht="15.75" customHeight="1">
      <c r="A660" s="7"/>
      <c r="B660" s="7"/>
      <c r="C660" s="7"/>
      <c r="D660" s="7"/>
      <c r="E660" s="7"/>
      <c r="F660" s="7"/>
    </row>
    <row r="661" ht="15.75" customHeight="1">
      <c r="A661" s="7"/>
      <c r="B661" s="7"/>
      <c r="C661" s="7"/>
      <c r="D661" s="7"/>
      <c r="E661" s="7"/>
      <c r="F661" s="7"/>
    </row>
    <row r="662" ht="15.75" customHeight="1">
      <c r="A662" s="7"/>
      <c r="B662" s="7"/>
      <c r="C662" s="7"/>
      <c r="D662" s="7"/>
      <c r="E662" s="7"/>
      <c r="F662" s="7"/>
    </row>
    <row r="663" ht="15.75" customHeight="1">
      <c r="A663" s="7"/>
      <c r="B663" s="7"/>
      <c r="C663" s="7"/>
      <c r="D663" s="7"/>
      <c r="E663" s="7"/>
      <c r="F663" s="7"/>
    </row>
    <row r="664" ht="15.75" customHeight="1">
      <c r="A664" s="7"/>
      <c r="B664" s="7"/>
      <c r="C664" s="7"/>
      <c r="D664" s="7"/>
      <c r="E664" s="7"/>
      <c r="F664" s="7"/>
    </row>
    <row r="665" ht="15.75" customHeight="1">
      <c r="A665" s="7"/>
      <c r="B665" s="7"/>
      <c r="C665" s="7"/>
      <c r="D665" s="7"/>
      <c r="E665" s="7"/>
      <c r="F665" s="7"/>
    </row>
    <row r="666" ht="15.75" customHeight="1">
      <c r="A666" s="7"/>
      <c r="B666" s="7"/>
      <c r="C666" s="7"/>
      <c r="D666" s="7"/>
      <c r="E666" s="7"/>
      <c r="F666" s="7"/>
    </row>
    <row r="667" ht="15.75" customHeight="1">
      <c r="A667" s="7"/>
      <c r="B667" s="7"/>
      <c r="C667" s="7"/>
      <c r="D667" s="7"/>
      <c r="E667" s="7"/>
      <c r="F667" s="7"/>
    </row>
    <row r="668" ht="15.75" customHeight="1">
      <c r="A668" s="7"/>
      <c r="B668" s="7"/>
      <c r="C668" s="7"/>
      <c r="D668" s="7"/>
      <c r="E668" s="7"/>
      <c r="F668" s="7"/>
    </row>
    <row r="669" ht="15.75" customHeight="1">
      <c r="A669" s="7"/>
      <c r="B669" s="7"/>
      <c r="C669" s="7"/>
      <c r="D669" s="7"/>
      <c r="E669" s="7"/>
      <c r="F669" s="7"/>
    </row>
    <row r="670" ht="15.75" customHeight="1">
      <c r="A670" s="7"/>
      <c r="B670" s="7"/>
      <c r="C670" s="7"/>
      <c r="D670" s="7"/>
      <c r="E670" s="7"/>
      <c r="F670" s="7"/>
    </row>
    <row r="671" ht="15.75" customHeight="1">
      <c r="A671" s="7"/>
      <c r="B671" s="7"/>
      <c r="C671" s="7"/>
      <c r="D671" s="7"/>
      <c r="E671" s="7"/>
      <c r="F671" s="7"/>
    </row>
    <row r="672" ht="15.75" customHeight="1">
      <c r="A672" s="7"/>
      <c r="B672" s="7"/>
      <c r="C672" s="7"/>
      <c r="D672" s="7"/>
      <c r="E672" s="7"/>
      <c r="F672" s="7"/>
    </row>
    <row r="673" ht="15.75" customHeight="1">
      <c r="A673" s="7"/>
      <c r="B673" s="7"/>
      <c r="C673" s="7"/>
      <c r="D673" s="7"/>
      <c r="E673" s="7"/>
      <c r="F673" s="7"/>
    </row>
    <row r="674" ht="15.75" customHeight="1">
      <c r="A674" s="7"/>
      <c r="B674" s="7"/>
      <c r="C674" s="7"/>
      <c r="D674" s="7"/>
      <c r="E674" s="7"/>
      <c r="F674" s="7"/>
    </row>
    <row r="675" ht="15.75" customHeight="1">
      <c r="A675" s="7"/>
      <c r="B675" s="7"/>
      <c r="C675" s="7"/>
      <c r="D675" s="7"/>
      <c r="E675" s="7"/>
      <c r="F675" s="7"/>
    </row>
    <row r="676" ht="15.75" customHeight="1">
      <c r="A676" s="7"/>
      <c r="B676" s="7"/>
      <c r="C676" s="7"/>
      <c r="D676" s="7"/>
      <c r="E676" s="7"/>
      <c r="F676" s="7"/>
    </row>
    <row r="677" ht="15.75" customHeight="1">
      <c r="A677" s="7"/>
      <c r="B677" s="7"/>
      <c r="C677" s="7"/>
      <c r="D677" s="7"/>
      <c r="E677" s="7"/>
      <c r="F677" s="7"/>
    </row>
    <row r="678" ht="15.75" customHeight="1">
      <c r="A678" s="7"/>
      <c r="B678" s="7"/>
      <c r="C678" s="7"/>
      <c r="D678" s="7"/>
      <c r="E678" s="7"/>
      <c r="F678" s="7"/>
    </row>
    <row r="679" ht="15.75" customHeight="1">
      <c r="A679" s="7"/>
      <c r="B679" s="7"/>
      <c r="C679" s="7"/>
      <c r="D679" s="7"/>
      <c r="E679" s="7"/>
      <c r="F679" s="7"/>
    </row>
    <row r="680" ht="15.75" customHeight="1">
      <c r="A680" s="7"/>
      <c r="B680" s="7"/>
      <c r="C680" s="7"/>
      <c r="D680" s="7"/>
      <c r="E680" s="7"/>
      <c r="F680" s="7"/>
    </row>
    <row r="681" ht="15.75" customHeight="1">
      <c r="A681" s="7"/>
      <c r="B681" s="7"/>
      <c r="C681" s="7"/>
      <c r="D681" s="7"/>
      <c r="E681" s="7"/>
      <c r="F681" s="7"/>
    </row>
    <row r="682" ht="15.75" customHeight="1">
      <c r="A682" s="7"/>
      <c r="B682" s="7"/>
      <c r="C682" s="7"/>
      <c r="D682" s="7"/>
      <c r="E682" s="7"/>
      <c r="F682" s="7"/>
    </row>
    <row r="683" ht="15.75" customHeight="1">
      <c r="A683" s="7"/>
      <c r="B683" s="7"/>
      <c r="C683" s="7"/>
      <c r="D683" s="7"/>
      <c r="E683" s="7"/>
      <c r="F683" s="7"/>
    </row>
    <row r="684" ht="15.75" customHeight="1">
      <c r="A684" s="7"/>
      <c r="B684" s="7"/>
      <c r="C684" s="7"/>
      <c r="D684" s="7"/>
      <c r="E684" s="7"/>
      <c r="F684" s="7"/>
    </row>
    <row r="685" ht="15.75" customHeight="1">
      <c r="A685" s="7"/>
      <c r="B685" s="7"/>
      <c r="C685" s="7"/>
      <c r="D685" s="7"/>
      <c r="E685" s="7"/>
      <c r="F685" s="7"/>
    </row>
    <row r="686" ht="15.75" customHeight="1">
      <c r="A686" s="7"/>
      <c r="B686" s="7"/>
      <c r="C686" s="7"/>
      <c r="D686" s="7"/>
      <c r="E686" s="7"/>
      <c r="F686" s="7"/>
    </row>
    <row r="687" ht="15.75" customHeight="1">
      <c r="A687" s="7"/>
      <c r="B687" s="7"/>
      <c r="C687" s="7"/>
      <c r="D687" s="7"/>
      <c r="E687" s="7"/>
      <c r="F687" s="7"/>
    </row>
    <row r="688" ht="15.75" customHeight="1">
      <c r="A688" s="7"/>
      <c r="B688" s="7"/>
      <c r="C688" s="7"/>
      <c r="D688" s="7"/>
      <c r="E688" s="7"/>
      <c r="F688" s="7"/>
    </row>
    <row r="689" ht="15.75" customHeight="1">
      <c r="A689" s="7"/>
      <c r="B689" s="7"/>
      <c r="C689" s="7"/>
      <c r="D689" s="7"/>
      <c r="E689" s="7"/>
      <c r="F689" s="7"/>
    </row>
    <row r="690" ht="15.75" customHeight="1">
      <c r="A690" s="7"/>
      <c r="B690" s="7"/>
      <c r="C690" s="7"/>
      <c r="D690" s="7"/>
      <c r="E690" s="7"/>
      <c r="F690" s="7"/>
    </row>
    <row r="691" ht="15.75" customHeight="1">
      <c r="A691" s="7"/>
      <c r="B691" s="7"/>
      <c r="C691" s="7"/>
      <c r="D691" s="7"/>
      <c r="E691" s="7"/>
      <c r="F691" s="7"/>
    </row>
    <row r="692" ht="15.75" customHeight="1">
      <c r="A692" s="7"/>
      <c r="B692" s="7"/>
      <c r="C692" s="7"/>
      <c r="D692" s="7"/>
      <c r="E692" s="7"/>
      <c r="F692" s="7"/>
    </row>
    <row r="693" ht="15.75" customHeight="1">
      <c r="A693" s="7"/>
      <c r="B693" s="7"/>
      <c r="C693" s="7"/>
      <c r="D693" s="7"/>
      <c r="E693" s="7"/>
      <c r="F693" s="7"/>
    </row>
    <row r="694" ht="15.75" customHeight="1">
      <c r="A694" s="7"/>
      <c r="B694" s="7"/>
      <c r="C694" s="7"/>
      <c r="D694" s="7"/>
      <c r="E694" s="7"/>
      <c r="F694" s="7"/>
    </row>
    <row r="695" ht="15.75" customHeight="1">
      <c r="A695" s="7"/>
      <c r="B695" s="7"/>
      <c r="C695" s="7"/>
      <c r="D695" s="7"/>
      <c r="E695" s="7"/>
      <c r="F695" s="7"/>
    </row>
    <row r="696" ht="15.75" customHeight="1">
      <c r="A696" s="7"/>
      <c r="B696" s="7"/>
      <c r="C696" s="7"/>
      <c r="D696" s="7"/>
      <c r="E696" s="7"/>
      <c r="F696" s="7"/>
    </row>
    <row r="697" ht="15.75" customHeight="1">
      <c r="A697" s="7"/>
      <c r="B697" s="7"/>
      <c r="C697" s="7"/>
      <c r="D697" s="7"/>
      <c r="E697" s="7"/>
      <c r="F697" s="7"/>
    </row>
    <row r="698" ht="15.75" customHeight="1">
      <c r="A698" s="7"/>
      <c r="B698" s="7"/>
      <c r="C698" s="7"/>
      <c r="D698" s="7"/>
      <c r="E698" s="7"/>
      <c r="F698" s="7"/>
    </row>
    <row r="699" ht="15.75" customHeight="1">
      <c r="A699" s="7"/>
      <c r="B699" s="7"/>
      <c r="C699" s="7"/>
      <c r="D699" s="7"/>
      <c r="E699" s="7"/>
      <c r="F699" s="7"/>
    </row>
    <row r="700" ht="15.75" customHeight="1">
      <c r="A700" s="7"/>
      <c r="B700" s="7"/>
      <c r="C700" s="7"/>
      <c r="D700" s="7"/>
      <c r="E700" s="7"/>
      <c r="F700" s="7"/>
    </row>
    <row r="701" ht="15.75" customHeight="1">
      <c r="A701" s="7"/>
      <c r="B701" s="7"/>
      <c r="C701" s="7"/>
      <c r="D701" s="7"/>
      <c r="E701" s="7"/>
      <c r="F701" s="7"/>
    </row>
    <row r="702" ht="15.75" customHeight="1">
      <c r="A702" s="7"/>
      <c r="B702" s="7"/>
      <c r="C702" s="7"/>
      <c r="D702" s="7"/>
      <c r="E702" s="7"/>
      <c r="F702" s="7"/>
    </row>
    <row r="703" ht="15.75" customHeight="1">
      <c r="A703" s="7"/>
      <c r="B703" s="7"/>
      <c r="C703" s="7"/>
      <c r="D703" s="7"/>
      <c r="E703" s="7"/>
      <c r="F703" s="7"/>
    </row>
    <row r="704" ht="15.75" customHeight="1">
      <c r="A704" s="7"/>
      <c r="B704" s="7"/>
      <c r="C704" s="7"/>
      <c r="D704" s="7"/>
      <c r="E704" s="7"/>
      <c r="F704" s="7"/>
    </row>
    <row r="705" ht="15.75" customHeight="1">
      <c r="A705" s="7"/>
      <c r="B705" s="7"/>
      <c r="C705" s="7"/>
      <c r="D705" s="7"/>
      <c r="E705" s="7"/>
      <c r="F705" s="7"/>
    </row>
    <row r="706" ht="15.75" customHeight="1">
      <c r="A706" s="7"/>
      <c r="B706" s="7"/>
      <c r="C706" s="7"/>
      <c r="D706" s="7"/>
      <c r="E706" s="7"/>
      <c r="F706" s="7"/>
    </row>
    <row r="707" ht="15.75" customHeight="1">
      <c r="A707" s="7"/>
      <c r="B707" s="7"/>
      <c r="C707" s="7"/>
      <c r="D707" s="7"/>
      <c r="E707" s="7"/>
      <c r="F707" s="7"/>
    </row>
    <row r="708" ht="15.75" customHeight="1">
      <c r="A708" s="7"/>
      <c r="B708" s="7"/>
      <c r="C708" s="7"/>
      <c r="D708" s="7"/>
      <c r="E708" s="7"/>
      <c r="F708" s="7"/>
    </row>
    <row r="709" ht="15.75" customHeight="1">
      <c r="A709" s="7"/>
      <c r="B709" s="7"/>
      <c r="C709" s="7"/>
      <c r="D709" s="7"/>
      <c r="E709" s="7"/>
      <c r="F709" s="7"/>
    </row>
    <row r="710" ht="15.75" customHeight="1">
      <c r="A710" s="7"/>
      <c r="B710" s="7"/>
      <c r="C710" s="7"/>
      <c r="D710" s="7"/>
      <c r="E710" s="7"/>
      <c r="F710" s="7"/>
    </row>
    <row r="711" ht="15.75" customHeight="1">
      <c r="A711" s="7"/>
      <c r="B711" s="7"/>
      <c r="C711" s="7"/>
      <c r="D711" s="7"/>
      <c r="E711" s="7"/>
      <c r="F711" s="7"/>
    </row>
    <row r="712" ht="15.75" customHeight="1">
      <c r="A712" s="7"/>
      <c r="B712" s="7"/>
      <c r="C712" s="7"/>
      <c r="D712" s="7"/>
      <c r="E712" s="7"/>
      <c r="F712" s="7"/>
    </row>
    <row r="713" ht="15.75" customHeight="1">
      <c r="A713" s="7"/>
      <c r="B713" s="7"/>
      <c r="C713" s="7"/>
      <c r="D713" s="7"/>
      <c r="E713" s="7"/>
      <c r="F713" s="7"/>
    </row>
    <row r="714" ht="15.75" customHeight="1">
      <c r="A714" s="7"/>
      <c r="B714" s="7"/>
      <c r="C714" s="7"/>
      <c r="D714" s="7"/>
      <c r="E714" s="7"/>
      <c r="F714" s="7"/>
    </row>
    <row r="715" ht="15.75" customHeight="1">
      <c r="A715" s="7"/>
      <c r="B715" s="7"/>
      <c r="C715" s="7"/>
      <c r="D715" s="7"/>
      <c r="E715" s="7"/>
      <c r="F715" s="7"/>
    </row>
    <row r="716" ht="15.75" customHeight="1">
      <c r="A716" s="7"/>
      <c r="B716" s="7"/>
      <c r="C716" s="7"/>
      <c r="D716" s="7"/>
      <c r="E716" s="7"/>
      <c r="F716" s="7"/>
    </row>
    <row r="717" ht="15.75" customHeight="1">
      <c r="A717" s="7"/>
      <c r="B717" s="7"/>
      <c r="C717" s="7"/>
      <c r="D717" s="7"/>
      <c r="E717" s="7"/>
      <c r="F717" s="7"/>
    </row>
    <row r="718" ht="15.75" customHeight="1">
      <c r="A718" s="7"/>
      <c r="B718" s="7"/>
      <c r="C718" s="7"/>
      <c r="D718" s="7"/>
      <c r="E718" s="7"/>
      <c r="F718" s="7"/>
    </row>
    <row r="719" ht="15.75" customHeight="1">
      <c r="A719" s="7"/>
      <c r="B719" s="7"/>
      <c r="C719" s="7"/>
      <c r="D719" s="7"/>
      <c r="E719" s="7"/>
      <c r="F719" s="7"/>
    </row>
    <row r="720" ht="15.75" customHeight="1">
      <c r="A720" s="7"/>
      <c r="B720" s="7"/>
      <c r="C720" s="7"/>
      <c r="D720" s="7"/>
      <c r="E720" s="7"/>
      <c r="F720" s="7"/>
    </row>
    <row r="721" ht="15.75" customHeight="1">
      <c r="A721" s="7"/>
      <c r="B721" s="7"/>
      <c r="C721" s="7"/>
      <c r="D721" s="7"/>
      <c r="E721" s="7"/>
      <c r="F721" s="7"/>
    </row>
    <row r="722" ht="15.75" customHeight="1">
      <c r="A722" s="7"/>
      <c r="B722" s="7"/>
      <c r="C722" s="7"/>
      <c r="D722" s="7"/>
      <c r="E722" s="7"/>
      <c r="F722" s="7"/>
    </row>
    <row r="723" ht="15.75" customHeight="1">
      <c r="A723" s="7"/>
      <c r="B723" s="7"/>
      <c r="C723" s="7"/>
      <c r="D723" s="7"/>
      <c r="E723" s="7"/>
      <c r="F723" s="7"/>
    </row>
    <row r="724" ht="15.75" customHeight="1">
      <c r="A724" s="7"/>
      <c r="B724" s="7"/>
      <c r="C724" s="7"/>
      <c r="D724" s="7"/>
      <c r="E724" s="7"/>
      <c r="F724" s="7"/>
    </row>
    <row r="725" ht="15.75" customHeight="1">
      <c r="A725" s="7"/>
      <c r="B725" s="7"/>
      <c r="C725" s="7"/>
      <c r="D725" s="7"/>
      <c r="E725" s="7"/>
      <c r="F725" s="7"/>
    </row>
    <row r="726" ht="15.75" customHeight="1">
      <c r="A726" s="7"/>
      <c r="B726" s="7"/>
      <c r="C726" s="7"/>
      <c r="D726" s="7"/>
      <c r="E726" s="7"/>
      <c r="F726" s="7"/>
    </row>
    <row r="727" ht="15.75" customHeight="1">
      <c r="A727" s="7"/>
      <c r="B727" s="7"/>
      <c r="C727" s="7"/>
      <c r="D727" s="7"/>
      <c r="E727" s="7"/>
      <c r="F727" s="7"/>
    </row>
    <row r="728" ht="15.75" customHeight="1">
      <c r="A728" s="7"/>
      <c r="B728" s="7"/>
      <c r="C728" s="7"/>
      <c r="D728" s="7"/>
      <c r="E728" s="7"/>
      <c r="F728" s="7"/>
    </row>
    <row r="729" ht="15.75" customHeight="1">
      <c r="A729" s="7"/>
      <c r="B729" s="7"/>
      <c r="C729" s="7"/>
      <c r="D729" s="7"/>
      <c r="E729" s="7"/>
      <c r="F729" s="7"/>
    </row>
    <row r="730" ht="15.75" customHeight="1">
      <c r="A730" s="7"/>
      <c r="B730" s="7"/>
      <c r="C730" s="7"/>
      <c r="D730" s="7"/>
      <c r="E730" s="7"/>
      <c r="F730" s="7"/>
    </row>
    <row r="731" ht="15.75" customHeight="1">
      <c r="A731" s="7"/>
      <c r="B731" s="7"/>
      <c r="C731" s="7"/>
      <c r="D731" s="7"/>
      <c r="E731" s="7"/>
      <c r="F731" s="7"/>
    </row>
    <row r="732" ht="15.75" customHeight="1">
      <c r="A732" s="7"/>
      <c r="B732" s="7"/>
      <c r="C732" s="7"/>
      <c r="D732" s="7"/>
      <c r="E732" s="7"/>
      <c r="F732" s="7"/>
    </row>
    <row r="733" ht="15.75" customHeight="1">
      <c r="A733" s="7"/>
      <c r="B733" s="7"/>
      <c r="C733" s="7"/>
      <c r="D733" s="7"/>
      <c r="E733" s="7"/>
      <c r="F733" s="7"/>
    </row>
    <row r="734" ht="15.75" customHeight="1">
      <c r="A734" s="7"/>
      <c r="B734" s="7"/>
      <c r="C734" s="7"/>
      <c r="D734" s="7"/>
      <c r="E734" s="7"/>
      <c r="F734" s="7"/>
    </row>
    <row r="735" ht="15.75" customHeight="1">
      <c r="A735" s="7"/>
      <c r="B735" s="7"/>
      <c r="C735" s="7"/>
      <c r="D735" s="7"/>
      <c r="E735" s="7"/>
      <c r="F735" s="7"/>
    </row>
    <row r="736" ht="15.75" customHeight="1">
      <c r="A736" s="7"/>
      <c r="B736" s="7"/>
      <c r="C736" s="7"/>
      <c r="D736" s="7"/>
      <c r="E736" s="7"/>
      <c r="F736" s="7"/>
    </row>
    <row r="737" ht="15.75" customHeight="1">
      <c r="A737" s="7"/>
      <c r="B737" s="7"/>
      <c r="C737" s="7"/>
      <c r="D737" s="7"/>
      <c r="E737" s="7"/>
      <c r="F737" s="7"/>
    </row>
    <row r="738" ht="15.75" customHeight="1">
      <c r="A738" s="7"/>
      <c r="B738" s="7"/>
      <c r="C738" s="7"/>
      <c r="D738" s="7"/>
      <c r="E738" s="7"/>
      <c r="F738" s="7"/>
    </row>
    <row r="739" ht="15.75" customHeight="1">
      <c r="A739" s="7"/>
      <c r="B739" s="7"/>
      <c r="C739" s="7"/>
      <c r="D739" s="7"/>
      <c r="E739" s="7"/>
      <c r="F739" s="7"/>
    </row>
    <row r="740" ht="15.75" customHeight="1">
      <c r="A740" s="7"/>
      <c r="B740" s="7"/>
      <c r="C740" s="7"/>
      <c r="D740" s="7"/>
      <c r="E740" s="7"/>
      <c r="F740" s="7"/>
    </row>
    <row r="741" ht="15.75" customHeight="1">
      <c r="A741" s="7"/>
      <c r="B741" s="7"/>
      <c r="C741" s="7"/>
      <c r="D741" s="7"/>
      <c r="E741" s="7"/>
      <c r="F741" s="7"/>
    </row>
    <row r="742" ht="15.75" customHeight="1">
      <c r="A742" s="7"/>
      <c r="B742" s="7"/>
      <c r="C742" s="7"/>
      <c r="D742" s="7"/>
      <c r="E742" s="7"/>
      <c r="F742" s="7"/>
    </row>
    <row r="743" ht="15.75" customHeight="1">
      <c r="A743" s="7"/>
      <c r="B743" s="7"/>
      <c r="C743" s="7"/>
      <c r="D743" s="7"/>
      <c r="E743" s="7"/>
      <c r="F743" s="7"/>
    </row>
    <row r="744" ht="15.75" customHeight="1">
      <c r="A744" s="7"/>
      <c r="B744" s="7"/>
      <c r="C744" s="7"/>
      <c r="D744" s="7"/>
      <c r="E744" s="7"/>
      <c r="F744" s="7"/>
    </row>
    <row r="745" ht="15.75" customHeight="1">
      <c r="A745" s="7"/>
      <c r="B745" s="7"/>
      <c r="C745" s="7"/>
      <c r="D745" s="7"/>
      <c r="E745" s="7"/>
      <c r="F745" s="7"/>
    </row>
    <row r="746" ht="15.75" customHeight="1">
      <c r="A746" s="7"/>
      <c r="B746" s="7"/>
      <c r="C746" s="7"/>
      <c r="D746" s="7"/>
      <c r="E746" s="7"/>
      <c r="F746" s="7"/>
    </row>
    <row r="747" ht="15.75" customHeight="1">
      <c r="A747" s="7"/>
      <c r="B747" s="7"/>
      <c r="C747" s="7"/>
      <c r="D747" s="7"/>
      <c r="E747" s="7"/>
      <c r="F747" s="7"/>
    </row>
    <row r="748" ht="15.75" customHeight="1">
      <c r="A748" s="7"/>
      <c r="B748" s="7"/>
      <c r="C748" s="7"/>
      <c r="D748" s="7"/>
      <c r="E748" s="7"/>
      <c r="F748" s="7"/>
    </row>
    <row r="749" ht="15.75" customHeight="1">
      <c r="A749" s="7"/>
      <c r="B749" s="7"/>
      <c r="C749" s="7"/>
      <c r="D749" s="7"/>
      <c r="E749" s="7"/>
      <c r="F749" s="7"/>
    </row>
    <row r="750" ht="15.75" customHeight="1">
      <c r="A750" s="7"/>
      <c r="B750" s="7"/>
      <c r="C750" s="7"/>
      <c r="D750" s="7"/>
      <c r="E750" s="7"/>
      <c r="F750" s="7"/>
    </row>
    <row r="751" ht="15.75" customHeight="1">
      <c r="A751" s="7"/>
      <c r="B751" s="7"/>
      <c r="C751" s="7"/>
      <c r="D751" s="7"/>
      <c r="E751" s="7"/>
      <c r="F751" s="7"/>
    </row>
    <row r="752" ht="15.75" customHeight="1">
      <c r="A752" s="7"/>
      <c r="B752" s="7"/>
      <c r="C752" s="7"/>
      <c r="D752" s="7"/>
      <c r="E752" s="7"/>
      <c r="F752" s="7"/>
    </row>
    <row r="753" ht="15.75" customHeight="1">
      <c r="A753" s="7"/>
      <c r="B753" s="7"/>
      <c r="C753" s="7"/>
      <c r="D753" s="7"/>
      <c r="E753" s="7"/>
      <c r="F753" s="7"/>
    </row>
    <row r="754" ht="15.75" customHeight="1">
      <c r="A754" s="7"/>
      <c r="B754" s="7"/>
      <c r="C754" s="7"/>
      <c r="D754" s="7"/>
      <c r="E754" s="7"/>
      <c r="F754" s="7"/>
    </row>
    <row r="755" ht="15.75" customHeight="1">
      <c r="A755" s="7"/>
      <c r="B755" s="7"/>
      <c r="C755" s="7"/>
      <c r="D755" s="7"/>
      <c r="E755" s="7"/>
      <c r="F755" s="7"/>
    </row>
    <row r="756" ht="15.75" customHeight="1">
      <c r="A756" s="7"/>
      <c r="B756" s="7"/>
      <c r="C756" s="7"/>
      <c r="D756" s="7"/>
      <c r="E756" s="7"/>
      <c r="F756" s="7"/>
    </row>
    <row r="757" ht="15.75" customHeight="1">
      <c r="A757" s="7"/>
      <c r="B757" s="7"/>
      <c r="C757" s="7"/>
      <c r="D757" s="7"/>
      <c r="E757" s="7"/>
      <c r="F757" s="7"/>
    </row>
    <row r="758" ht="15.75" customHeight="1">
      <c r="A758" s="7"/>
      <c r="B758" s="7"/>
      <c r="C758" s="7"/>
      <c r="D758" s="7"/>
      <c r="E758" s="7"/>
      <c r="F758" s="7"/>
    </row>
    <row r="759" ht="15.75" customHeight="1">
      <c r="A759" s="7"/>
      <c r="B759" s="7"/>
      <c r="C759" s="7"/>
      <c r="D759" s="7"/>
      <c r="E759" s="7"/>
      <c r="F759" s="7"/>
    </row>
    <row r="760" ht="15.75" customHeight="1">
      <c r="A760" s="7"/>
      <c r="B760" s="7"/>
      <c r="C760" s="7"/>
      <c r="D760" s="7"/>
      <c r="E760" s="7"/>
      <c r="F760" s="7"/>
    </row>
    <row r="761" ht="15.75" customHeight="1">
      <c r="A761" s="7"/>
      <c r="B761" s="7"/>
      <c r="C761" s="7"/>
      <c r="D761" s="7"/>
      <c r="E761" s="7"/>
      <c r="F761" s="7"/>
    </row>
    <row r="762" ht="15.75" customHeight="1">
      <c r="A762" s="7"/>
      <c r="B762" s="7"/>
      <c r="C762" s="7"/>
      <c r="D762" s="7"/>
      <c r="E762" s="7"/>
      <c r="F762" s="7"/>
    </row>
    <row r="763" ht="15.75" customHeight="1">
      <c r="A763" s="7"/>
      <c r="B763" s="7"/>
      <c r="C763" s="7"/>
      <c r="D763" s="7"/>
      <c r="E763" s="7"/>
      <c r="F763" s="7"/>
    </row>
    <row r="764" ht="15.75" customHeight="1">
      <c r="A764" s="7"/>
      <c r="B764" s="7"/>
      <c r="C764" s="7"/>
      <c r="D764" s="7"/>
      <c r="E764" s="7"/>
      <c r="F764" s="7"/>
    </row>
    <row r="765" ht="15.75" customHeight="1">
      <c r="A765" s="7"/>
      <c r="B765" s="7"/>
      <c r="C765" s="7"/>
      <c r="D765" s="7"/>
      <c r="E765" s="7"/>
      <c r="F765" s="7"/>
    </row>
    <row r="766" ht="15.75" customHeight="1">
      <c r="A766" s="7"/>
      <c r="B766" s="7"/>
      <c r="C766" s="7"/>
      <c r="D766" s="7"/>
      <c r="E766" s="7"/>
      <c r="F766" s="7"/>
    </row>
    <row r="767" ht="15.75" customHeight="1">
      <c r="A767" s="7"/>
      <c r="B767" s="7"/>
      <c r="C767" s="7"/>
      <c r="D767" s="7"/>
      <c r="E767" s="7"/>
      <c r="F767" s="7"/>
    </row>
    <row r="768" ht="15.75" customHeight="1">
      <c r="A768" s="7"/>
      <c r="B768" s="7"/>
      <c r="C768" s="7"/>
      <c r="D768" s="7"/>
      <c r="E768" s="7"/>
      <c r="F768" s="7"/>
    </row>
    <row r="769" ht="15.75" customHeight="1">
      <c r="A769" s="7"/>
      <c r="B769" s="7"/>
      <c r="C769" s="7"/>
      <c r="D769" s="7"/>
      <c r="E769" s="7"/>
      <c r="F769" s="7"/>
    </row>
    <row r="770" ht="15.75" customHeight="1">
      <c r="A770" s="7"/>
      <c r="B770" s="7"/>
      <c r="C770" s="7"/>
      <c r="D770" s="7"/>
      <c r="E770" s="7"/>
      <c r="F770" s="7"/>
    </row>
    <row r="771" ht="15.75" customHeight="1">
      <c r="A771" s="7"/>
      <c r="B771" s="7"/>
      <c r="C771" s="7"/>
      <c r="D771" s="7"/>
      <c r="E771" s="7"/>
      <c r="F771" s="7"/>
    </row>
    <row r="772" ht="15.75" customHeight="1">
      <c r="A772" s="7"/>
      <c r="B772" s="7"/>
      <c r="C772" s="7"/>
      <c r="D772" s="7"/>
      <c r="E772" s="7"/>
      <c r="F772" s="7"/>
    </row>
    <row r="773" ht="15.75" customHeight="1">
      <c r="A773" s="7"/>
      <c r="B773" s="7"/>
      <c r="C773" s="7"/>
      <c r="D773" s="7"/>
      <c r="E773" s="7"/>
      <c r="F773" s="7"/>
    </row>
    <row r="774" ht="15.75" customHeight="1">
      <c r="A774" s="7"/>
      <c r="B774" s="7"/>
      <c r="C774" s="7"/>
      <c r="D774" s="7"/>
      <c r="E774" s="7"/>
      <c r="F774" s="7"/>
    </row>
    <row r="775" ht="15.75" customHeight="1">
      <c r="A775" s="7"/>
      <c r="B775" s="7"/>
      <c r="C775" s="7"/>
      <c r="D775" s="7"/>
      <c r="E775" s="7"/>
      <c r="F775" s="7"/>
    </row>
    <row r="776" ht="15.75" customHeight="1">
      <c r="A776" s="7"/>
      <c r="B776" s="7"/>
      <c r="C776" s="7"/>
      <c r="D776" s="7"/>
      <c r="E776" s="7"/>
      <c r="F776" s="7"/>
    </row>
    <row r="777" ht="15.75" customHeight="1">
      <c r="A777" s="7"/>
      <c r="B777" s="7"/>
      <c r="C777" s="7"/>
      <c r="D777" s="7"/>
      <c r="E777" s="7"/>
      <c r="F777" s="7"/>
    </row>
    <row r="778" ht="15.75" customHeight="1">
      <c r="A778" s="7"/>
      <c r="B778" s="7"/>
      <c r="C778" s="7"/>
      <c r="D778" s="7"/>
      <c r="E778" s="7"/>
      <c r="F778" s="7"/>
    </row>
    <row r="779" ht="15.75" customHeight="1">
      <c r="A779" s="7"/>
      <c r="B779" s="7"/>
      <c r="C779" s="7"/>
      <c r="D779" s="7"/>
      <c r="E779" s="7"/>
      <c r="F779" s="7"/>
    </row>
    <row r="780" ht="15.75" customHeight="1">
      <c r="A780" s="7"/>
      <c r="B780" s="7"/>
      <c r="C780" s="7"/>
      <c r="D780" s="7"/>
      <c r="E780" s="7"/>
      <c r="F780" s="7"/>
    </row>
    <row r="781" ht="15.75" customHeight="1">
      <c r="A781" s="7"/>
      <c r="B781" s="7"/>
      <c r="C781" s="7"/>
      <c r="D781" s="7"/>
      <c r="E781" s="7"/>
      <c r="F781" s="7"/>
    </row>
    <row r="782" ht="15.75" customHeight="1">
      <c r="A782" s="7"/>
      <c r="B782" s="7"/>
      <c r="C782" s="7"/>
      <c r="D782" s="7"/>
      <c r="E782" s="7"/>
      <c r="F782" s="7"/>
    </row>
    <row r="783" ht="15.75" customHeight="1">
      <c r="A783" s="7"/>
      <c r="B783" s="7"/>
      <c r="C783" s="7"/>
      <c r="D783" s="7"/>
      <c r="E783" s="7"/>
      <c r="F783" s="7"/>
    </row>
    <row r="784" ht="15.75" customHeight="1">
      <c r="A784" s="7"/>
      <c r="B784" s="7"/>
      <c r="C784" s="7"/>
      <c r="D784" s="7"/>
      <c r="E784" s="7"/>
      <c r="F784" s="7"/>
    </row>
    <row r="785" ht="15.75" customHeight="1">
      <c r="A785" s="7"/>
      <c r="B785" s="7"/>
      <c r="C785" s="7"/>
      <c r="D785" s="7"/>
      <c r="E785" s="7"/>
      <c r="F785" s="7"/>
    </row>
    <row r="786" ht="15.75" customHeight="1">
      <c r="A786" s="7"/>
      <c r="B786" s="7"/>
      <c r="C786" s="7"/>
      <c r="D786" s="7"/>
      <c r="E786" s="7"/>
      <c r="F786" s="7"/>
    </row>
    <row r="787" ht="15.75" customHeight="1">
      <c r="A787" s="7"/>
      <c r="B787" s="7"/>
      <c r="C787" s="7"/>
      <c r="D787" s="7"/>
      <c r="E787" s="7"/>
      <c r="F787" s="7"/>
    </row>
    <row r="788" ht="15.75" customHeight="1">
      <c r="A788" s="7"/>
      <c r="B788" s="7"/>
      <c r="C788" s="7"/>
      <c r="D788" s="7"/>
      <c r="E788" s="7"/>
      <c r="F788" s="7"/>
    </row>
    <row r="789" ht="15.75" customHeight="1">
      <c r="A789" s="7"/>
      <c r="B789" s="7"/>
      <c r="C789" s="7"/>
      <c r="D789" s="7"/>
      <c r="E789" s="7"/>
      <c r="F789" s="7"/>
    </row>
    <row r="790" ht="15.75" customHeight="1">
      <c r="A790" s="7"/>
      <c r="B790" s="7"/>
      <c r="C790" s="7"/>
      <c r="D790" s="7"/>
      <c r="E790" s="7"/>
      <c r="F790" s="7"/>
    </row>
    <row r="791" ht="15.75" customHeight="1">
      <c r="A791" s="7"/>
      <c r="B791" s="7"/>
      <c r="C791" s="7"/>
      <c r="D791" s="7"/>
      <c r="E791" s="7"/>
      <c r="F791" s="7"/>
    </row>
    <row r="792" ht="15.75" customHeight="1">
      <c r="A792" s="7"/>
      <c r="B792" s="7"/>
      <c r="C792" s="7"/>
      <c r="D792" s="7"/>
      <c r="E792" s="7"/>
      <c r="F792" s="7"/>
    </row>
    <row r="793" ht="15.75" customHeight="1">
      <c r="A793" s="7"/>
      <c r="B793" s="7"/>
      <c r="C793" s="7"/>
      <c r="D793" s="7"/>
      <c r="E793" s="7"/>
      <c r="F793" s="7"/>
    </row>
    <row r="794" ht="15.75" customHeight="1">
      <c r="A794" s="7"/>
      <c r="B794" s="7"/>
      <c r="C794" s="7"/>
      <c r="D794" s="7"/>
      <c r="E794" s="7"/>
      <c r="F794" s="7"/>
    </row>
    <row r="795" ht="15.75" customHeight="1">
      <c r="A795" s="7"/>
      <c r="B795" s="7"/>
      <c r="C795" s="7"/>
      <c r="D795" s="7"/>
      <c r="E795" s="7"/>
      <c r="F795" s="7"/>
    </row>
    <row r="796" ht="15.75" customHeight="1">
      <c r="A796" s="7"/>
      <c r="B796" s="7"/>
      <c r="C796" s="7"/>
      <c r="D796" s="7"/>
      <c r="E796" s="7"/>
      <c r="F796" s="7"/>
    </row>
    <row r="797" ht="15.75" customHeight="1">
      <c r="A797" s="7"/>
      <c r="B797" s="7"/>
      <c r="C797" s="7"/>
      <c r="D797" s="7"/>
      <c r="E797" s="7"/>
      <c r="F797" s="7"/>
    </row>
    <row r="798" ht="15.75" customHeight="1">
      <c r="A798" s="7"/>
      <c r="B798" s="7"/>
      <c r="C798" s="7"/>
      <c r="D798" s="7"/>
      <c r="E798" s="7"/>
      <c r="F798" s="7"/>
    </row>
    <row r="799" ht="15.75" customHeight="1">
      <c r="A799" s="7"/>
      <c r="B799" s="7"/>
      <c r="C799" s="7"/>
      <c r="D799" s="7"/>
      <c r="E799" s="7"/>
      <c r="F799" s="7"/>
    </row>
    <row r="800" ht="15.75" customHeight="1">
      <c r="A800" s="7"/>
      <c r="B800" s="7"/>
      <c r="C800" s="7"/>
      <c r="D800" s="7"/>
      <c r="E800" s="7"/>
      <c r="F800" s="7"/>
    </row>
    <row r="801" ht="15.75" customHeight="1">
      <c r="A801" s="7"/>
      <c r="B801" s="7"/>
      <c r="C801" s="7"/>
      <c r="D801" s="7"/>
      <c r="E801" s="7"/>
      <c r="F801" s="7"/>
    </row>
    <row r="802" ht="15.75" customHeight="1">
      <c r="A802" s="7"/>
      <c r="B802" s="7"/>
      <c r="C802" s="7"/>
      <c r="D802" s="7"/>
      <c r="E802" s="7"/>
      <c r="F802" s="7"/>
    </row>
    <row r="803" ht="15.75" customHeight="1">
      <c r="A803" s="7"/>
      <c r="B803" s="7"/>
      <c r="C803" s="7"/>
      <c r="D803" s="7"/>
      <c r="E803" s="7"/>
      <c r="F803" s="7"/>
    </row>
    <row r="804" ht="15.75" customHeight="1">
      <c r="A804" s="7"/>
      <c r="B804" s="7"/>
      <c r="C804" s="7"/>
      <c r="D804" s="7"/>
      <c r="E804" s="7"/>
      <c r="F804" s="7"/>
    </row>
    <row r="805" ht="15.75" customHeight="1">
      <c r="A805" s="7"/>
      <c r="B805" s="7"/>
      <c r="C805" s="7"/>
      <c r="D805" s="7"/>
      <c r="E805" s="7"/>
      <c r="F805" s="7"/>
    </row>
    <row r="806" ht="15.75" customHeight="1">
      <c r="A806" s="7"/>
      <c r="B806" s="7"/>
      <c r="C806" s="7"/>
      <c r="D806" s="7"/>
      <c r="E806" s="7"/>
      <c r="F806" s="7"/>
    </row>
    <row r="807" ht="15.75" customHeight="1">
      <c r="A807" s="7"/>
      <c r="B807" s="7"/>
      <c r="C807" s="7"/>
      <c r="D807" s="7"/>
      <c r="E807" s="7"/>
      <c r="F807" s="7"/>
    </row>
    <row r="808" ht="15.75" customHeight="1">
      <c r="A808" s="7"/>
      <c r="B808" s="7"/>
      <c r="C808" s="7"/>
      <c r="D808" s="7"/>
      <c r="E808" s="7"/>
      <c r="F808" s="7"/>
    </row>
    <row r="809" ht="15.75" customHeight="1">
      <c r="A809" s="7"/>
      <c r="B809" s="7"/>
      <c r="C809" s="7"/>
      <c r="D809" s="7"/>
      <c r="E809" s="7"/>
      <c r="F809" s="7"/>
    </row>
    <row r="810" ht="15.75" customHeight="1">
      <c r="A810" s="7"/>
      <c r="B810" s="7"/>
      <c r="C810" s="7"/>
      <c r="D810" s="7"/>
      <c r="E810" s="7"/>
      <c r="F810" s="7"/>
    </row>
    <row r="811" ht="15.75" customHeight="1">
      <c r="A811" s="7"/>
      <c r="B811" s="7"/>
      <c r="C811" s="7"/>
      <c r="D811" s="7"/>
      <c r="E811" s="7"/>
      <c r="F811" s="7"/>
    </row>
    <row r="812" ht="15.75" customHeight="1">
      <c r="A812" s="7"/>
      <c r="B812" s="7"/>
      <c r="C812" s="7"/>
      <c r="D812" s="7"/>
      <c r="E812" s="7"/>
      <c r="F812" s="7"/>
    </row>
    <row r="813" ht="15.75" customHeight="1">
      <c r="A813" s="7"/>
      <c r="B813" s="7"/>
      <c r="C813" s="7"/>
      <c r="D813" s="7"/>
      <c r="E813" s="7"/>
      <c r="F813" s="7"/>
    </row>
    <row r="814" ht="15.75" customHeight="1">
      <c r="A814" s="7"/>
      <c r="B814" s="7"/>
      <c r="C814" s="7"/>
      <c r="D814" s="7"/>
      <c r="E814" s="7"/>
      <c r="F814" s="7"/>
    </row>
    <row r="815" ht="15.75" customHeight="1">
      <c r="A815" s="7"/>
      <c r="B815" s="7"/>
      <c r="C815" s="7"/>
      <c r="D815" s="7"/>
      <c r="E815" s="7"/>
      <c r="F815" s="7"/>
    </row>
    <row r="816" ht="15.75" customHeight="1">
      <c r="A816" s="7"/>
      <c r="B816" s="7"/>
      <c r="C816" s="7"/>
      <c r="D816" s="7"/>
      <c r="E816" s="7"/>
      <c r="F816" s="7"/>
    </row>
    <row r="817" ht="15.75" customHeight="1">
      <c r="A817" s="7"/>
      <c r="B817" s="7"/>
      <c r="C817" s="7"/>
      <c r="D817" s="7"/>
      <c r="E817" s="7"/>
      <c r="F817" s="7"/>
    </row>
    <row r="818" ht="15.75" customHeight="1">
      <c r="A818" s="7"/>
      <c r="B818" s="7"/>
      <c r="C818" s="7"/>
      <c r="D818" s="7"/>
      <c r="E818" s="7"/>
      <c r="F818" s="7"/>
    </row>
    <row r="819" ht="15.75" customHeight="1">
      <c r="A819" s="7"/>
      <c r="B819" s="7"/>
      <c r="C819" s="7"/>
      <c r="D819" s="7"/>
      <c r="E819" s="7"/>
      <c r="F819" s="7"/>
    </row>
    <row r="820" ht="15.75" customHeight="1">
      <c r="A820" s="7"/>
      <c r="B820" s="7"/>
      <c r="C820" s="7"/>
      <c r="D820" s="7"/>
      <c r="E820" s="7"/>
      <c r="F820" s="7"/>
    </row>
    <row r="821" ht="15.75" customHeight="1">
      <c r="A821" s="7"/>
      <c r="B821" s="7"/>
      <c r="C821" s="7"/>
      <c r="D821" s="7"/>
      <c r="E821" s="7"/>
      <c r="F821" s="7"/>
    </row>
    <row r="822" ht="15.75" customHeight="1">
      <c r="A822" s="7"/>
      <c r="B822" s="7"/>
      <c r="C822" s="7"/>
      <c r="D822" s="7"/>
      <c r="E822" s="7"/>
      <c r="F822" s="7"/>
    </row>
    <row r="823" ht="15.75" customHeight="1">
      <c r="A823" s="7"/>
      <c r="B823" s="7"/>
      <c r="C823" s="7"/>
      <c r="D823" s="7"/>
      <c r="E823" s="7"/>
      <c r="F823" s="7"/>
    </row>
    <row r="824" ht="15.75" customHeight="1">
      <c r="A824" s="7"/>
      <c r="B824" s="7"/>
      <c r="C824" s="7"/>
      <c r="D824" s="7"/>
      <c r="E824" s="7"/>
      <c r="F824" s="7"/>
    </row>
    <row r="825" ht="15.75" customHeight="1">
      <c r="A825" s="7"/>
      <c r="B825" s="7"/>
      <c r="C825" s="7"/>
      <c r="D825" s="7"/>
      <c r="E825" s="7"/>
      <c r="F825" s="7"/>
    </row>
    <row r="826" ht="15.75" customHeight="1">
      <c r="A826" s="7"/>
      <c r="B826" s="7"/>
      <c r="C826" s="7"/>
      <c r="D826" s="7"/>
      <c r="E826" s="7"/>
      <c r="F826" s="7"/>
    </row>
    <row r="827" ht="15.75" customHeight="1">
      <c r="A827" s="7"/>
      <c r="B827" s="7"/>
      <c r="C827" s="7"/>
      <c r="D827" s="7"/>
      <c r="E827" s="7"/>
      <c r="F827" s="7"/>
    </row>
    <row r="828" ht="15.75" customHeight="1">
      <c r="A828" s="7"/>
      <c r="B828" s="7"/>
      <c r="C828" s="7"/>
      <c r="D828" s="7"/>
      <c r="E828" s="7"/>
      <c r="F828" s="7"/>
    </row>
    <row r="829" ht="15.75" customHeight="1">
      <c r="A829" s="7"/>
      <c r="B829" s="7"/>
      <c r="C829" s="7"/>
      <c r="D829" s="7"/>
      <c r="E829" s="7"/>
      <c r="F829" s="7"/>
    </row>
    <row r="830" ht="15.75" customHeight="1">
      <c r="A830" s="7"/>
      <c r="B830" s="7"/>
      <c r="C830" s="7"/>
      <c r="D830" s="7"/>
      <c r="E830" s="7"/>
      <c r="F830" s="7"/>
    </row>
    <row r="831" ht="15.75" customHeight="1">
      <c r="A831" s="7"/>
      <c r="B831" s="7"/>
      <c r="C831" s="7"/>
      <c r="D831" s="7"/>
      <c r="E831" s="7"/>
      <c r="F831" s="7"/>
    </row>
    <row r="832" ht="15.75" customHeight="1">
      <c r="A832" s="7"/>
      <c r="B832" s="7"/>
      <c r="C832" s="7"/>
      <c r="D832" s="7"/>
      <c r="E832" s="7"/>
      <c r="F832" s="7"/>
    </row>
    <row r="833" ht="15.75" customHeight="1">
      <c r="A833" s="7"/>
      <c r="B833" s="7"/>
      <c r="C833" s="7"/>
      <c r="D833" s="7"/>
      <c r="E833" s="7"/>
      <c r="F833" s="7"/>
    </row>
    <row r="834" ht="15.75" customHeight="1">
      <c r="A834" s="7"/>
      <c r="B834" s="7"/>
      <c r="C834" s="7"/>
      <c r="D834" s="7"/>
      <c r="E834" s="7"/>
      <c r="F834" s="7"/>
    </row>
    <row r="835" ht="15.75" customHeight="1">
      <c r="A835" s="7"/>
      <c r="B835" s="7"/>
      <c r="C835" s="7"/>
      <c r="D835" s="7"/>
      <c r="E835" s="7"/>
      <c r="F835" s="7"/>
    </row>
    <row r="836" ht="15.75" customHeight="1">
      <c r="A836" s="7"/>
      <c r="B836" s="7"/>
      <c r="C836" s="7"/>
      <c r="D836" s="7"/>
      <c r="E836" s="7"/>
      <c r="F836" s="7"/>
    </row>
    <row r="837" ht="15.75" customHeight="1">
      <c r="A837" s="7"/>
      <c r="B837" s="7"/>
      <c r="C837" s="7"/>
      <c r="D837" s="7"/>
      <c r="E837" s="7"/>
      <c r="F837" s="7"/>
    </row>
    <row r="838" ht="15.75" customHeight="1">
      <c r="A838" s="7"/>
      <c r="B838" s="7"/>
      <c r="C838" s="7"/>
      <c r="D838" s="7"/>
      <c r="E838" s="7"/>
      <c r="F838" s="7"/>
    </row>
    <row r="839" ht="15.75" customHeight="1">
      <c r="A839" s="7"/>
      <c r="B839" s="7"/>
      <c r="C839" s="7"/>
      <c r="D839" s="7"/>
      <c r="E839" s="7"/>
      <c r="F839" s="7"/>
    </row>
    <row r="840" ht="15.75" customHeight="1">
      <c r="A840" s="7"/>
      <c r="B840" s="7"/>
      <c r="C840" s="7"/>
      <c r="D840" s="7"/>
      <c r="E840" s="7"/>
      <c r="F840" s="7"/>
    </row>
    <row r="841" ht="15.75" customHeight="1">
      <c r="A841" s="7"/>
      <c r="B841" s="7"/>
      <c r="C841" s="7"/>
      <c r="D841" s="7"/>
      <c r="E841" s="7"/>
      <c r="F841" s="7"/>
    </row>
    <row r="842" ht="15.75" customHeight="1">
      <c r="A842" s="7"/>
      <c r="B842" s="7"/>
      <c r="C842" s="7"/>
      <c r="D842" s="7"/>
      <c r="E842" s="7"/>
      <c r="F842" s="7"/>
    </row>
    <row r="843" ht="15.75" customHeight="1">
      <c r="A843" s="7"/>
      <c r="B843" s="7"/>
      <c r="C843" s="7"/>
      <c r="D843" s="7"/>
      <c r="E843" s="7"/>
      <c r="F843" s="7"/>
    </row>
    <row r="844" ht="15.75" customHeight="1">
      <c r="A844" s="7"/>
      <c r="B844" s="7"/>
      <c r="C844" s="7"/>
      <c r="D844" s="7"/>
      <c r="E844" s="7"/>
      <c r="F844" s="7"/>
    </row>
    <row r="845" ht="15.75" customHeight="1">
      <c r="A845" s="7"/>
      <c r="B845" s="7"/>
      <c r="C845" s="7"/>
      <c r="D845" s="7"/>
      <c r="E845" s="7"/>
      <c r="F845" s="7"/>
    </row>
    <row r="846" ht="15.75" customHeight="1">
      <c r="A846" s="7"/>
      <c r="B846" s="7"/>
      <c r="C846" s="7"/>
      <c r="D846" s="7"/>
      <c r="E846" s="7"/>
      <c r="F846" s="7"/>
    </row>
    <row r="847" ht="15.75" customHeight="1">
      <c r="A847" s="7"/>
      <c r="B847" s="7"/>
      <c r="C847" s="7"/>
      <c r="D847" s="7"/>
      <c r="E847" s="7"/>
      <c r="F847" s="7"/>
    </row>
    <row r="848" ht="15.75" customHeight="1">
      <c r="A848" s="7"/>
      <c r="B848" s="7"/>
      <c r="C848" s="7"/>
      <c r="D848" s="7"/>
      <c r="E848" s="7"/>
      <c r="F848" s="7"/>
    </row>
    <row r="849" ht="15.75" customHeight="1">
      <c r="A849" s="7"/>
      <c r="B849" s="7"/>
      <c r="C849" s="7"/>
      <c r="D849" s="7"/>
      <c r="E849" s="7"/>
      <c r="F849" s="7"/>
    </row>
    <row r="850" ht="15.75" customHeight="1">
      <c r="A850" s="7"/>
      <c r="B850" s="7"/>
      <c r="C850" s="7"/>
      <c r="D850" s="7"/>
      <c r="E850" s="7"/>
      <c r="F850" s="7"/>
    </row>
    <row r="851" ht="15.75" customHeight="1">
      <c r="A851" s="7"/>
      <c r="B851" s="7"/>
      <c r="C851" s="7"/>
      <c r="D851" s="7"/>
      <c r="E851" s="7"/>
      <c r="F851" s="7"/>
    </row>
    <row r="852" ht="15.75" customHeight="1">
      <c r="A852" s="7"/>
      <c r="B852" s="7"/>
      <c r="C852" s="7"/>
      <c r="D852" s="7"/>
      <c r="E852" s="7"/>
      <c r="F852" s="7"/>
    </row>
    <row r="853" ht="15.75" customHeight="1">
      <c r="A853" s="7"/>
      <c r="B853" s="7"/>
      <c r="C853" s="7"/>
      <c r="D853" s="7"/>
      <c r="E853" s="7"/>
      <c r="F853" s="7"/>
    </row>
    <row r="854" ht="15.75" customHeight="1">
      <c r="A854" s="7"/>
      <c r="B854" s="7"/>
      <c r="C854" s="7"/>
      <c r="D854" s="7"/>
      <c r="E854" s="7"/>
      <c r="F854" s="7"/>
    </row>
    <row r="855" ht="15.75" customHeight="1">
      <c r="A855" s="7"/>
      <c r="B855" s="7"/>
      <c r="C855" s="7"/>
      <c r="D855" s="7"/>
      <c r="E855" s="7"/>
      <c r="F855" s="7"/>
    </row>
    <row r="856" ht="15.75" customHeight="1">
      <c r="A856" s="7"/>
      <c r="B856" s="7"/>
      <c r="C856" s="7"/>
      <c r="D856" s="7"/>
      <c r="E856" s="7"/>
      <c r="F856" s="7"/>
    </row>
    <row r="857" ht="15.75" customHeight="1">
      <c r="A857" s="7"/>
      <c r="B857" s="7"/>
      <c r="C857" s="7"/>
      <c r="D857" s="7"/>
      <c r="E857" s="7"/>
      <c r="F857" s="7"/>
    </row>
    <row r="858" ht="15.75" customHeight="1">
      <c r="A858" s="7"/>
      <c r="B858" s="7"/>
      <c r="C858" s="7"/>
      <c r="D858" s="7"/>
      <c r="E858" s="7"/>
      <c r="F858" s="7"/>
    </row>
    <row r="859" ht="15.75" customHeight="1">
      <c r="A859" s="7"/>
      <c r="B859" s="7"/>
      <c r="C859" s="7"/>
      <c r="D859" s="7"/>
      <c r="E859" s="7"/>
      <c r="F859" s="7"/>
    </row>
    <row r="860" ht="15.75" customHeight="1">
      <c r="A860" s="7"/>
      <c r="B860" s="7"/>
      <c r="C860" s="7"/>
      <c r="D860" s="7"/>
      <c r="E860" s="7"/>
      <c r="F860" s="7"/>
    </row>
    <row r="861" ht="15.75" customHeight="1">
      <c r="A861" s="7"/>
      <c r="B861" s="7"/>
      <c r="C861" s="7"/>
      <c r="D861" s="7"/>
      <c r="E861" s="7"/>
      <c r="F861" s="7"/>
    </row>
    <row r="862" ht="15.75" customHeight="1">
      <c r="A862" s="7"/>
      <c r="B862" s="7"/>
      <c r="C862" s="7"/>
      <c r="D862" s="7"/>
      <c r="E862" s="7"/>
      <c r="F862" s="7"/>
    </row>
    <row r="863" ht="15.75" customHeight="1">
      <c r="A863" s="7"/>
      <c r="B863" s="7"/>
      <c r="C863" s="7"/>
      <c r="D863" s="7"/>
      <c r="E863" s="7"/>
      <c r="F863" s="7"/>
    </row>
    <row r="864" ht="15.75" customHeight="1">
      <c r="A864" s="7"/>
      <c r="B864" s="7"/>
      <c r="C864" s="7"/>
      <c r="D864" s="7"/>
      <c r="E864" s="7"/>
      <c r="F864" s="7"/>
    </row>
    <row r="865" ht="15.75" customHeight="1">
      <c r="A865" s="7"/>
      <c r="B865" s="7"/>
      <c r="C865" s="7"/>
      <c r="D865" s="7"/>
      <c r="E865" s="7"/>
      <c r="F865" s="7"/>
    </row>
    <row r="866" ht="15.75" customHeight="1">
      <c r="A866" s="7"/>
      <c r="B866" s="7"/>
      <c r="C866" s="7"/>
      <c r="D866" s="7"/>
      <c r="E866" s="7"/>
      <c r="F866" s="7"/>
    </row>
    <row r="867" ht="15.75" customHeight="1">
      <c r="A867" s="7"/>
      <c r="B867" s="7"/>
      <c r="C867" s="7"/>
      <c r="D867" s="7"/>
      <c r="E867" s="7"/>
      <c r="F867" s="7"/>
    </row>
    <row r="868" ht="15.75" customHeight="1">
      <c r="A868" s="7"/>
      <c r="B868" s="7"/>
      <c r="C868" s="7"/>
      <c r="D868" s="7"/>
      <c r="E868" s="7"/>
      <c r="F868" s="7"/>
    </row>
    <row r="869" ht="15.75" customHeight="1">
      <c r="A869" s="7"/>
      <c r="B869" s="7"/>
      <c r="C869" s="7"/>
      <c r="D869" s="7"/>
      <c r="E869" s="7"/>
      <c r="F869" s="7"/>
    </row>
    <row r="870" ht="15.75" customHeight="1">
      <c r="A870" s="7"/>
      <c r="B870" s="7"/>
      <c r="C870" s="7"/>
      <c r="D870" s="7"/>
      <c r="E870" s="7"/>
      <c r="F870" s="7"/>
    </row>
    <row r="871" ht="15.75" customHeight="1">
      <c r="A871" s="7"/>
      <c r="B871" s="7"/>
      <c r="C871" s="7"/>
      <c r="D871" s="7"/>
      <c r="E871" s="7"/>
      <c r="F871" s="7"/>
    </row>
    <row r="872" ht="15.75" customHeight="1">
      <c r="A872" s="7"/>
      <c r="B872" s="7"/>
      <c r="C872" s="7"/>
      <c r="D872" s="7"/>
      <c r="E872" s="7"/>
      <c r="F872" s="7"/>
    </row>
    <row r="873" ht="15.75" customHeight="1">
      <c r="A873" s="7"/>
      <c r="B873" s="7"/>
      <c r="C873" s="7"/>
      <c r="D873" s="7"/>
      <c r="E873" s="7"/>
      <c r="F873" s="7"/>
    </row>
    <row r="874" ht="15.75" customHeight="1">
      <c r="A874" s="7"/>
      <c r="B874" s="7"/>
      <c r="C874" s="7"/>
      <c r="D874" s="7"/>
      <c r="E874" s="7"/>
      <c r="F874" s="7"/>
    </row>
    <row r="875" ht="15.75" customHeight="1">
      <c r="A875" s="7"/>
      <c r="B875" s="7"/>
      <c r="C875" s="7"/>
      <c r="D875" s="7"/>
      <c r="E875" s="7"/>
      <c r="F875" s="7"/>
    </row>
    <row r="876" ht="15.75" customHeight="1">
      <c r="A876" s="7"/>
      <c r="B876" s="7"/>
      <c r="C876" s="7"/>
      <c r="D876" s="7"/>
      <c r="E876" s="7"/>
      <c r="F876" s="7"/>
    </row>
    <row r="877" ht="15.75" customHeight="1">
      <c r="A877" s="7"/>
      <c r="B877" s="7"/>
      <c r="C877" s="7"/>
      <c r="D877" s="7"/>
      <c r="E877" s="7"/>
      <c r="F877" s="7"/>
    </row>
    <row r="878" ht="15.75" customHeight="1">
      <c r="A878" s="7"/>
      <c r="B878" s="7"/>
      <c r="C878" s="7"/>
      <c r="D878" s="7"/>
      <c r="E878" s="7"/>
      <c r="F878" s="7"/>
    </row>
    <row r="879" ht="15.75" customHeight="1">
      <c r="A879" s="7"/>
      <c r="B879" s="7"/>
      <c r="C879" s="7"/>
      <c r="D879" s="7"/>
      <c r="E879" s="7"/>
      <c r="F879" s="7"/>
    </row>
    <row r="880" ht="15.75" customHeight="1">
      <c r="A880" s="7"/>
      <c r="B880" s="7"/>
      <c r="C880" s="7"/>
      <c r="D880" s="7"/>
      <c r="E880" s="7"/>
      <c r="F880" s="7"/>
    </row>
    <row r="881" ht="15.75" customHeight="1">
      <c r="A881" s="7"/>
      <c r="B881" s="7"/>
      <c r="C881" s="7"/>
      <c r="D881" s="7"/>
      <c r="E881" s="7"/>
      <c r="F881" s="7"/>
    </row>
    <row r="882" ht="15.75" customHeight="1">
      <c r="A882" s="7"/>
      <c r="B882" s="7"/>
      <c r="C882" s="7"/>
      <c r="D882" s="7"/>
      <c r="E882" s="7"/>
      <c r="F882" s="7"/>
    </row>
    <row r="883" ht="15.75" customHeight="1">
      <c r="A883" s="7"/>
      <c r="B883" s="7"/>
      <c r="C883" s="7"/>
      <c r="D883" s="7"/>
      <c r="E883" s="7"/>
      <c r="F883" s="7"/>
    </row>
    <row r="884" ht="15.75" customHeight="1">
      <c r="A884" s="7"/>
      <c r="B884" s="7"/>
      <c r="C884" s="7"/>
      <c r="D884" s="7"/>
      <c r="E884" s="7"/>
      <c r="F884" s="7"/>
    </row>
    <row r="885" ht="15.75" customHeight="1">
      <c r="A885" s="7"/>
      <c r="B885" s="7"/>
      <c r="C885" s="7"/>
      <c r="D885" s="7"/>
      <c r="E885" s="7"/>
      <c r="F885" s="7"/>
    </row>
    <row r="886" ht="15.75" customHeight="1">
      <c r="A886" s="7"/>
      <c r="B886" s="7"/>
      <c r="C886" s="7"/>
      <c r="D886" s="7"/>
      <c r="E886" s="7"/>
      <c r="F886" s="7"/>
    </row>
    <row r="887" ht="15.75" customHeight="1">
      <c r="A887" s="7"/>
      <c r="B887" s="7"/>
      <c r="C887" s="7"/>
      <c r="D887" s="7"/>
      <c r="E887" s="7"/>
      <c r="F887" s="7"/>
    </row>
    <row r="888" ht="15.75" customHeight="1">
      <c r="A888" s="7"/>
      <c r="B888" s="7"/>
      <c r="C888" s="7"/>
      <c r="D888" s="7"/>
      <c r="E888" s="7"/>
      <c r="F888" s="7"/>
    </row>
    <row r="889" ht="15.75" customHeight="1">
      <c r="A889" s="7"/>
      <c r="B889" s="7"/>
      <c r="C889" s="7"/>
      <c r="D889" s="7"/>
      <c r="E889" s="7"/>
      <c r="F889" s="7"/>
    </row>
    <row r="890" ht="15.75" customHeight="1">
      <c r="A890" s="7"/>
      <c r="B890" s="7"/>
      <c r="C890" s="7"/>
      <c r="D890" s="7"/>
      <c r="E890" s="7"/>
      <c r="F890" s="7"/>
    </row>
    <row r="891" ht="15.75" customHeight="1">
      <c r="A891" s="7"/>
      <c r="B891" s="7"/>
      <c r="C891" s="7"/>
      <c r="D891" s="7"/>
      <c r="E891" s="7"/>
      <c r="F891" s="7"/>
    </row>
    <row r="892" ht="15.75" customHeight="1">
      <c r="A892" s="7"/>
      <c r="B892" s="7"/>
      <c r="C892" s="7"/>
      <c r="D892" s="7"/>
      <c r="E892" s="7"/>
      <c r="F892" s="7"/>
    </row>
    <row r="893" ht="15.75" customHeight="1">
      <c r="A893" s="7"/>
      <c r="B893" s="7"/>
      <c r="C893" s="7"/>
      <c r="D893" s="7"/>
      <c r="E893" s="7"/>
      <c r="F893" s="7"/>
    </row>
    <row r="894" ht="15.75" customHeight="1">
      <c r="A894" s="7"/>
      <c r="B894" s="7"/>
      <c r="C894" s="7"/>
      <c r="D894" s="7"/>
      <c r="E894" s="7"/>
      <c r="F894" s="7"/>
    </row>
    <row r="895" ht="15.75" customHeight="1">
      <c r="A895" s="7"/>
      <c r="B895" s="7"/>
      <c r="C895" s="7"/>
      <c r="D895" s="7"/>
      <c r="E895" s="7"/>
      <c r="F895" s="7"/>
    </row>
    <row r="896" ht="15.75" customHeight="1">
      <c r="A896" s="7"/>
      <c r="B896" s="7"/>
      <c r="C896" s="7"/>
      <c r="D896" s="7"/>
      <c r="E896" s="7"/>
      <c r="F896" s="7"/>
    </row>
    <row r="897" ht="15.75" customHeight="1">
      <c r="A897" s="7"/>
      <c r="B897" s="7"/>
      <c r="C897" s="7"/>
      <c r="D897" s="7"/>
      <c r="E897" s="7"/>
      <c r="F897" s="7"/>
    </row>
    <row r="898" ht="15.75" customHeight="1">
      <c r="A898" s="7"/>
      <c r="B898" s="7"/>
      <c r="C898" s="7"/>
      <c r="D898" s="7"/>
      <c r="E898" s="7"/>
      <c r="F898" s="7"/>
    </row>
    <row r="899" ht="15.75" customHeight="1">
      <c r="A899" s="7"/>
      <c r="B899" s="7"/>
      <c r="C899" s="7"/>
      <c r="D899" s="7"/>
      <c r="E899" s="7"/>
      <c r="F899" s="7"/>
    </row>
    <row r="900" ht="15.75" customHeight="1">
      <c r="A900" s="7"/>
      <c r="B900" s="7"/>
      <c r="C900" s="7"/>
      <c r="D900" s="7"/>
      <c r="E900" s="7"/>
      <c r="F900" s="7"/>
    </row>
    <row r="901" ht="15.75" customHeight="1">
      <c r="A901" s="7"/>
      <c r="B901" s="7"/>
      <c r="C901" s="7"/>
      <c r="D901" s="7"/>
      <c r="E901" s="7"/>
      <c r="F901" s="7"/>
    </row>
    <row r="902" ht="15.75" customHeight="1">
      <c r="A902" s="7"/>
      <c r="B902" s="7"/>
      <c r="C902" s="7"/>
      <c r="D902" s="7"/>
      <c r="E902" s="7"/>
      <c r="F902" s="7"/>
    </row>
    <row r="903" ht="15.75" customHeight="1">
      <c r="A903" s="7"/>
      <c r="B903" s="7"/>
      <c r="C903" s="7"/>
      <c r="D903" s="7"/>
      <c r="E903" s="7"/>
      <c r="F903" s="7"/>
    </row>
    <row r="904" ht="15.75" customHeight="1">
      <c r="A904" s="7"/>
      <c r="B904" s="7"/>
      <c r="C904" s="7"/>
      <c r="D904" s="7"/>
      <c r="E904" s="7"/>
      <c r="F904" s="7"/>
    </row>
    <row r="905" ht="15.75" customHeight="1">
      <c r="A905" s="7"/>
      <c r="B905" s="7"/>
      <c r="C905" s="7"/>
      <c r="D905" s="7"/>
      <c r="E905" s="7"/>
      <c r="F905" s="7"/>
    </row>
    <row r="906" ht="15.75" customHeight="1">
      <c r="A906" s="7"/>
      <c r="B906" s="7"/>
      <c r="C906" s="7"/>
      <c r="D906" s="7"/>
      <c r="E906" s="7"/>
      <c r="F906" s="7"/>
    </row>
    <row r="907" ht="15.75" customHeight="1">
      <c r="A907" s="7"/>
      <c r="B907" s="7"/>
      <c r="C907" s="7"/>
      <c r="D907" s="7"/>
      <c r="E907" s="7"/>
      <c r="F907" s="7"/>
    </row>
    <row r="908" ht="15.75" customHeight="1">
      <c r="A908" s="7"/>
      <c r="B908" s="7"/>
      <c r="C908" s="7"/>
      <c r="D908" s="7"/>
      <c r="E908" s="7"/>
      <c r="F908" s="7"/>
    </row>
    <row r="909" ht="15.75" customHeight="1">
      <c r="A909" s="7"/>
      <c r="B909" s="7"/>
      <c r="C909" s="7"/>
      <c r="D909" s="7"/>
      <c r="E909" s="7"/>
      <c r="F909" s="7"/>
    </row>
    <row r="910" ht="15.75" customHeight="1">
      <c r="A910" s="7"/>
      <c r="B910" s="7"/>
      <c r="C910" s="7"/>
      <c r="D910" s="7"/>
      <c r="E910" s="7"/>
      <c r="F910" s="7"/>
    </row>
    <row r="911" ht="15.75" customHeight="1">
      <c r="A911" s="7"/>
      <c r="B911" s="7"/>
      <c r="C911" s="7"/>
      <c r="D911" s="7"/>
      <c r="E911" s="7"/>
      <c r="F911" s="7"/>
    </row>
    <row r="912" ht="15.75" customHeight="1">
      <c r="A912" s="7"/>
      <c r="B912" s="7"/>
      <c r="C912" s="7"/>
      <c r="D912" s="7"/>
      <c r="E912" s="7"/>
      <c r="F912" s="7"/>
    </row>
    <row r="913" ht="15.75" customHeight="1">
      <c r="A913" s="7"/>
      <c r="B913" s="7"/>
      <c r="C913" s="7"/>
      <c r="D913" s="7"/>
      <c r="E913" s="7"/>
      <c r="F913" s="7"/>
    </row>
    <row r="914" ht="15.75" customHeight="1">
      <c r="A914" s="7"/>
      <c r="B914" s="7"/>
      <c r="C914" s="7"/>
      <c r="D914" s="7"/>
      <c r="E914" s="7"/>
      <c r="F914" s="7"/>
    </row>
    <row r="915" ht="15.75" customHeight="1">
      <c r="A915" s="7"/>
      <c r="B915" s="7"/>
      <c r="C915" s="7"/>
      <c r="D915" s="7"/>
      <c r="E915" s="7"/>
      <c r="F915" s="7"/>
    </row>
    <row r="916" ht="15.75" customHeight="1">
      <c r="A916" s="7"/>
      <c r="B916" s="7"/>
      <c r="C916" s="7"/>
      <c r="D916" s="7"/>
      <c r="E916" s="7"/>
      <c r="F916" s="7"/>
    </row>
    <row r="917" ht="15.75" customHeight="1">
      <c r="A917" s="7"/>
      <c r="B917" s="7"/>
      <c r="C917" s="7"/>
      <c r="D917" s="7"/>
      <c r="E917" s="7"/>
      <c r="F917" s="7"/>
    </row>
    <row r="918" ht="15.75" customHeight="1">
      <c r="A918" s="7"/>
      <c r="B918" s="7"/>
      <c r="C918" s="7"/>
      <c r="D918" s="7"/>
      <c r="E918" s="7"/>
      <c r="F918" s="7"/>
    </row>
    <row r="919" ht="15.75" customHeight="1">
      <c r="A919" s="7"/>
      <c r="B919" s="7"/>
      <c r="C919" s="7"/>
      <c r="D919" s="7"/>
      <c r="E919" s="7"/>
      <c r="F919" s="7"/>
    </row>
    <row r="920" ht="15.75" customHeight="1">
      <c r="A920" s="7"/>
      <c r="B920" s="7"/>
      <c r="C920" s="7"/>
      <c r="D920" s="7"/>
      <c r="E920" s="7"/>
      <c r="F920" s="7"/>
    </row>
    <row r="921" ht="15.75" customHeight="1">
      <c r="A921" s="7"/>
      <c r="B921" s="7"/>
      <c r="C921" s="7"/>
      <c r="D921" s="7"/>
      <c r="E921" s="7"/>
      <c r="F921" s="7"/>
    </row>
    <row r="922" ht="15.75" customHeight="1">
      <c r="A922" s="7"/>
      <c r="B922" s="7"/>
      <c r="C922" s="7"/>
      <c r="D922" s="7"/>
      <c r="E922" s="7"/>
      <c r="F922" s="7"/>
    </row>
    <row r="923" ht="15.75" customHeight="1">
      <c r="A923" s="7"/>
      <c r="B923" s="7"/>
      <c r="C923" s="7"/>
      <c r="D923" s="7"/>
      <c r="E923" s="7"/>
      <c r="F923" s="7"/>
    </row>
    <row r="924" ht="15.75" customHeight="1">
      <c r="A924" s="7"/>
      <c r="B924" s="7"/>
      <c r="C924" s="7"/>
      <c r="D924" s="7"/>
      <c r="E924" s="7"/>
      <c r="F924" s="7"/>
    </row>
    <row r="925" ht="15.75" customHeight="1">
      <c r="A925" s="7"/>
      <c r="B925" s="7"/>
      <c r="C925" s="7"/>
      <c r="D925" s="7"/>
      <c r="E925" s="7"/>
      <c r="F925" s="7"/>
    </row>
    <row r="926" ht="15.75" customHeight="1">
      <c r="A926" s="7"/>
      <c r="B926" s="7"/>
      <c r="C926" s="7"/>
      <c r="D926" s="7"/>
      <c r="E926" s="7"/>
      <c r="F926" s="7"/>
    </row>
    <row r="927" ht="15.75" customHeight="1">
      <c r="A927" s="7"/>
      <c r="B927" s="7"/>
      <c r="C927" s="7"/>
      <c r="D927" s="7"/>
      <c r="E927" s="7"/>
      <c r="F927" s="7"/>
    </row>
    <row r="928" ht="15.75" customHeight="1">
      <c r="A928" s="7"/>
      <c r="B928" s="7"/>
      <c r="C928" s="7"/>
      <c r="D928" s="7"/>
      <c r="E928" s="7"/>
      <c r="F928" s="7"/>
    </row>
    <row r="929" ht="15.75" customHeight="1">
      <c r="A929" s="7"/>
      <c r="B929" s="7"/>
      <c r="C929" s="7"/>
      <c r="D929" s="7"/>
      <c r="E929" s="7"/>
      <c r="F929" s="7"/>
    </row>
    <row r="930" ht="15.75" customHeight="1">
      <c r="A930" s="7"/>
      <c r="B930" s="7"/>
      <c r="C930" s="7"/>
      <c r="D930" s="7"/>
      <c r="E930" s="7"/>
      <c r="F930" s="7"/>
    </row>
    <row r="931" ht="15.75" customHeight="1">
      <c r="A931" s="7"/>
      <c r="B931" s="7"/>
      <c r="C931" s="7"/>
      <c r="D931" s="7"/>
      <c r="E931" s="7"/>
      <c r="F931" s="7"/>
    </row>
    <row r="932" ht="15.75" customHeight="1">
      <c r="A932" s="7"/>
      <c r="B932" s="7"/>
      <c r="C932" s="7"/>
      <c r="D932" s="7"/>
      <c r="E932" s="7"/>
      <c r="F932" s="7"/>
    </row>
    <row r="933" ht="15.75" customHeight="1">
      <c r="A933" s="7"/>
      <c r="B933" s="7"/>
      <c r="C933" s="7"/>
      <c r="D933" s="7"/>
      <c r="E933" s="7"/>
      <c r="F933" s="7"/>
    </row>
    <row r="934" ht="15.75" customHeight="1">
      <c r="A934" s="7"/>
      <c r="B934" s="7"/>
      <c r="C934" s="7"/>
      <c r="D934" s="7"/>
      <c r="E934" s="7"/>
      <c r="F934" s="7"/>
    </row>
    <row r="935" ht="15.75" customHeight="1">
      <c r="A935" s="7"/>
      <c r="B935" s="7"/>
      <c r="C935" s="7"/>
      <c r="D935" s="7"/>
      <c r="E935" s="7"/>
      <c r="F935" s="7"/>
    </row>
    <row r="936" ht="15.75" customHeight="1">
      <c r="A936" s="7"/>
      <c r="B936" s="7"/>
      <c r="C936" s="7"/>
      <c r="D936" s="7"/>
      <c r="E936" s="7"/>
      <c r="F936" s="7"/>
    </row>
    <row r="937" ht="15.75" customHeight="1">
      <c r="A937" s="7"/>
      <c r="B937" s="7"/>
      <c r="C937" s="7"/>
      <c r="D937" s="7"/>
      <c r="E937" s="7"/>
      <c r="F937" s="7"/>
    </row>
    <row r="938" ht="15.75" customHeight="1">
      <c r="A938" s="7"/>
      <c r="B938" s="7"/>
      <c r="C938" s="7"/>
      <c r="D938" s="7"/>
      <c r="E938" s="7"/>
      <c r="F938" s="7"/>
    </row>
    <row r="939" ht="15.75" customHeight="1">
      <c r="A939" s="7"/>
      <c r="B939" s="7"/>
      <c r="C939" s="7"/>
      <c r="D939" s="7"/>
      <c r="E939" s="7"/>
      <c r="F939" s="7"/>
    </row>
    <row r="940" ht="15.75" customHeight="1">
      <c r="A940" s="7"/>
      <c r="B940" s="7"/>
      <c r="C940" s="7"/>
      <c r="D940" s="7"/>
      <c r="E940" s="7"/>
      <c r="F940" s="7"/>
    </row>
    <row r="941" ht="15.75" customHeight="1">
      <c r="A941" s="7"/>
      <c r="B941" s="7"/>
      <c r="C941" s="7"/>
      <c r="D941" s="7"/>
      <c r="E941" s="7"/>
      <c r="F941" s="7"/>
    </row>
    <row r="942" ht="15.75" customHeight="1">
      <c r="A942" s="7"/>
      <c r="B942" s="7"/>
      <c r="C942" s="7"/>
      <c r="D942" s="7"/>
      <c r="E942" s="7"/>
      <c r="F942" s="7"/>
    </row>
    <row r="943" ht="15.75" customHeight="1">
      <c r="A943" s="7"/>
      <c r="B943" s="7"/>
      <c r="C943" s="7"/>
      <c r="D943" s="7"/>
      <c r="E943" s="7"/>
      <c r="F943" s="7"/>
    </row>
    <row r="944" ht="15.75" customHeight="1">
      <c r="A944" s="7"/>
      <c r="B944" s="7"/>
      <c r="C944" s="7"/>
      <c r="D944" s="7"/>
      <c r="E944" s="7"/>
      <c r="F944" s="7"/>
    </row>
    <row r="945" ht="15.75" customHeight="1">
      <c r="A945" s="7"/>
      <c r="B945" s="7"/>
      <c r="C945" s="7"/>
      <c r="D945" s="7"/>
      <c r="E945" s="7"/>
      <c r="F945" s="7"/>
    </row>
    <row r="946" ht="15.75" customHeight="1">
      <c r="A946" s="7"/>
      <c r="B946" s="7"/>
      <c r="C946" s="7"/>
      <c r="D946" s="7"/>
      <c r="E946" s="7"/>
      <c r="F946" s="7"/>
    </row>
    <row r="947" ht="15.75" customHeight="1">
      <c r="A947" s="7"/>
      <c r="B947" s="7"/>
      <c r="C947" s="7"/>
      <c r="D947" s="7"/>
      <c r="E947" s="7"/>
      <c r="F947" s="7"/>
    </row>
    <row r="948" ht="15.75" customHeight="1">
      <c r="A948" s="7"/>
      <c r="B948" s="7"/>
      <c r="C948" s="7"/>
      <c r="D948" s="7"/>
      <c r="E948" s="7"/>
      <c r="F948" s="7"/>
    </row>
    <row r="949" ht="15.75" customHeight="1">
      <c r="A949" s="7"/>
      <c r="B949" s="7"/>
      <c r="C949" s="7"/>
      <c r="D949" s="7"/>
      <c r="E949" s="7"/>
      <c r="F949" s="7"/>
    </row>
    <row r="950" ht="15.75" customHeight="1">
      <c r="A950" s="7"/>
      <c r="B950" s="7"/>
      <c r="C950" s="7"/>
      <c r="D950" s="7"/>
      <c r="E950" s="7"/>
      <c r="F950" s="7"/>
    </row>
    <row r="951" ht="15.75" customHeight="1">
      <c r="A951" s="7"/>
      <c r="B951" s="7"/>
      <c r="C951" s="7"/>
      <c r="D951" s="7"/>
      <c r="E951" s="7"/>
      <c r="F951" s="7"/>
    </row>
    <row r="952" ht="15.75" customHeight="1">
      <c r="A952" s="7"/>
      <c r="B952" s="7"/>
      <c r="C952" s="7"/>
      <c r="D952" s="7"/>
      <c r="E952" s="7"/>
      <c r="F952" s="7"/>
    </row>
    <row r="953" ht="15.75" customHeight="1">
      <c r="A953" s="7"/>
      <c r="B953" s="7"/>
      <c r="C953" s="7"/>
      <c r="D953" s="7"/>
      <c r="E953" s="7"/>
      <c r="F953" s="7"/>
    </row>
    <row r="954" ht="15.75" customHeight="1">
      <c r="A954" s="7"/>
      <c r="B954" s="7"/>
      <c r="C954" s="7"/>
      <c r="D954" s="7"/>
      <c r="E954" s="7"/>
      <c r="F954" s="7"/>
    </row>
    <row r="955" ht="15.75" customHeight="1">
      <c r="A955" s="7"/>
      <c r="B955" s="7"/>
      <c r="C955" s="7"/>
      <c r="D955" s="7"/>
      <c r="E955" s="7"/>
      <c r="F955" s="7"/>
    </row>
    <row r="956" ht="15.75" customHeight="1">
      <c r="A956" s="7"/>
      <c r="B956" s="7"/>
      <c r="C956" s="7"/>
      <c r="D956" s="7"/>
      <c r="E956" s="7"/>
      <c r="F956" s="7"/>
    </row>
    <row r="957" ht="15.75" customHeight="1">
      <c r="A957" s="7"/>
      <c r="B957" s="7"/>
      <c r="C957" s="7"/>
      <c r="D957" s="7"/>
      <c r="E957" s="7"/>
      <c r="F957" s="7"/>
    </row>
    <row r="958" ht="15.75" customHeight="1">
      <c r="A958" s="7"/>
      <c r="B958" s="7"/>
      <c r="C958" s="7"/>
      <c r="D958" s="7"/>
      <c r="E958" s="7"/>
      <c r="F958" s="7"/>
    </row>
    <row r="959" ht="15.75" customHeight="1">
      <c r="A959" s="7"/>
      <c r="B959" s="7"/>
      <c r="C959" s="7"/>
      <c r="D959" s="7"/>
      <c r="E959" s="7"/>
      <c r="F959" s="7"/>
    </row>
    <row r="960" ht="15.75" customHeight="1">
      <c r="A960" s="7"/>
      <c r="B960" s="7"/>
      <c r="C960" s="7"/>
      <c r="D960" s="7"/>
      <c r="E960" s="7"/>
      <c r="F960" s="7"/>
    </row>
    <row r="961" ht="15.75" customHeight="1">
      <c r="A961" s="7"/>
      <c r="B961" s="7"/>
      <c r="C961" s="7"/>
      <c r="D961" s="7"/>
      <c r="E961" s="7"/>
      <c r="F961" s="7"/>
    </row>
    <row r="962" ht="15.75" customHeight="1">
      <c r="A962" s="7"/>
      <c r="B962" s="7"/>
      <c r="C962" s="7"/>
      <c r="D962" s="7"/>
      <c r="E962" s="7"/>
      <c r="F962" s="7"/>
    </row>
    <row r="963" ht="15.75" customHeight="1">
      <c r="A963" s="7"/>
      <c r="B963" s="7"/>
      <c r="C963" s="7"/>
      <c r="D963" s="7"/>
      <c r="E963" s="7"/>
      <c r="F963" s="7"/>
    </row>
    <row r="964" ht="15.75" customHeight="1">
      <c r="A964" s="7"/>
      <c r="B964" s="7"/>
      <c r="C964" s="7"/>
      <c r="D964" s="7"/>
      <c r="E964" s="7"/>
      <c r="F964" s="7"/>
    </row>
    <row r="965" ht="15.75" customHeight="1">
      <c r="A965" s="7"/>
      <c r="B965" s="7"/>
      <c r="C965" s="7"/>
      <c r="D965" s="7"/>
      <c r="E965" s="7"/>
      <c r="F965" s="7"/>
    </row>
    <row r="966" ht="15.75" customHeight="1">
      <c r="A966" s="7"/>
      <c r="B966" s="7"/>
      <c r="C966" s="7"/>
      <c r="D966" s="7"/>
      <c r="E966" s="7"/>
      <c r="F966" s="7"/>
    </row>
    <row r="967" ht="15.75" customHeight="1">
      <c r="A967" s="7"/>
      <c r="B967" s="7"/>
      <c r="C967" s="7"/>
      <c r="D967" s="7"/>
      <c r="E967" s="7"/>
      <c r="F967" s="7"/>
    </row>
    <row r="968" ht="15.75" customHeight="1">
      <c r="A968" s="7"/>
      <c r="B968" s="7"/>
      <c r="C968" s="7"/>
      <c r="D968" s="7"/>
      <c r="E968" s="7"/>
      <c r="F968" s="7"/>
    </row>
    <row r="969" ht="15.75" customHeight="1">
      <c r="A969" s="7"/>
      <c r="B969" s="7"/>
      <c r="C969" s="7"/>
      <c r="D969" s="7"/>
      <c r="E969" s="7"/>
      <c r="F969" s="7"/>
    </row>
    <row r="970" ht="15.75" customHeight="1">
      <c r="A970" s="7"/>
      <c r="B970" s="7"/>
      <c r="C970" s="7"/>
      <c r="D970" s="7"/>
      <c r="E970" s="7"/>
      <c r="F970" s="7"/>
    </row>
    <row r="971" ht="15.75" customHeight="1">
      <c r="A971" s="7"/>
      <c r="B971" s="7"/>
      <c r="C971" s="7"/>
      <c r="D971" s="7"/>
      <c r="E971" s="7"/>
      <c r="F971" s="7"/>
    </row>
    <row r="972" ht="15.75" customHeight="1">
      <c r="A972" s="7"/>
      <c r="B972" s="7"/>
      <c r="C972" s="7"/>
      <c r="D972" s="7"/>
      <c r="E972" s="7"/>
      <c r="F972" s="7"/>
    </row>
    <row r="973" ht="15.75" customHeight="1">
      <c r="A973" s="7"/>
      <c r="B973" s="7"/>
      <c r="C973" s="7"/>
      <c r="D973" s="7"/>
      <c r="E973" s="7"/>
      <c r="F973" s="7"/>
    </row>
    <row r="974" ht="15.75" customHeight="1">
      <c r="A974" s="7"/>
      <c r="B974" s="7"/>
      <c r="C974" s="7"/>
      <c r="D974" s="7"/>
      <c r="E974" s="7"/>
      <c r="F974" s="7"/>
    </row>
    <row r="975" ht="15.75" customHeight="1">
      <c r="A975" s="7"/>
      <c r="B975" s="7"/>
      <c r="C975" s="7"/>
      <c r="D975" s="7"/>
      <c r="E975" s="7"/>
      <c r="F975" s="7"/>
    </row>
    <row r="976" ht="15.75" customHeight="1">
      <c r="A976" s="7"/>
      <c r="B976" s="7"/>
      <c r="C976" s="7"/>
      <c r="D976" s="7"/>
      <c r="E976" s="7"/>
      <c r="F976" s="7"/>
    </row>
    <row r="977" ht="15.75" customHeight="1">
      <c r="A977" s="7"/>
      <c r="B977" s="7"/>
      <c r="C977" s="7"/>
      <c r="D977" s="7"/>
      <c r="E977" s="7"/>
      <c r="F977" s="7"/>
    </row>
    <row r="978" ht="15.75" customHeight="1">
      <c r="A978" s="7"/>
      <c r="B978" s="7"/>
      <c r="C978" s="7"/>
      <c r="D978" s="7"/>
      <c r="E978" s="7"/>
      <c r="F978" s="7"/>
    </row>
    <row r="979" ht="15.75" customHeight="1">
      <c r="A979" s="7"/>
      <c r="B979" s="7"/>
      <c r="C979" s="7"/>
      <c r="D979" s="7"/>
      <c r="E979" s="7"/>
      <c r="F979" s="7"/>
    </row>
    <row r="980" ht="15.75" customHeight="1">
      <c r="A980" s="7"/>
      <c r="B980" s="7"/>
      <c r="C980" s="7"/>
      <c r="D980" s="7"/>
      <c r="E980" s="7"/>
      <c r="F980" s="7"/>
    </row>
    <row r="981" ht="15.75" customHeight="1">
      <c r="A981" s="7"/>
      <c r="B981" s="7"/>
      <c r="C981" s="7"/>
      <c r="D981" s="7"/>
      <c r="E981" s="7"/>
      <c r="F981" s="7"/>
    </row>
    <row r="982" ht="15.75" customHeight="1">
      <c r="A982" s="7"/>
      <c r="B982" s="7"/>
      <c r="C982" s="7"/>
      <c r="D982" s="7"/>
      <c r="E982" s="7"/>
      <c r="F982" s="7"/>
    </row>
    <row r="983" ht="15.75" customHeight="1">
      <c r="A983" s="7"/>
      <c r="B983" s="7"/>
      <c r="C983" s="7"/>
      <c r="D983" s="7"/>
      <c r="E983" s="7"/>
      <c r="F983" s="7"/>
    </row>
    <row r="984" ht="15.75" customHeight="1">
      <c r="A984" s="7"/>
      <c r="B984" s="7"/>
      <c r="C984" s="7"/>
      <c r="D984" s="7"/>
      <c r="E984" s="7"/>
      <c r="F984" s="7"/>
    </row>
    <row r="985" ht="15.75" customHeight="1">
      <c r="A985" s="7"/>
      <c r="B985" s="7"/>
      <c r="C985" s="7"/>
      <c r="D985" s="7"/>
      <c r="E985" s="7"/>
      <c r="F985" s="7"/>
    </row>
    <row r="986" ht="15.75" customHeight="1">
      <c r="A986" s="7"/>
      <c r="B986" s="7"/>
      <c r="C986" s="7"/>
      <c r="D986" s="7"/>
      <c r="E986" s="7"/>
      <c r="F986" s="7"/>
    </row>
    <row r="987" ht="15.75" customHeight="1">
      <c r="A987" s="7"/>
      <c r="B987" s="7"/>
      <c r="C987" s="7"/>
      <c r="D987" s="7"/>
      <c r="E987" s="7"/>
      <c r="F987" s="7"/>
    </row>
    <row r="988" ht="15.75" customHeight="1">
      <c r="A988" s="7"/>
      <c r="B988" s="7"/>
      <c r="C988" s="7"/>
      <c r="D988" s="7"/>
      <c r="E988" s="7"/>
      <c r="F988" s="7"/>
    </row>
    <row r="989" ht="15.75" customHeight="1">
      <c r="A989" s="7"/>
      <c r="B989" s="7"/>
      <c r="C989" s="7"/>
      <c r="D989" s="7"/>
      <c r="E989" s="7"/>
      <c r="F989" s="7"/>
    </row>
    <row r="990" ht="15.75" customHeight="1">
      <c r="A990" s="7"/>
      <c r="B990" s="7"/>
      <c r="C990" s="7"/>
      <c r="D990" s="7"/>
      <c r="E990" s="7"/>
      <c r="F990" s="7"/>
    </row>
    <row r="991" ht="15.75" customHeight="1">
      <c r="A991" s="7"/>
      <c r="B991" s="7"/>
      <c r="C991" s="7"/>
      <c r="D991" s="7"/>
      <c r="E991" s="7"/>
      <c r="F991" s="7"/>
    </row>
    <row r="992" ht="15.75" customHeight="1">
      <c r="A992" s="7"/>
      <c r="B992" s="7"/>
      <c r="C992" s="7"/>
      <c r="D992" s="7"/>
      <c r="E992" s="7"/>
      <c r="F992" s="7"/>
    </row>
    <row r="993" ht="15.75" customHeight="1">
      <c r="A993" s="7"/>
      <c r="B993" s="7"/>
      <c r="C993" s="7"/>
      <c r="D993" s="7"/>
      <c r="E993" s="7"/>
      <c r="F993" s="7"/>
    </row>
    <row r="994" ht="15.75" customHeight="1">
      <c r="A994" s="7"/>
      <c r="B994" s="7"/>
      <c r="C994" s="7"/>
      <c r="D994" s="7"/>
      <c r="E994" s="7"/>
      <c r="F994" s="7"/>
    </row>
    <row r="995" ht="15.75" customHeight="1">
      <c r="A995" s="7"/>
      <c r="B995" s="7"/>
      <c r="C995" s="7"/>
      <c r="D995" s="7"/>
      <c r="E995" s="7"/>
      <c r="F995" s="7"/>
    </row>
    <row r="996" ht="15.75" customHeight="1">
      <c r="A996" s="7"/>
      <c r="B996" s="7"/>
      <c r="C996" s="7"/>
      <c r="D996" s="7"/>
      <c r="E996" s="7"/>
      <c r="F996" s="7"/>
    </row>
    <row r="997" ht="15.75" customHeight="1">
      <c r="A997" s="7"/>
      <c r="B997" s="7"/>
      <c r="C997" s="7"/>
      <c r="D997" s="7"/>
      <c r="E997" s="7"/>
      <c r="F997" s="7"/>
    </row>
    <row r="998" ht="15.75" customHeight="1">
      <c r="A998" s="7"/>
      <c r="B998" s="7"/>
      <c r="C998" s="7"/>
      <c r="D998" s="7"/>
      <c r="E998" s="7"/>
      <c r="F998" s="7"/>
    </row>
    <row r="999" ht="15.75" customHeight="1">
      <c r="A999" s="7"/>
      <c r="B999" s="7"/>
      <c r="C999" s="7"/>
      <c r="D999" s="7"/>
      <c r="E999" s="7"/>
      <c r="F999" s="7"/>
    </row>
    <row r="1000" ht="15.75" customHeight="1">
      <c r="A1000" s="7"/>
      <c r="B1000" s="7"/>
      <c r="C1000" s="7"/>
      <c r="D1000" s="7"/>
      <c r="E1000" s="7"/>
      <c r="F1000" s="7"/>
    </row>
  </sheetData>
  <mergeCells count="2">
    <mergeCell ref="A1:D1"/>
    <mergeCell ref="A3:D3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5B6"/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2.0"/>
    <col customWidth="1" min="3" max="3" width="40.86"/>
    <col customWidth="1" min="4" max="4" width="16.0"/>
    <col customWidth="1" min="5" max="5" width="12.0"/>
    <col customWidth="1" min="6" max="6" width="14.0"/>
    <col customWidth="1" min="7" max="7" width="12.0"/>
    <col customWidth="1" min="8" max="9" width="13.0"/>
    <col customWidth="1" min="10" max="10" width="10.0"/>
    <col customWidth="1" min="11" max="11" width="12.0"/>
    <col customWidth="1" min="12" max="13" width="13.0"/>
    <col customWidth="1" min="14" max="14" width="12.0"/>
  </cols>
  <sheetData>
    <row r="1" ht="39.75" customHeight="1">
      <c r="A1" s="8" t="s">
        <v>72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10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5.0" customHeight="1">
      <c r="A2" s="32" t="str">
        <f>'Configuración'!C17&amp;" "&amp;'Configuración'!C18</f>
        <v> 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10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15.0" customHeight="1">
      <c r="A3" s="33" t="s">
        <v>73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34.5" customHeight="1">
      <c r="A4" s="34" t="s">
        <v>74</v>
      </c>
      <c r="B4" s="34" t="s">
        <v>75</v>
      </c>
      <c r="C4" s="34" t="s">
        <v>76</v>
      </c>
      <c r="D4" s="34" t="s">
        <v>77</v>
      </c>
      <c r="E4" s="34" t="s">
        <v>78</v>
      </c>
      <c r="F4" s="34" t="s">
        <v>79</v>
      </c>
      <c r="G4" s="34" t="s">
        <v>80</v>
      </c>
      <c r="H4" s="34" t="s">
        <v>81</v>
      </c>
      <c r="I4" s="34" t="s">
        <v>80</v>
      </c>
      <c r="J4" s="34" t="s">
        <v>82</v>
      </c>
      <c r="K4" s="34" t="s">
        <v>83</v>
      </c>
      <c r="L4" s="34" t="s">
        <v>84</v>
      </c>
      <c r="M4" s="34" t="s">
        <v>85</v>
      </c>
      <c r="N4" s="34" t="s">
        <v>86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15.0" customHeight="1">
      <c r="A5" s="35">
        <v>1.0</v>
      </c>
      <c r="B5" s="36">
        <v>46113.0</v>
      </c>
      <c r="C5" s="37" t="s">
        <v>87</v>
      </c>
      <c r="D5" s="38" t="str">
        <f>IFERROR(VLOOKUP(C5,'Catálogo Productos'!$B$3:$E$200,2,0),"")</f>
        <v>Violin</v>
      </c>
      <c r="E5" s="39">
        <f>IFERROR(VLOOKUP(C5,'Catálogo Productos'!$B$3:$E$200,3,0),"")</f>
        <v>1.06</v>
      </c>
      <c r="F5" s="40">
        <f>IFERROR(VLOOKUP(C5,'Catálogo Productos'!$B$3:$E$200,4,0),"")</f>
        <v>4.99</v>
      </c>
      <c r="G5" s="41">
        <f>IF(F5="","",IF(I5="SÍ",F5*'Configuración'!$C$5,0))</f>
        <v>0.5489</v>
      </c>
      <c r="H5" s="42" t="s">
        <v>88</v>
      </c>
      <c r="I5" s="43" t="s">
        <v>88</v>
      </c>
      <c r="J5" s="44">
        <f>IF(F5="","",IF(H5="SÍ",'Configuración'!$C$6,0))</f>
        <v>1.3</v>
      </c>
      <c r="K5" s="41">
        <f t="shared" ref="K5:K155" si="1">IF(F5="","",F5-G5-J5)</f>
        <v>3.1411</v>
      </c>
      <c r="L5" s="41">
        <f t="shared" ref="L5:L55" si="2">IF(F5="","",K5-E5-IF(N5="",0,N5))</f>
        <v>2.0811</v>
      </c>
      <c r="M5" s="45">
        <f t="shared" ref="M5:M55" si="3">IF(F5="","",IF(K5=0,0,L5/K5))</f>
        <v>0.6625386011</v>
      </c>
      <c r="N5" s="46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15.0" customHeight="1">
      <c r="A6" s="47">
        <v>2.0</v>
      </c>
      <c r="B6" s="36">
        <v>46113.0</v>
      </c>
      <c r="C6" s="48" t="s">
        <v>89</v>
      </c>
      <c r="D6" s="38" t="str">
        <f>IFERROR(VLOOKUP(C6,'Catálogo Productos'!$B$3:$E$200,2,0),"")</f>
        <v>Guitarra Clasica</v>
      </c>
      <c r="E6" s="39">
        <f>IFERROR(VLOOKUP(C6,'Catálogo Productos'!$B$3:$E$200,3,0),"")</f>
        <v>1.21</v>
      </c>
      <c r="F6" s="40">
        <f>IFERROR(VLOOKUP(C6,'Catálogo Productos'!$B$3:$E$200,4,0),"")</f>
        <v>5.49</v>
      </c>
      <c r="G6" s="49">
        <f>IF(F6="","",IF(I6="SÍ",F6*'Configuración'!$C$5,0))</f>
        <v>0.6039</v>
      </c>
      <c r="H6" s="50" t="s">
        <v>88</v>
      </c>
      <c r="I6" s="43" t="s">
        <v>88</v>
      </c>
      <c r="J6" s="44">
        <f>IF(F6="","",IF(H6="SÍ",'Configuración'!$C$6,0))</f>
        <v>1.3</v>
      </c>
      <c r="K6" s="49">
        <f t="shared" si="1"/>
        <v>3.5861</v>
      </c>
      <c r="L6" s="49">
        <f t="shared" si="2"/>
        <v>2.3761</v>
      </c>
      <c r="M6" s="51">
        <f t="shared" si="3"/>
        <v>0.6625860963</v>
      </c>
      <c r="N6" s="46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15.0" customHeight="1">
      <c r="A7" s="35">
        <v>3.0</v>
      </c>
      <c r="B7" s="36">
        <v>46113.0</v>
      </c>
      <c r="C7" s="48" t="s">
        <v>90</v>
      </c>
      <c r="D7" s="38" t="str">
        <f>IFERROR(VLOOKUP(C7,'Catálogo Productos'!$B$3:$E$200,2,0),"")</f>
        <v>Guitarra Electrica</v>
      </c>
      <c r="E7" s="39">
        <f>IFERROR(VLOOKUP(C7,'Catálogo Productos'!$B$3:$E$200,3,0),"")</f>
        <v>1.21</v>
      </c>
      <c r="F7" s="40">
        <f>IFERROR(VLOOKUP(C7,'Catálogo Productos'!$B$3:$E$200,4,0),"")</f>
        <v>5.49</v>
      </c>
      <c r="G7" s="49">
        <f>IF(F7="","",IF(I7="SÍ",F7*'Configuración'!$C$5,0))</f>
        <v>0.6039</v>
      </c>
      <c r="H7" s="50" t="s">
        <v>91</v>
      </c>
      <c r="I7" s="43" t="s">
        <v>88</v>
      </c>
      <c r="J7" s="44">
        <f>IF(F7="","",IF(H7="SÍ",'Configuración'!$C$6,0))</f>
        <v>0</v>
      </c>
      <c r="K7" s="49">
        <f t="shared" si="1"/>
        <v>4.8861</v>
      </c>
      <c r="L7" s="49">
        <f t="shared" si="2"/>
        <v>3.6761</v>
      </c>
      <c r="M7" s="51">
        <f t="shared" si="3"/>
        <v>0.7523587319</v>
      </c>
      <c r="N7" s="46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15.0" customHeight="1">
      <c r="A8" s="47">
        <v>4.0</v>
      </c>
      <c r="B8" s="36">
        <v>46114.0</v>
      </c>
      <c r="C8" s="29" t="s">
        <v>92</v>
      </c>
      <c r="D8" s="38" t="str">
        <f>IFERROR(VLOOKUP(C8,'Catálogo Productos'!$B$3:$E$200,2,0),"")</f>
        <v>Cables</v>
      </c>
      <c r="E8" s="39">
        <f>IFERROR(VLOOKUP(C8,'Catálogo Productos'!$B$3:$E$200,3,0),"")</f>
        <v>1.91</v>
      </c>
      <c r="F8" s="40">
        <f>IFERROR(VLOOKUP(C8,'Catálogo Productos'!$B$3:$E$200,4,0),"")</f>
        <v>10</v>
      </c>
      <c r="G8" s="41">
        <f>IF(F8="","",IF(I8="SÍ",F8*'Configuración'!$C$5,0))</f>
        <v>1.1</v>
      </c>
      <c r="H8" s="42" t="s">
        <v>88</v>
      </c>
      <c r="I8" s="43" t="s">
        <v>88</v>
      </c>
      <c r="J8" s="44">
        <f>IF(F8="","",IF(H8="SÍ",'Configuración'!$C$6,0))</f>
        <v>1.3</v>
      </c>
      <c r="K8" s="41">
        <f t="shared" si="1"/>
        <v>7.6</v>
      </c>
      <c r="L8" s="41">
        <f t="shared" si="2"/>
        <v>5.69</v>
      </c>
      <c r="M8" s="45">
        <f t="shared" si="3"/>
        <v>0.7486842105</v>
      </c>
      <c r="N8" s="46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15.0" customHeight="1">
      <c r="A9" s="35">
        <v>5.0</v>
      </c>
      <c r="B9" s="52">
        <v>46114.0</v>
      </c>
      <c r="C9" s="29" t="s">
        <v>90</v>
      </c>
      <c r="D9" s="53" t="str">
        <f>IFERROR(VLOOKUP(C9,'Catálogo Productos'!$B$3:$E$200,2,0),"")</f>
        <v>Guitarra Electrica</v>
      </c>
      <c r="E9" s="54">
        <f>IFERROR(VLOOKUP(C9,'Catálogo Productos'!$B$3:$E$200,3,0),"")</f>
        <v>1.21</v>
      </c>
      <c r="F9" s="55">
        <f>IFERROR(VLOOKUP(C9,'Catálogo Productos'!$B$3:$E$200,4,0),"")</f>
        <v>5.49</v>
      </c>
      <c r="G9" s="56">
        <f>IF(F9="","",IF(I9="SÍ",F9*'Configuración'!$C$5,0))</f>
        <v>0.6039</v>
      </c>
      <c r="H9" s="42" t="s">
        <v>88</v>
      </c>
      <c r="I9" s="43" t="s">
        <v>88</v>
      </c>
      <c r="J9" s="18">
        <f>IF(F9="","",IF(H9="SÍ",'Configuración'!$C$6,0))</f>
        <v>1.3</v>
      </c>
      <c r="K9" s="56">
        <f t="shared" si="1"/>
        <v>3.5861</v>
      </c>
      <c r="L9" s="56">
        <f t="shared" si="2"/>
        <v>2.3761</v>
      </c>
      <c r="M9" s="57">
        <f t="shared" si="3"/>
        <v>0.6625860963</v>
      </c>
      <c r="N9" s="46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15.0" customHeight="1">
      <c r="A10" s="47">
        <v>6.0</v>
      </c>
      <c r="B10" s="52">
        <v>46114.0</v>
      </c>
      <c r="C10" s="29" t="s">
        <v>90</v>
      </c>
      <c r="D10" s="53" t="str">
        <f>IFERROR(VLOOKUP(C10,'Catálogo Productos'!$B$3:$E$200,2,0),"")</f>
        <v>Guitarra Electrica</v>
      </c>
      <c r="E10" s="54">
        <f>IFERROR(VLOOKUP(C10,'Catálogo Productos'!$B$3:$E$200,3,0),"")</f>
        <v>1.21</v>
      </c>
      <c r="F10" s="55">
        <f>IFERROR(VLOOKUP(C10,'Catálogo Productos'!$B$3:$E$200,4,0),"")</f>
        <v>5.49</v>
      </c>
      <c r="G10" s="58">
        <f>IF(F10="","",IF(I10="SÍ",F10*'Configuración'!$C$5,0))</f>
        <v>0.6039</v>
      </c>
      <c r="H10" s="42" t="s">
        <v>88</v>
      </c>
      <c r="I10" s="43" t="s">
        <v>88</v>
      </c>
      <c r="J10" s="18">
        <f>IF(F10="","",IF(H10="SÍ",'Configuración'!$C$6,0))</f>
        <v>1.3</v>
      </c>
      <c r="K10" s="58">
        <f t="shared" si="1"/>
        <v>3.5861</v>
      </c>
      <c r="L10" s="58">
        <f t="shared" si="2"/>
        <v>2.3761</v>
      </c>
      <c r="M10" s="59">
        <f t="shared" si="3"/>
        <v>0.6625860963</v>
      </c>
      <c r="N10" s="4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15.0" customHeight="1">
      <c r="A11" s="35">
        <v>7.0</v>
      </c>
      <c r="B11" s="52">
        <v>46114.0</v>
      </c>
      <c r="C11" s="29" t="s">
        <v>90</v>
      </c>
      <c r="D11" s="53" t="str">
        <f>IFERROR(VLOOKUP(C11,'Catálogo Productos'!$B$3:$E$200,2,0),"")</f>
        <v>Guitarra Electrica</v>
      </c>
      <c r="E11" s="54">
        <f>IFERROR(VLOOKUP(C11,'Catálogo Productos'!$B$3:$E$200,3,0),"")</f>
        <v>1.21</v>
      </c>
      <c r="F11" s="55">
        <f>IFERROR(VLOOKUP(C11,'Catálogo Productos'!$B$3:$E$200,4,0),"")</f>
        <v>5.49</v>
      </c>
      <c r="G11" s="56">
        <f>IF(F11="","",IF(I11="SÍ",F11*'Configuración'!$C$5,0))</f>
        <v>0.6039</v>
      </c>
      <c r="H11" s="42" t="s">
        <v>91</v>
      </c>
      <c r="I11" s="43" t="s">
        <v>88</v>
      </c>
      <c r="J11" s="18">
        <f>IF(F11="","",IF(H11="SÍ",'Configuración'!$C$6,0))</f>
        <v>0</v>
      </c>
      <c r="K11" s="56">
        <f t="shared" si="1"/>
        <v>4.8861</v>
      </c>
      <c r="L11" s="56">
        <f t="shared" si="2"/>
        <v>3.6761</v>
      </c>
      <c r="M11" s="57">
        <f t="shared" si="3"/>
        <v>0.7523587319</v>
      </c>
      <c r="N11" s="46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15.0" customHeight="1">
      <c r="A12" s="47">
        <v>8.0</v>
      </c>
      <c r="B12" s="52">
        <v>46116.0</v>
      </c>
      <c r="C12" s="29" t="s">
        <v>93</v>
      </c>
      <c r="D12" s="38" t="str">
        <f>IFERROR(VLOOKUP(C12,'Catálogo Productos'!$B$3:$E$200,2,0),"")</f>
        <v>Bases, Stand, Atriles</v>
      </c>
      <c r="E12" s="39">
        <f>IFERROR(VLOOKUP(C12,'Catálogo Productos'!$B$3:$E$200,3,0),"")</f>
        <v>0.5</v>
      </c>
      <c r="F12" s="40">
        <f>IFERROR(VLOOKUP(C12,'Catálogo Productos'!$B$3:$E$200,4,0),"")</f>
        <v>4.99</v>
      </c>
      <c r="G12" s="41">
        <f>IF(F12="","",IF(I12="SÍ",F12*'Configuración'!$C$5,0))</f>
        <v>0.5489</v>
      </c>
      <c r="H12" s="42" t="s">
        <v>88</v>
      </c>
      <c r="I12" s="43" t="s">
        <v>88</v>
      </c>
      <c r="J12" s="44">
        <f>IF(F12="","",IF(H12="SÍ",'Configuración'!$C$6,0))</f>
        <v>1.3</v>
      </c>
      <c r="K12" s="41">
        <f t="shared" si="1"/>
        <v>3.1411</v>
      </c>
      <c r="L12" s="41">
        <f t="shared" si="2"/>
        <v>2.6411</v>
      </c>
      <c r="M12" s="45">
        <f t="shared" si="3"/>
        <v>0.8408200949</v>
      </c>
      <c r="N12" s="46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15.0" customHeight="1">
      <c r="A13" s="35">
        <v>9.0</v>
      </c>
      <c r="B13" s="52">
        <v>46116.0</v>
      </c>
      <c r="C13" s="29" t="s">
        <v>93</v>
      </c>
      <c r="D13" s="53" t="str">
        <f>IFERROR(VLOOKUP(C13,'Catálogo Productos'!$B$3:$E$200,2,0),"")</f>
        <v>Bases, Stand, Atriles</v>
      </c>
      <c r="E13" s="54">
        <f>IFERROR(VLOOKUP(C13,'Catálogo Productos'!$B$3:$E$200,3,0),"")</f>
        <v>0.5</v>
      </c>
      <c r="F13" s="55">
        <f>IFERROR(VLOOKUP(C13,'Catálogo Productos'!$B$3:$E$200,4,0),"")</f>
        <v>4.99</v>
      </c>
      <c r="G13" s="56">
        <f>IF(F13="","",IF(I13="SÍ",F13*'Configuración'!$C$5,0))</f>
        <v>0.5489</v>
      </c>
      <c r="H13" s="42" t="s">
        <v>88</v>
      </c>
      <c r="I13" s="43" t="s">
        <v>88</v>
      </c>
      <c r="J13" s="18">
        <f>IF(F13="","",IF(H13="SÍ",'Configuración'!$C$6,0))</f>
        <v>1.3</v>
      </c>
      <c r="K13" s="56">
        <f t="shared" si="1"/>
        <v>3.1411</v>
      </c>
      <c r="L13" s="56">
        <f t="shared" si="2"/>
        <v>2.6411</v>
      </c>
      <c r="M13" s="57">
        <f t="shared" si="3"/>
        <v>0.8408200949</v>
      </c>
      <c r="N13" s="46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ht="15.0" customHeight="1">
      <c r="A14" s="47">
        <v>10.0</v>
      </c>
      <c r="B14" s="52">
        <v>46117.0</v>
      </c>
      <c r="C14" s="29" t="s">
        <v>93</v>
      </c>
      <c r="D14" s="53" t="str">
        <f>IFERROR(VLOOKUP(C14,'Catálogo Productos'!$B$3:$E$200,2,0),"")</f>
        <v>Bases, Stand, Atriles</v>
      </c>
      <c r="E14" s="54">
        <f>IFERROR(VLOOKUP(C14,'Catálogo Productos'!$B$3:$E$200,3,0),"")</f>
        <v>0.5</v>
      </c>
      <c r="F14" s="55">
        <f>IFERROR(VLOOKUP(C14,'Catálogo Productos'!$B$3:$E$200,4,0),"")</f>
        <v>4.99</v>
      </c>
      <c r="G14" s="58">
        <f>IF(F14="","",IF(I14="SÍ",F14*'Configuración'!$C$5,0))</f>
        <v>0.5489</v>
      </c>
      <c r="H14" s="42" t="s">
        <v>91</v>
      </c>
      <c r="I14" s="43" t="s">
        <v>88</v>
      </c>
      <c r="J14" s="18">
        <f>IF(F14="","",IF(H14="SÍ",'Configuración'!$C$6,0))</f>
        <v>0</v>
      </c>
      <c r="K14" s="58">
        <f t="shared" si="1"/>
        <v>4.4411</v>
      </c>
      <c r="L14" s="58">
        <f t="shared" si="2"/>
        <v>3.9411</v>
      </c>
      <c r="M14" s="59">
        <f t="shared" si="3"/>
        <v>0.88741528</v>
      </c>
      <c r="N14" s="46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15.0" customHeight="1">
      <c r="A15" s="35">
        <v>11.0</v>
      </c>
      <c r="B15" s="52">
        <v>46118.0</v>
      </c>
      <c r="C15" s="29" t="s">
        <v>94</v>
      </c>
      <c r="D15" s="53" t="str">
        <f>IFERROR(VLOOKUP(C15,'Catálogo Productos'!$B$3:$E$200,2,0),"")</f>
        <v>Capostraste</v>
      </c>
      <c r="E15" s="54">
        <f>IFERROR(VLOOKUP(C15,'Catálogo Productos'!$B$3:$E$200,3,0),"")</f>
        <v>0.65</v>
      </c>
      <c r="F15" s="55">
        <f>IFERROR(VLOOKUP(C15,'Catálogo Productos'!$B$3:$E$200,4,0),"")</f>
        <v>6.99</v>
      </c>
      <c r="G15" s="56">
        <f>IF(F15="","",IF(I15="SÍ",F15*'Configuración'!$C$5,0))</f>
        <v>0.7689</v>
      </c>
      <c r="H15" s="42" t="s">
        <v>88</v>
      </c>
      <c r="I15" s="43" t="s">
        <v>88</v>
      </c>
      <c r="J15" s="18">
        <f>IF(F15="","",IF(H15="SÍ",'Configuración'!$C$6,0))</f>
        <v>1.3</v>
      </c>
      <c r="K15" s="56">
        <f t="shared" si="1"/>
        <v>4.9211</v>
      </c>
      <c r="L15" s="56">
        <f t="shared" si="2"/>
        <v>4.2711</v>
      </c>
      <c r="M15" s="57">
        <f t="shared" si="3"/>
        <v>0.8679157099</v>
      </c>
      <c r="N15" s="46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ht="15.0" customHeight="1">
      <c r="A16" s="47">
        <v>12.0</v>
      </c>
      <c r="B16" s="52">
        <v>46118.0</v>
      </c>
      <c r="C16" s="29" t="s">
        <v>95</v>
      </c>
      <c r="D16" s="53" t="str">
        <f>IFERROR(VLOOKUP(C16,'Catálogo Productos'!$B$3:$E$200,2,0),"")</f>
        <v>Guitarra Electrica</v>
      </c>
      <c r="E16" s="54">
        <f>IFERROR(VLOOKUP(C16,'Catálogo Productos'!$B$3:$E$200,3,0),"")</f>
        <v>1.21</v>
      </c>
      <c r="F16" s="55">
        <f>IFERROR(VLOOKUP(C16,'Catálogo Productos'!$B$3:$E$200,4,0),"")</f>
        <v>5.49</v>
      </c>
      <c r="G16" s="58">
        <f>IF(F16="","",IF(I16="SÍ",F16*'Configuración'!$C$5,0))</f>
        <v>0.6039</v>
      </c>
      <c r="H16" s="42" t="s">
        <v>88</v>
      </c>
      <c r="I16" s="43" t="s">
        <v>88</v>
      </c>
      <c r="J16" s="18">
        <f>IF(F16="","",IF(H16="SÍ",'Configuración'!$C$6,0))</f>
        <v>1.3</v>
      </c>
      <c r="K16" s="58">
        <f t="shared" si="1"/>
        <v>3.5861</v>
      </c>
      <c r="L16" s="58">
        <f t="shared" si="2"/>
        <v>2.3761</v>
      </c>
      <c r="M16" s="59">
        <f t="shared" si="3"/>
        <v>0.6625860963</v>
      </c>
      <c r="N16" s="46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ht="15.0" customHeight="1">
      <c r="A17" s="35">
        <v>13.0</v>
      </c>
      <c r="B17" s="52">
        <v>46119.0</v>
      </c>
      <c r="C17" s="29" t="s">
        <v>93</v>
      </c>
      <c r="D17" s="53" t="str">
        <f>IFERROR(VLOOKUP(C17,'Catálogo Productos'!$B$3:$E$200,2,0),"")</f>
        <v>Bases, Stand, Atriles</v>
      </c>
      <c r="E17" s="54">
        <f>IFERROR(VLOOKUP(C17,'Catálogo Productos'!$B$3:$E$200,3,0),"")</f>
        <v>0.5</v>
      </c>
      <c r="F17" s="55">
        <f>IFERROR(VLOOKUP(C17,'Catálogo Productos'!$B$3:$E$200,4,0),"")</f>
        <v>4.99</v>
      </c>
      <c r="G17" s="56">
        <f>IF(F17="","",IF(I17="SÍ",F17*'Configuración'!$C$5,0))</f>
        <v>0.5489</v>
      </c>
      <c r="H17" s="42" t="s">
        <v>88</v>
      </c>
      <c r="I17" s="43" t="s">
        <v>88</v>
      </c>
      <c r="J17" s="18">
        <f>IF(F17="","",IF(H17="SÍ",'Configuración'!$C$6,0))</f>
        <v>1.3</v>
      </c>
      <c r="K17" s="56">
        <f t="shared" si="1"/>
        <v>3.1411</v>
      </c>
      <c r="L17" s="56">
        <f t="shared" si="2"/>
        <v>2.6411</v>
      </c>
      <c r="M17" s="57">
        <f t="shared" si="3"/>
        <v>0.8408200949</v>
      </c>
      <c r="N17" s="46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ht="15.0" customHeight="1">
      <c r="A18" s="47">
        <v>14.0</v>
      </c>
      <c r="B18" s="52">
        <v>46119.0</v>
      </c>
      <c r="C18" s="29" t="s">
        <v>92</v>
      </c>
      <c r="D18" s="53" t="str">
        <f>IFERROR(VLOOKUP(C18,'Catálogo Productos'!$B$3:$E$200,2,0),"")</f>
        <v>Cables</v>
      </c>
      <c r="E18" s="54">
        <f>IFERROR(VLOOKUP(C18,'Catálogo Productos'!$B$3:$E$200,3,0),"")</f>
        <v>1.91</v>
      </c>
      <c r="F18" s="55">
        <f>IFERROR(VLOOKUP(C18,'Catálogo Productos'!$B$3:$E$200,4,0),"")</f>
        <v>10</v>
      </c>
      <c r="G18" s="58">
        <f>IF(F18="","",IF(I18="SÍ",F18*'Configuración'!$C$5,0))</f>
        <v>1.1</v>
      </c>
      <c r="H18" s="42" t="s">
        <v>88</v>
      </c>
      <c r="I18" s="43" t="s">
        <v>88</v>
      </c>
      <c r="J18" s="18">
        <f>IF(F18="","",IF(H18="SÍ",'Configuración'!$C$6,0))</f>
        <v>1.3</v>
      </c>
      <c r="K18" s="58">
        <f t="shared" si="1"/>
        <v>7.6</v>
      </c>
      <c r="L18" s="58">
        <f t="shared" si="2"/>
        <v>5.69</v>
      </c>
      <c r="M18" s="59">
        <f t="shared" si="3"/>
        <v>0.7486842105</v>
      </c>
      <c r="N18" s="46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t="15.0" customHeight="1">
      <c r="A19" s="35">
        <v>15.0</v>
      </c>
      <c r="B19" s="52">
        <v>46119.0</v>
      </c>
      <c r="C19" s="29" t="s">
        <v>96</v>
      </c>
      <c r="D19" s="53" t="str">
        <f>IFERROR(VLOOKUP(C19,'Catálogo Productos'!$B$3:$E$200,2,0),"")</f>
        <v> Bajo Electrico</v>
      </c>
      <c r="E19" s="54">
        <f>IFERROR(VLOOKUP(C19,'Catálogo Productos'!$B$3:$E$200,3,0),"")</f>
        <v>3.03</v>
      </c>
      <c r="F19" s="55">
        <f>IFERROR(VLOOKUP(C19,'Catálogo Productos'!$B$3:$E$200,4,0),"")</f>
        <v>12.99</v>
      </c>
      <c r="G19" s="56">
        <f>IF(F19="","",IF(I19="SÍ",F19*'Configuración'!$C$5,0))</f>
        <v>1.4289</v>
      </c>
      <c r="H19" s="42" t="s">
        <v>88</v>
      </c>
      <c r="I19" s="43" t="s">
        <v>88</v>
      </c>
      <c r="J19" s="18">
        <f>IF(F19="","",IF(H19="SÍ",'Configuración'!$C$6,0))</f>
        <v>1.3</v>
      </c>
      <c r="K19" s="56">
        <f t="shared" si="1"/>
        <v>10.2611</v>
      </c>
      <c r="L19" s="56">
        <f t="shared" si="2"/>
        <v>7.2311</v>
      </c>
      <c r="M19" s="57">
        <f t="shared" si="3"/>
        <v>0.7047100213</v>
      </c>
      <c r="N19" s="46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ht="15.0" customHeight="1">
      <c r="A20" s="47">
        <v>16.0</v>
      </c>
      <c r="B20" s="52">
        <v>46119.0</v>
      </c>
      <c r="C20" s="29" t="s">
        <v>97</v>
      </c>
      <c r="D20" s="53" t="str">
        <f>IFERROR(VLOOKUP(C20,'Catálogo Productos'!$B$3:$E$200,2,0),"")</f>
        <v>Guitarra Acustica</v>
      </c>
      <c r="E20" s="54">
        <f>IFERROR(VLOOKUP(C20,'Catálogo Productos'!$B$3:$E$200,3,0),"")</f>
        <v>0.5</v>
      </c>
      <c r="F20" s="55">
        <f>IFERROR(VLOOKUP(C20,'Catálogo Productos'!$B$3:$E$200,4,0),"")</f>
        <v>5</v>
      </c>
      <c r="G20" s="58">
        <f>IF(F20="","",IF(I20="SÍ",F20*'Configuración'!$C$5,0))</f>
        <v>0.55</v>
      </c>
      <c r="H20" s="42" t="s">
        <v>88</v>
      </c>
      <c r="I20" s="43" t="s">
        <v>88</v>
      </c>
      <c r="J20" s="18">
        <f>IF(F20="","",IF(H20="SÍ",'Configuración'!$C$6,0))</f>
        <v>1.3</v>
      </c>
      <c r="K20" s="58">
        <f t="shared" si="1"/>
        <v>3.15</v>
      </c>
      <c r="L20" s="58">
        <f t="shared" si="2"/>
        <v>2.65</v>
      </c>
      <c r="M20" s="59">
        <f t="shared" si="3"/>
        <v>0.8412698413</v>
      </c>
      <c r="N20" s="46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5.0" customHeight="1">
      <c r="A21" s="35">
        <v>17.0</v>
      </c>
      <c r="B21" s="52">
        <v>46119.0</v>
      </c>
      <c r="C21" s="29" t="s">
        <v>90</v>
      </c>
      <c r="D21" s="53" t="str">
        <f>IFERROR(VLOOKUP(C21,'Catálogo Productos'!$B$3:$E$200,2,0),"")</f>
        <v>Guitarra Electrica</v>
      </c>
      <c r="E21" s="54">
        <f>IFERROR(VLOOKUP(C21,'Catálogo Productos'!$B$3:$E$200,3,0),"")</f>
        <v>1.21</v>
      </c>
      <c r="F21" s="55">
        <f>IFERROR(VLOOKUP(C21,'Catálogo Productos'!$B$3:$E$200,4,0),"")</f>
        <v>5.49</v>
      </c>
      <c r="G21" s="56">
        <f>IF(F21="","",IF(I21="SÍ",F21*'Configuración'!$C$5,0))</f>
        <v>0.6039</v>
      </c>
      <c r="H21" s="42" t="s">
        <v>88</v>
      </c>
      <c r="I21" s="43" t="s">
        <v>88</v>
      </c>
      <c r="J21" s="18">
        <f>IF(F21="","",IF(H21="SÍ",'Configuración'!$C$6,0))</f>
        <v>1.3</v>
      </c>
      <c r="K21" s="56">
        <f t="shared" si="1"/>
        <v>3.5861</v>
      </c>
      <c r="L21" s="56">
        <f t="shared" si="2"/>
        <v>2.3761</v>
      </c>
      <c r="M21" s="57">
        <f t="shared" si="3"/>
        <v>0.6625860963</v>
      </c>
      <c r="N21" s="46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5.0" customHeight="1">
      <c r="A22" s="47">
        <v>18.0</v>
      </c>
      <c r="B22" s="52">
        <v>46119.0</v>
      </c>
      <c r="C22" s="29" t="s">
        <v>95</v>
      </c>
      <c r="D22" s="53" t="str">
        <f>IFERROR(VLOOKUP(C22,'Catálogo Productos'!$B$3:$E$200,2,0),"")</f>
        <v>Guitarra Electrica</v>
      </c>
      <c r="E22" s="54">
        <f>IFERROR(VLOOKUP(C22,'Catálogo Productos'!$B$3:$E$200,3,0),"")</f>
        <v>1.21</v>
      </c>
      <c r="F22" s="55">
        <f>IFERROR(VLOOKUP(C22,'Catálogo Productos'!$B$3:$E$200,4,0),"")</f>
        <v>5.49</v>
      </c>
      <c r="G22" s="58">
        <f>IF(F22="","",IF(I22="SÍ",F22*'Configuración'!$C$5,0))</f>
        <v>0</v>
      </c>
      <c r="H22" s="42" t="s">
        <v>91</v>
      </c>
      <c r="I22" s="43" t="s">
        <v>98</v>
      </c>
      <c r="J22" s="18">
        <f>IF(F22="","",IF(H22="SÍ",'Configuración'!$C$6,0))</f>
        <v>0</v>
      </c>
      <c r="K22" s="58">
        <f t="shared" si="1"/>
        <v>5.49</v>
      </c>
      <c r="L22" s="58">
        <f t="shared" si="2"/>
        <v>3.78</v>
      </c>
      <c r="M22" s="59">
        <f t="shared" si="3"/>
        <v>0.6885245902</v>
      </c>
      <c r="N22" s="46">
        <v>0.5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5.0" customHeight="1">
      <c r="A23" s="35">
        <v>19.0</v>
      </c>
      <c r="B23" s="52">
        <v>46119.0</v>
      </c>
      <c r="C23" s="29" t="s">
        <v>95</v>
      </c>
      <c r="D23" s="53" t="str">
        <f>IFERROR(VLOOKUP(C23,'Catálogo Productos'!$B$3:$E$200,2,0),"")</f>
        <v>Guitarra Electrica</v>
      </c>
      <c r="E23" s="54">
        <f>IFERROR(VLOOKUP(C23,'Catálogo Productos'!$B$3:$E$200,3,0),"")</f>
        <v>1.21</v>
      </c>
      <c r="F23" s="55">
        <f>IFERROR(VLOOKUP(C23,'Catálogo Productos'!$B$3:$E$200,4,0),"")</f>
        <v>5.49</v>
      </c>
      <c r="G23" s="56">
        <f>IF(F23="","",IF(I23="SÍ",F23*'Configuración'!$C$5,0))</f>
        <v>0</v>
      </c>
      <c r="H23" s="42" t="s">
        <v>91</v>
      </c>
      <c r="I23" s="43" t="s">
        <v>98</v>
      </c>
      <c r="J23" s="18">
        <f>IF(F23="","",IF(H23="SÍ",'Configuración'!$C$6,0))</f>
        <v>0</v>
      </c>
      <c r="K23" s="56">
        <f t="shared" si="1"/>
        <v>5.49</v>
      </c>
      <c r="L23" s="56">
        <f t="shared" si="2"/>
        <v>3.78</v>
      </c>
      <c r="M23" s="57">
        <f t="shared" si="3"/>
        <v>0.6885245902</v>
      </c>
      <c r="N23" s="46">
        <v>0.5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5.0" customHeight="1">
      <c r="A24" s="47">
        <v>20.0</v>
      </c>
      <c r="B24" s="52">
        <v>46119.0</v>
      </c>
      <c r="C24" s="29" t="s">
        <v>90</v>
      </c>
      <c r="D24" s="53" t="str">
        <f>IFERROR(VLOOKUP(C24,'Catálogo Productos'!$B$3:$E$200,2,0),"")</f>
        <v>Guitarra Electrica</v>
      </c>
      <c r="E24" s="54">
        <f>IFERROR(VLOOKUP(C24,'Catálogo Productos'!$B$3:$E$200,3,0),"")</f>
        <v>1.21</v>
      </c>
      <c r="F24" s="55">
        <f>IFERROR(VLOOKUP(C24,'Catálogo Productos'!$B$3:$E$200,4,0),"")</f>
        <v>5.49</v>
      </c>
      <c r="G24" s="58">
        <f>IF(F24="","",IF(I24="SÍ",F24*'Configuración'!$C$5,0))</f>
        <v>0.6039</v>
      </c>
      <c r="H24" s="42" t="s">
        <v>88</v>
      </c>
      <c r="I24" s="43" t="s">
        <v>88</v>
      </c>
      <c r="J24" s="18">
        <f>IF(F24="","",IF(H24="SÍ",'Configuración'!$C$6,0))</f>
        <v>1.3</v>
      </c>
      <c r="K24" s="58">
        <f t="shared" si="1"/>
        <v>3.5861</v>
      </c>
      <c r="L24" s="58">
        <f t="shared" si="2"/>
        <v>2.3761</v>
      </c>
      <c r="M24" s="59">
        <f t="shared" si="3"/>
        <v>0.6625860963</v>
      </c>
      <c r="N24" s="46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5.0" customHeight="1">
      <c r="A25" s="35">
        <v>21.0</v>
      </c>
      <c r="B25" s="52">
        <v>46119.0</v>
      </c>
      <c r="C25" s="29" t="s">
        <v>99</v>
      </c>
      <c r="D25" s="53" t="str">
        <f>IFERROR(VLOOKUP(C25,'Catálogo Productos'!$B$3:$E$200,2,0),"")</f>
        <v>Violin</v>
      </c>
      <c r="E25" s="54">
        <f>IFERROR(VLOOKUP(C25,'Catálogo Productos'!$B$3:$E$200,3,0),"")</f>
        <v>2.69</v>
      </c>
      <c r="F25" s="55">
        <f>IFERROR(VLOOKUP(C25,'Catálogo Productos'!$B$3:$E$200,4,0),"")</f>
        <v>11</v>
      </c>
      <c r="G25" s="56">
        <f>IF(F25="","",IF(I25="SÍ",F25*'Configuración'!$C$5,0))</f>
        <v>1.21</v>
      </c>
      <c r="H25" s="42" t="s">
        <v>88</v>
      </c>
      <c r="I25" s="43" t="s">
        <v>88</v>
      </c>
      <c r="J25" s="18">
        <f>IF(F25="","",IF(H25="SÍ",'Configuración'!$C$6,0))</f>
        <v>1.3</v>
      </c>
      <c r="K25" s="56">
        <f t="shared" si="1"/>
        <v>8.49</v>
      </c>
      <c r="L25" s="56">
        <f t="shared" si="2"/>
        <v>4.8</v>
      </c>
      <c r="M25" s="57">
        <f t="shared" si="3"/>
        <v>0.5653710247</v>
      </c>
      <c r="N25" s="46">
        <v>1.0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5.0" customHeight="1">
      <c r="A26" s="47">
        <v>22.0</v>
      </c>
      <c r="B26" s="52">
        <v>46119.0</v>
      </c>
      <c r="C26" s="29" t="s">
        <v>89</v>
      </c>
      <c r="D26" s="53" t="str">
        <f>IFERROR(VLOOKUP(C26,'Catálogo Productos'!$B$3:$E$200,2,0),"")</f>
        <v>Guitarra Clasica</v>
      </c>
      <c r="E26" s="54">
        <f>IFERROR(VLOOKUP(C26,'Catálogo Productos'!$B$3:$E$200,3,0),"")</f>
        <v>1.21</v>
      </c>
      <c r="F26" s="55">
        <f>IFERROR(VLOOKUP(C26,'Catálogo Productos'!$B$3:$E$200,4,0),"")</f>
        <v>5.49</v>
      </c>
      <c r="G26" s="58">
        <f>IF(F26="","",IF(I26="SÍ",F26*'Configuración'!$C$5,0))</f>
        <v>0.6039</v>
      </c>
      <c r="H26" s="42" t="s">
        <v>88</v>
      </c>
      <c r="I26" s="43" t="s">
        <v>88</v>
      </c>
      <c r="J26" s="18">
        <f>IF(F26="","",IF(H26="SÍ",'Configuración'!$C$6,0))</f>
        <v>1.3</v>
      </c>
      <c r="K26" s="58">
        <f t="shared" si="1"/>
        <v>3.5861</v>
      </c>
      <c r="L26" s="58">
        <f t="shared" si="2"/>
        <v>2.3761</v>
      </c>
      <c r="M26" s="59">
        <f t="shared" si="3"/>
        <v>0.6625860963</v>
      </c>
      <c r="N26" s="46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5.0" customHeight="1">
      <c r="A27" s="35">
        <v>23.0</v>
      </c>
      <c r="B27" s="52">
        <v>46119.0</v>
      </c>
      <c r="C27" s="29" t="s">
        <v>99</v>
      </c>
      <c r="D27" s="53" t="str">
        <f>IFERROR(VLOOKUP(C27,'Catálogo Productos'!$B$3:$E$200,2,0),"")</f>
        <v>Violin</v>
      </c>
      <c r="E27" s="54">
        <f>IFERROR(VLOOKUP(C27,'Catálogo Productos'!$B$3:$E$200,3,0),"")</f>
        <v>2.69</v>
      </c>
      <c r="F27" s="55">
        <f>IFERROR(VLOOKUP(C27,'Catálogo Productos'!$B$3:$E$200,4,0),"")</f>
        <v>11</v>
      </c>
      <c r="G27" s="56">
        <f>IF(F27="","",IF(I27="SÍ",F27*'Configuración'!$C$5,0))</f>
        <v>1.21</v>
      </c>
      <c r="H27" s="42" t="s">
        <v>88</v>
      </c>
      <c r="I27" s="43" t="s">
        <v>88</v>
      </c>
      <c r="J27" s="18">
        <f>IF(F27="","",IF(H27="SÍ",'Configuración'!$C$6,0))</f>
        <v>1.3</v>
      </c>
      <c r="K27" s="56">
        <f t="shared" si="1"/>
        <v>8.49</v>
      </c>
      <c r="L27" s="56">
        <f t="shared" si="2"/>
        <v>4.8</v>
      </c>
      <c r="M27" s="57">
        <f t="shared" si="3"/>
        <v>0.5653710247</v>
      </c>
      <c r="N27" s="60">
        <v>1.0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5.0" customHeight="1">
      <c r="A28" s="47">
        <v>24.0</v>
      </c>
      <c r="B28" s="52">
        <v>46119.0</v>
      </c>
      <c r="C28" s="29" t="s">
        <v>89</v>
      </c>
      <c r="D28" s="53" t="str">
        <f>IFERROR(VLOOKUP(C28,'Catálogo Productos'!$B$3:$E$200,2,0),"")</f>
        <v>Guitarra Clasica</v>
      </c>
      <c r="E28" s="54">
        <f>IFERROR(VLOOKUP(C28,'Catálogo Productos'!$B$3:$E$200,3,0),"")</f>
        <v>1.21</v>
      </c>
      <c r="F28" s="55">
        <f>IFERROR(VLOOKUP(C28,'Catálogo Productos'!$B$3:$E$200,4,0),"")</f>
        <v>5.49</v>
      </c>
      <c r="G28" s="58">
        <f>IF(F28="","",IF(I28="SÍ",F28*'Configuración'!$C$5,0))</f>
        <v>0.6039</v>
      </c>
      <c r="H28" s="42" t="s">
        <v>91</v>
      </c>
      <c r="I28" s="43" t="s">
        <v>88</v>
      </c>
      <c r="J28" s="18">
        <f>IF(F28="","",IF(H28="SÍ",'Configuración'!$C$6,0))</f>
        <v>0</v>
      </c>
      <c r="K28" s="58">
        <f t="shared" si="1"/>
        <v>4.8861</v>
      </c>
      <c r="L28" s="58">
        <f t="shared" si="2"/>
        <v>3.6761</v>
      </c>
      <c r="M28" s="59">
        <f t="shared" si="3"/>
        <v>0.7523587319</v>
      </c>
      <c r="N28" s="46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5.0" customHeight="1">
      <c r="A29" s="35">
        <v>25.0</v>
      </c>
      <c r="B29" s="52">
        <v>46119.0</v>
      </c>
      <c r="C29" s="29" t="s">
        <v>100</v>
      </c>
      <c r="D29" s="53" t="str">
        <f>IFERROR(VLOOKUP(C29,'Catálogo Productos'!$B$3:$E$200,2,0),"")</f>
        <v>Bateria</v>
      </c>
      <c r="E29" s="54">
        <f>IFERROR(VLOOKUP(C29,'Catálogo Productos'!$B$3:$E$200,3,0),"")</f>
        <v>0.71</v>
      </c>
      <c r="F29" s="55">
        <f>IFERROR(VLOOKUP(C29,'Catálogo Productos'!$B$3:$E$200,4,0),"")</f>
        <v>5</v>
      </c>
      <c r="G29" s="56">
        <f>IF(F29="","",IF(I29="SÍ",F29*'Configuración'!$C$5,0))</f>
        <v>0.55</v>
      </c>
      <c r="H29" s="42" t="s">
        <v>91</v>
      </c>
      <c r="I29" s="43" t="s">
        <v>88</v>
      </c>
      <c r="J29" s="18">
        <f>IF(F29="","",IF(H29="SÍ",'Configuración'!$C$6,0))</f>
        <v>0</v>
      </c>
      <c r="K29" s="56">
        <f t="shared" si="1"/>
        <v>4.45</v>
      </c>
      <c r="L29" s="56">
        <f t="shared" si="2"/>
        <v>3.74</v>
      </c>
      <c r="M29" s="57">
        <f t="shared" si="3"/>
        <v>0.8404494382</v>
      </c>
      <c r="N29" s="46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5.0" customHeight="1">
      <c r="A30" s="47">
        <v>26.0</v>
      </c>
      <c r="B30" s="52">
        <v>46119.0</v>
      </c>
      <c r="C30" s="29" t="s">
        <v>92</v>
      </c>
      <c r="D30" s="53" t="str">
        <f>IFERROR(VLOOKUP(C30,'Catálogo Productos'!$B$3:$E$200,2,0),"")</f>
        <v>Cables</v>
      </c>
      <c r="E30" s="54">
        <f>IFERROR(VLOOKUP(C30,'Catálogo Productos'!$B$3:$E$200,3,0),"")</f>
        <v>1.91</v>
      </c>
      <c r="F30" s="55">
        <f>IFERROR(VLOOKUP(C30,'Catálogo Productos'!$B$3:$E$200,4,0),"")</f>
        <v>10</v>
      </c>
      <c r="G30" s="58">
        <f>IF(F30="","",IF(I30="SÍ",F30*'Configuración'!$C$5,0))</f>
        <v>1.1</v>
      </c>
      <c r="H30" s="42" t="s">
        <v>88</v>
      </c>
      <c r="I30" s="43" t="s">
        <v>88</v>
      </c>
      <c r="J30" s="18">
        <f>IF(F30="","",IF(H30="SÍ",'Configuración'!$C$6,0))</f>
        <v>1.3</v>
      </c>
      <c r="K30" s="58">
        <f t="shared" si="1"/>
        <v>7.6</v>
      </c>
      <c r="L30" s="58">
        <f t="shared" si="2"/>
        <v>5.69</v>
      </c>
      <c r="M30" s="59">
        <f t="shared" si="3"/>
        <v>0.7486842105</v>
      </c>
      <c r="N30" s="46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5.0" customHeight="1">
      <c r="A31" s="35">
        <v>27.0</v>
      </c>
      <c r="B31" s="52">
        <v>46119.0</v>
      </c>
      <c r="C31" s="29" t="s">
        <v>96</v>
      </c>
      <c r="D31" s="53" t="str">
        <f>IFERROR(VLOOKUP(C31,'Catálogo Productos'!$B$3:$E$200,2,0),"")</f>
        <v> Bajo Electrico</v>
      </c>
      <c r="E31" s="54">
        <f>IFERROR(VLOOKUP(C31,'Catálogo Productos'!$B$3:$E$200,3,0),"")</f>
        <v>3.03</v>
      </c>
      <c r="F31" s="55">
        <f>IFERROR(VLOOKUP(C31,'Catálogo Productos'!$B$3:$E$200,4,0),"")</f>
        <v>12.99</v>
      </c>
      <c r="G31" s="56">
        <f>IF(F31="","",IF(I31="SÍ",F31*'Configuración'!$C$5,0))</f>
        <v>1.4289</v>
      </c>
      <c r="H31" s="42" t="s">
        <v>88</v>
      </c>
      <c r="I31" s="43" t="s">
        <v>88</v>
      </c>
      <c r="J31" s="18">
        <f>IF(F31="","",IF(H31="SÍ",'Configuración'!$C$6,0))</f>
        <v>1.3</v>
      </c>
      <c r="K31" s="56">
        <f t="shared" si="1"/>
        <v>10.2611</v>
      </c>
      <c r="L31" s="56">
        <f t="shared" si="2"/>
        <v>7.2311</v>
      </c>
      <c r="M31" s="57">
        <f t="shared" si="3"/>
        <v>0.7047100213</v>
      </c>
      <c r="N31" s="46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5.0" customHeight="1">
      <c r="A32" s="47">
        <v>28.0</v>
      </c>
      <c r="B32" s="52">
        <v>46119.0</v>
      </c>
      <c r="C32" s="29" t="s">
        <v>89</v>
      </c>
      <c r="D32" s="53" t="str">
        <f>IFERROR(VLOOKUP(C32,'Catálogo Productos'!$B$3:$E$200,2,0),"")</f>
        <v>Guitarra Clasica</v>
      </c>
      <c r="E32" s="54">
        <f>IFERROR(VLOOKUP(C32,'Catálogo Productos'!$B$3:$E$200,3,0),"")</f>
        <v>1.21</v>
      </c>
      <c r="F32" s="55">
        <f>IFERROR(VLOOKUP(C32,'Catálogo Productos'!$B$3:$E$200,4,0),"")</f>
        <v>5.49</v>
      </c>
      <c r="G32" s="58">
        <f>IF(F32="","",IF(I32="SÍ",F32*'Configuración'!$C$5,0))</f>
        <v>0.6039</v>
      </c>
      <c r="H32" s="42" t="s">
        <v>88</v>
      </c>
      <c r="I32" s="43" t="s">
        <v>88</v>
      </c>
      <c r="J32" s="18">
        <f>IF(F32="","",IF(H32="SÍ",'Configuración'!$C$6,0))</f>
        <v>1.3</v>
      </c>
      <c r="K32" s="58">
        <f t="shared" si="1"/>
        <v>3.5861</v>
      </c>
      <c r="L32" s="58">
        <f t="shared" si="2"/>
        <v>2.3761</v>
      </c>
      <c r="M32" s="59">
        <f t="shared" si="3"/>
        <v>0.6625860963</v>
      </c>
      <c r="N32" s="46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5.0" customHeight="1">
      <c r="A33" s="35">
        <v>29.0</v>
      </c>
      <c r="B33" s="52">
        <v>46120.0</v>
      </c>
      <c r="C33" s="29" t="s">
        <v>90</v>
      </c>
      <c r="D33" s="53" t="str">
        <f>IFERROR(VLOOKUP(C33,'Catálogo Productos'!$B$3:$E$200,2,0),"")</f>
        <v>Guitarra Electrica</v>
      </c>
      <c r="E33" s="54">
        <f>IFERROR(VLOOKUP(C33,'Catálogo Productos'!$B$3:$E$200,3,0),"")</f>
        <v>1.21</v>
      </c>
      <c r="F33" s="55">
        <f>IFERROR(VLOOKUP(C33,'Catálogo Productos'!$B$3:$E$200,4,0),"")</f>
        <v>5.49</v>
      </c>
      <c r="G33" s="56">
        <f>IF(F33="","",IF(I33="SÍ",F33*'Configuración'!$C$5,0))</f>
        <v>0.6039</v>
      </c>
      <c r="H33" s="42" t="s">
        <v>88</v>
      </c>
      <c r="I33" s="43" t="s">
        <v>88</v>
      </c>
      <c r="J33" s="18">
        <f>IF(F33="","",IF(H33="SÍ",'Configuración'!$C$6,0))</f>
        <v>1.3</v>
      </c>
      <c r="K33" s="56">
        <f t="shared" si="1"/>
        <v>3.5861</v>
      </c>
      <c r="L33" s="56">
        <f t="shared" si="2"/>
        <v>2.3761</v>
      </c>
      <c r="M33" s="57">
        <f t="shared" si="3"/>
        <v>0.6625860963</v>
      </c>
      <c r="N33" s="46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5.0" customHeight="1">
      <c r="A34" s="47">
        <v>30.0</v>
      </c>
      <c r="B34" s="52">
        <v>46120.0</v>
      </c>
      <c r="C34" s="29" t="s">
        <v>90</v>
      </c>
      <c r="D34" s="53" t="str">
        <f>IFERROR(VLOOKUP(C34,'Catálogo Productos'!$B$3:$E$200,2,0),"")</f>
        <v>Guitarra Electrica</v>
      </c>
      <c r="E34" s="54">
        <f>IFERROR(VLOOKUP(C34,'Catálogo Productos'!$B$3:$E$200,3,0),"")</f>
        <v>1.21</v>
      </c>
      <c r="F34" s="55">
        <f>IFERROR(VLOOKUP(C34,'Catálogo Productos'!$B$3:$E$200,4,0),"")</f>
        <v>5.49</v>
      </c>
      <c r="G34" s="58">
        <f>IF(F34="","",IF(I34="SÍ",F34*'Configuración'!$C$5,0))</f>
        <v>0</v>
      </c>
      <c r="H34" s="42" t="s">
        <v>91</v>
      </c>
      <c r="I34" s="43" t="s">
        <v>98</v>
      </c>
      <c r="J34" s="18">
        <f>IF(F34="","",IF(H34="SÍ",'Configuración'!$C$6,0))</f>
        <v>0</v>
      </c>
      <c r="K34" s="58">
        <f t="shared" si="1"/>
        <v>5.49</v>
      </c>
      <c r="L34" s="58">
        <f t="shared" si="2"/>
        <v>4.28</v>
      </c>
      <c r="M34" s="59">
        <f t="shared" si="3"/>
        <v>0.7795992714</v>
      </c>
      <c r="N34" s="46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5.0" customHeight="1">
      <c r="A35" s="35">
        <v>31.0</v>
      </c>
      <c r="B35" s="52">
        <v>46120.0</v>
      </c>
      <c r="C35" s="29" t="s">
        <v>95</v>
      </c>
      <c r="D35" s="53" t="str">
        <f>IFERROR(VLOOKUP(C35,'Catálogo Productos'!$B$3:$E$200,2,0),"")</f>
        <v>Guitarra Electrica</v>
      </c>
      <c r="E35" s="54">
        <f>IFERROR(VLOOKUP(C35,'Catálogo Productos'!$B$3:$E$200,3,0),"")</f>
        <v>1.21</v>
      </c>
      <c r="F35" s="55">
        <f>IFERROR(VLOOKUP(C35,'Catálogo Productos'!$B$3:$E$200,4,0),"")</f>
        <v>5.49</v>
      </c>
      <c r="G35" s="56">
        <f>IF(F35="","",IF(I35="SÍ",F35*'Configuración'!$C$5,0))</f>
        <v>0.6039</v>
      </c>
      <c r="H35" s="42" t="s">
        <v>88</v>
      </c>
      <c r="I35" s="43" t="s">
        <v>88</v>
      </c>
      <c r="J35" s="18">
        <f>IF(F35="","",IF(H35="SÍ",'Configuración'!$C$6,0))</f>
        <v>1.3</v>
      </c>
      <c r="K35" s="56">
        <f t="shared" si="1"/>
        <v>3.5861</v>
      </c>
      <c r="L35" s="56">
        <f t="shared" si="2"/>
        <v>2.3761</v>
      </c>
      <c r="M35" s="57">
        <f t="shared" si="3"/>
        <v>0.6625860963</v>
      </c>
      <c r="N35" s="46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5.0" customHeight="1">
      <c r="A36" s="47">
        <v>32.0</v>
      </c>
      <c r="B36" s="52">
        <v>46120.0</v>
      </c>
      <c r="C36" s="29" t="s">
        <v>96</v>
      </c>
      <c r="D36" s="53" t="str">
        <f>IFERROR(VLOOKUP(C36,'Catálogo Productos'!$B$3:$E$200,2,0),"")</f>
        <v> Bajo Electrico</v>
      </c>
      <c r="E36" s="54">
        <f>IFERROR(VLOOKUP(C36,'Catálogo Productos'!$B$3:$E$200,3,0),"")</f>
        <v>3.03</v>
      </c>
      <c r="F36" s="55">
        <f>IFERROR(VLOOKUP(C36,'Catálogo Productos'!$B$3:$E$200,4,0),"")</f>
        <v>12.99</v>
      </c>
      <c r="G36" s="58">
        <f>IF(F36="","",IF(I36="SÍ",F36*'Configuración'!$C$5,0))</f>
        <v>0</v>
      </c>
      <c r="H36" s="42" t="s">
        <v>91</v>
      </c>
      <c r="I36" s="43" t="s">
        <v>98</v>
      </c>
      <c r="J36" s="18">
        <f>IF(F36="","",IF(H36="SÍ",'Configuración'!$C$6,0))</f>
        <v>0</v>
      </c>
      <c r="K36" s="58">
        <f t="shared" si="1"/>
        <v>12.99</v>
      </c>
      <c r="L36" s="58">
        <f t="shared" si="2"/>
        <v>9.96</v>
      </c>
      <c r="M36" s="59">
        <f t="shared" si="3"/>
        <v>0.766743649</v>
      </c>
      <c r="N36" s="46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5.0" customHeight="1">
      <c r="A37" s="35">
        <v>33.0</v>
      </c>
      <c r="B37" s="52">
        <v>46120.0</v>
      </c>
      <c r="C37" s="29" t="s">
        <v>96</v>
      </c>
      <c r="D37" s="53" t="str">
        <f>IFERROR(VLOOKUP(C37,'Catálogo Productos'!$B$3:$E$200,2,0),"")</f>
        <v> Bajo Electrico</v>
      </c>
      <c r="E37" s="54">
        <f>IFERROR(VLOOKUP(C37,'Catálogo Productos'!$B$3:$E$200,3,0),"")</f>
        <v>3.03</v>
      </c>
      <c r="F37" s="55">
        <f>IFERROR(VLOOKUP(C37,'Catálogo Productos'!$B$3:$E$200,4,0),"")</f>
        <v>12.99</v>
      </c>
      <c r="G37" s="56">
        <f>IF(F37="","",IF(I37="SÍ",F37*'Configuración'!$C$5,0))</f>
        <v>0</v>
      </c>
      <c r="H37" s="42" t="s">
        <v>91</v>
      </c>
      <c r="I37" s="43" t="s">
        <v>98</v>
      </c>
      <c r="J37" s="18">
        <f>IF(F37="","",IF(H37="SÍ",'Configuración'!$C$6,0))</f>
        <v>0</v>
      </c>
      <c r="K37" s="56">
        <f t="shared" si="1"/>
        <v>12.99</v>
      </c>
      <c r="L37" s="56">
        <f t="shared" si="2"/>
        <v>9.96</v>
      </c>
      <c r="M37" s="57">
        <f t="shared" si="3"/>
        <v>0.766743649</v>
      </c>
      <c r="N37" s="46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5.0" customHeight="1">
      <c r="A38" s="47">
        <v>34.0</v>
      </c>
      <c r="B38" s="52">
        <v>46120.0</v>
      </c>
      <c r="C38" s="29" t="s">
        <v>101</v>
      </c>
      <c r="D38" s="53" t="str">
        <f>IFERROR(VLOOKUP(C38,'Catálogo Productos'!$B$3:$E$200,2,0),"")</f>
        <v>Guitarra Acustica</v>
      </c>
      <c r="E38" s="54">
        <f>IFERROR(VLOOKUP(C38,'Catálogo Productos'!$B$3:$E$200,3,0),"")</f>
        <v>0.01</v>
      </c>
      <c r="F38" s="55">
        <f>IFERROR(VLOOKUP(C38,'Catálogo Productos'!$B$3:$E$200,4,0),"")</f>
        <v>5</v>
      </c>
      <c r="G38" s="58">
        <f>IF(F38="","",IF(I38="SÍ",F38*'Configuración'!$C$5,0))</f>
        <v>0.55</v>
      </c>
      <c r="H38" s="42" t="s">
        <v>88</v>
      </c>
      <c r="I38" s="43" t="s">
        <v>88</v>
      </c>
      <c r="J38" s="18">
        <f>IF(F38="","",IF(H38="SÍ",'Configuración'!$C$6,0))</f>
        <v>1.3</v>
      </c>
      <c r="K38" s="58">
        <f t="shared" si="1"/>
        <v>3.15</v>
      </c>
      <c r="L38" s="58">
        <f t="shared" si="2"/>
        <v>3.14</v>
      </c>
      <c r="M38" s="59">
        <f t="shared" si="3"/>
        <v>0.9968253968</v>
      </c>
      <c r="N38" s="46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5.0" customHeight="1">
      <c r="A39" s="35">
        <v>35.0</v>
      </c>
      <c r="B39" s="52">
        <v>46120.0</v>
      </c>
      <c r="C39" s="29" t="s">
        <v>89</v>
      </c>
      <c r="D39" s="53" t="str">
        <f>IFERROR(VLOOKUP(C39,'Catálogo Productos'!$B$3:$E$200,2,0),"")</f>
        <v>Guitarra Clasica</v>
      </c>
      <c r="E39" s="54">
        <f>IFERROR(VLOOKUP(C39,'Catálogo Productos'!$B$3:$E$200,3,0),"")</f>
        <v>1.21</v>
      </c>
      <c r="F39" s="55">
        <f>IFERROR(VLOOKUP(C39,'Catálogo Productos'!$B$3:$E$200,4,0),"")</f>
        <v>5.49</v>
      </c>
      <c r="G39" s="56">
        <f>IF(F39="","",IF(I39="SÍ",F39*'Configuración'!$C$5,0))</f>
        <v>0.6039</v>
      </c>
      <c r="H39" s="42" t="s">
        <v>88</v>
      </c>
      <c r="I39" s="43" t="s">
        <v>88</v>
      </c>
      <c r="J39" s="18">
        <f>IF(F39="","",IF(H39="SÍ",'Configuración'!$C$6,0))</f>
        <v>1.3</v>
      </c>
      <c r="K39" s="56">
        <f t="shared" si="1"/>
        <v>3.5861</v>
      </c>
      <c r="L39" s="56">
        <f t="shared" si="2"/>
        <v>2.3761</v>
      </c>
      <c r="M39" s="57">
        <f t="shared" si="3"/>
        <v>0.6625860963</v>
      </c>
      <c r="N39" s="46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5.0" customHeight="1">
      <c r="A40" s="47">
        <v>36.0</v>
      </c>
      <c r="B40" s="52">
        <v>46120.0</v>
      </c>
      <c r="C40" s="29" t="s">
        <v>89</v>
      </c>
      <c r="D40" s="53" t="str">
        <f>IFERROR(VLOOKUP(C40,'Catálogo Productos'!$B$3:$E$200,2,0),"")</f>
        <v>Guitarra Clasica</v>
      </c>
      <c r="E40" s="54">
        <f>IFERROR(VLOOKUP(C40,'Catálogo Productos'!$B$3:$E$200,3,0),"")</f>
        <v>1.21</v>
      </c>
      <c r="F40" s="55">
        <f>IFERROR(VLOOKUP(C40,'Catálogo Productos'!$B$3:$E$200,4,0),"")</f>
        <v>5.49</v>
      </c>
      <c r="G40" s="58">
        <f>IF(F40="","",IF(I40="SÍ",F40*'Configuración'!$C$5,0))</f>
        <v>0.6039</v>
      </c>
      <c r="H40" s="42" t="s">
        <v>88</v>
      </c>
      <c r="I40" s="43" t="s">
        <v>88</v>
      </c>
      <c r="J40" s="18">
        <f>IF(F40="","",IF(H40="SÍ",'Configuración'!$C$6,0))</f>
        <v>1.3</v>
      </c>
      <c r="K40" s="58">
        <f t="shared" si="1"/>
        <v>3.5861</v>
      </c>
      <c r="L40" s="58">
        <f t="shared" si="2"/>
        <v>2.3761</v>
      </c>
      <c r="M40" s="59">
        <f t="shared" si="3"/>
        <v>0.6625860963</v>
      </c>
      <c r="N40" s="46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5.0" customHeight="1">
      <c r="A41" s="35">
        <v>37.0</v>
      </c>
      <c r="B41" s="52">
        <v>46120.0</v>
      </c>
      <c r="C41" s="29" t="s">
        <v>89</v>
      </c>
      <c r="D41" s="53" t="str">
        <f>IFERROR(VLOOKUP(C41,'Catálogo Productos'!$B$3:$E$200,2,0),"")</f>
        <v>Guitarra Clasica</v>
      </c>
      <c r="E41" s="54">
        <f>IFERROR(VLOOKUP(C41,'Catálogo Productos'!$B$3:$E$200,3,0),"")</f>
        <v>1.21</v>
      </c>
      <c r="F41" s="55">
        <f>IFERROR(VLOOKUP(C41,'Catálogo Productos'!$B$3:$E$200,4,0),"")</f>
        <v>5.49</v>
      </c>
      <c r="G41" s="56">
        <f>IF(F41="","",IF(I41="SÍ",F41*'Configuración'!$C$5,0))</f>
        <v>0.6039</v>
      </c>
      <c r="H41" s="42" t="s">
        <v>88</v>
      </c>
      <c r="I41" s="43" t="s">
        <v>88</v>
      </c>
      <c r="J41" s="18">
        <f>IF(F41="","",IF(H41="SÍ",'Configuración'!$C$6,0))</f>
        <v>1.3</v>
      </c>
      <c r="K41" s="56">
        <f t="shared" si="1"/>
        <v>3.5861</v>
      </c>
      <c r="L41" s="56">
        <f t="shared" si="2"/>
        <v>2.3761</v>
      </c>
      <c r="M41" s="57">
        <f t="shared" si="3"/>
        <v>0.6625860963</v>
      </c>
      <c r="N41" s="46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5.0" customHeight="1">
      <c r="A42" s="47">
        <v>38.0</v>
      </c>
      <c r="B42" s="52">
        <v>46120.0</v>
      </c>
      <c r="C42" s="29" t="s">
        <v>99</v>
      </c>
      <c r="D42" s="53" t="str">
        <f>IFERROR(VLOOKUP(C42,'Catálogo Productos'!$B$3:$E$200,2,0),"")</f>
        <v>Violin</v>
      </c>
      <c r="E42" s="54">
        <f>IFERROR(VLOOKUP(C42,'Catálogo Productos'!$B$3:$E$200,3,0),"")</f>
        <v>2.69</v>
      </c>
      <c r="F42" s="55">
        <f>IFERROR(VLOOKUP(C42,'Catálogo Productos'!$B$3:$E$200,4,0),"")</f>
        <v>11</v>
      </c>
      <c r="G42" s="58">
        <f>IF(F42="","",IF(I42="SÍ",F42*'Configuración'!$C$5,0))</f>
        <v>1.21</v>
      </c>
      <c r="H42" s="42" t="s">
        <v>88</v>
      </c>
      <c r="I42" s="43" t="s">
        <v>88</v>
      </c>
      <c r="J42" s="18">
        <f>IF(F42="","",IF(H42="SÍ",'Configuración'!$C$6,0))</f>
        <v>1.3</v>
      </c>
      <c r="K42" s="58">
        <f t="shared" si="1"/>
        <v>8.49</v>
      </c>
      <c r="L42" s="58">
        <f t="shared" si="2"/>
        <v>4.8</v>
      </c>
      <c r="M42" s="59">
        <f t="shared" si="3"/>
        <v>0.5653710247</v>
      </c>
      <c r="N42" s="60">
        <v>1.0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5.0" customHeight="1">
      <c r="A43" s="35">
        <v>39.0</v>
      </c>
      <c r="B43" s="52">
        <v>46121.0</v>
      </c>
      <c r="C43" s="29" t="s">
        <v>90</v>
      </c>
      <c r="D43" s="53" t="str">
        <f>IFERROR(VLOOKUP(C43,'Catálogo Productos'!$B$3:$E$200,2,0),"")</f>
        <v>Guitarra Electrica</v>
      </c>
      <c r="E43" s="54">
        <f>IFERROR(VLOOKUP(C43,'Catálogo Productos'!$B$3:$E$200,3,0),"")</f>
        <v>1.21</v>
      </c>
      <c r="F43" s="55">
        <f>IFERROR(VLOOKUP(C43,'Catálogo Productos'!$B$3:$E$200,4,0),"")</f>
        <v>5.49</v>
      </c>
      <c r="G43" s="56">
        <f>IF(F43="","",IF(I43="SÍ",F43*'Configuración'!$C$5,0))</f>
        <v>0.6039</v>
      </c>
      <c r="H43" s="42" t="s">
        <v>88</v>
      </c>
      <c r="I43" s="43" t="s">
        <v>88</v>
      </c>
      <c r="J43" s="18">
        <f>IF(F43="","",IF(H43="SÍ",'Configuración'!$C$6,0))</f>
        <v>1.3</v>
      </c>
      <c r="K43" s="56">
        <f t="shared" si="1"/>
        <v>3.5861</v>
      </c>
      <c r="L43" s="56">
        <f t="shared" si="2"/>
        <v>2.3761</v>
      </c>
      <c r="M43" s="57">
        <f t="shared" si="3"/>
        <v>0.6625860963</v>
      </c>
      <c r="N43" s="46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5.0" customHeight="1">
      <c r="A44" s="47">
        <v>40.0</v>
      </c>
      <c r="B44" s="52">
        <v>46121.0</v>
      </c>
      <c r="C44" s="29" t="s">
        <v>90</v>
      </c>
      <c r="D44" s="53" t="str">
        <f>IFERROR(VLOOKUP(C44,'Catálogo Productos'!$B$3:$E$200,2,0),"")</f>
        <v>Guitarra Electrica</v>
      </c>
      <c r="E44" s="54">
        <f>IFERROR(VLOOKUP(C44,'Catálogo Productos'!$B$3:$E$200,3,0),"")</f>
        <v>1.21</v>
      </c>
      <c r="F44" s="55">
        <f>IFERROR(VLOOKUP(C44,'Catálogo Productos'!$B$3:$E$200,4,0),"")</f>
        <v>5.49</v>
      </c>
      <c r="G44" s="58">
        <f>IF(F44="","",IF(I44="SÍ",F44*'Configuración'!$C$5,0))</f>
        <v>0.6039</v>
      </c>
      <c r="H44" s="42" t="s">
        <v>88</v>
      </c>
      <c r="I44" s="43" t="s">
        <v>88</v>
      </c>
      <c r="J44" s="18">
        <f>IF(F44="","",IF(H44="SÍ",'Configuración'!$C$6,0))</f>
        <v>1.3</v>
      </c>
      <c r="K44" s="58">
        <f t="shared" si="1"/>
        <v>3.5861</v>
      </c>
      <c r="L44" s="58">
        <f t="shared" si="2"/>
        <v>2.3761</v>
      </c>
      <c r="M44" s="59">
        <f t="shared" si="3"/>
        <v>0.6625860963</v>
      </c>
      <c r="N44" s="46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5.0" customHeight="1">
      <c r="A45" s="35">
        <v>41.0</v>
      </c>
      <c r="B45" s="52">
        <v>46121.0</v>
      </c>
      <c r="C45" s="29" t="s">
        <v>102</v>
      </c>
      <c r="D45" s="53" t="str">
        <f>IFERROR(VLOOKUP(C45,'Catálogo Productos'!$B$3:$E$200,2,0),"")</f>
        <v>Guitarra Acustica</v>
      </c>
      <c r="E45" s="54">
        <f>IFERROR(VLOOKUP(C45,'Catálogo Productos'!$B$3:$E$200,3,0),"")</f>
        <v>1.21</v>
      </c>
      <c r="F45" s="55">
        <f>IFERROR(VLOOKUP(C45,'Catálogo Productos'!$B$3:$E$200,4,0),"")</f>
        <v>5.49</v>
      </c>
      <c r="G45" s="56">
        <f>IF(F45="","",IF(I45="SÍ",F45*'Configuración'!$C$5,0))</f>
        <v>0.6039</v>
      </c>
      <c r="H45" s="42" t="s">
        <v>88</v>
      </c>
      <c r="I45" s="43" t="s">
        <v>88</v>
      </c>
      <c r="J45" s="18">
        <f>IF(F45="","",IF(H45="SÍ",'Configuración'!$C$6,0))</f>
        <v>1.3</v>
      </c>
      <c r="K45" s="56">
        <f t="shared" si="1"/>
        <v>3.5861</v>
      </c>
      <c r="L45" s="56">
        <f t="shared" si="2"/>
        <v>2.3761</v>
      </c>
      <c r="M45" s="57">
        <f t="shared" si="3"/>
        <v>0.6625860963</v>
      </c>
      <c r="N45" s="46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5.0" customHeight="1">
      <c r="A46" s="47">
        <v>42.0</v>
      </c>
      <c r="B46" s="52">
        <v>46121.0</v>
      </c>
      <c r="C46" s="29" t="s">
        <v>96</v>
      </c>
      <c r="D46" s="53" t="str">
        <f>IFERROR(VLOOKUP(C46,'Catálogo Productos'!$B$3:$E$200,2,0),"")</f>
        <v> Bajo Electrico</v>
      </c>
      <c r="E46" s="54">
        <f>IFERROR(VLOOKUP(C46,'Catálogo Productos'!$B$3:$E$200,3,0),"")</f>
        <v>3.03</v>
      </c>
      <c r="F46" s="55">
        <f>IFERROR(VLOOKUP(C46,'Catálogo Productos'!$B$3:$E$200,4,0),"")</f>
        <v>12.99</v>
      </c>
      <c r="G46" s="58">
        <f>IF(F46="","",IF(I46="SÍ",F46*'Configuración'!$C$5,0))</f>
        <v>1.4289</v>
      </c>
      <c r="H46" s="42" t="s">
        <v>88</v>
      </c>
      <c r="I46" s="43" t="s">
        <v>88</v>
      </c>
      <c r="J46" s="18">
        <f>IF(F46="","",IF(H46="SÍ",'Configuración'!$C$6,0))</f>
        <v>1.3</v>
      </c>
      <c r="K46" s="58">
        <f t="shared" si="1"/>
        <v>10.2611</v>
      </c>
      <c r="L46" s="58">
        <f t="shared" si="2"/>
        <v>7.2311</v>
      </c>
      <c r="M46" s="59">
        <f t="shared" si="3"/>
        <v>0.7047100213</v>
      </c>
      <c r="N46" s="46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5.0" customHeight="1">
      <c r="A47" s="35">
        <v>43.0</v>
      </c>
      <c r="B47" s="52">
        <v>46123.0</v>
      </c>
      <c r="C47" s="29" t="s">
        <v>90</v>
      </c>
      <c r="D47" s="53" t="str">
        <f>IFERROR(VLOOKUP(C47,'Catálogo Productos'!$B$3:$E$200,2,0),"")</f>
        <v>Guitarra Electrica</v>
      </c>
      <c r="E47" s="54">
        <f>IFERROR(VLOOKUP(C47,'Catálogo Productos'!$B$3:$E$200,3,0),"")</f>
        <v>1.21</v>
      </c>
      <c r="F47" s="55">
        <f>IFERROR(VLOOKUP(C47,'Catálogo Productos'!$B$3:$E$200,4,0),"")</f>
        <v>5.49</v>
      </c>
      <c r="G47" s="56">
        <f>IF(F47="","",IF(I47="SÍ",F47*'Configuración'!$C$5,0))</f>
        <v>0.6039</v>
      </c>
      <c r="H47" s="42" t="s">
        <v>91</v>
      </c>
      <c r="I47" s="43" t="s">
        <v>88</v>
      </c>
      <c r="J47" s="18">
        <f>IF(F47="","",IF(H47="SÍ",'Configuración'!$C$6,0))</f>
        <v>0</v>
      </c>
      <c r="K47" s="56">
        <f t="shared" si="1"/>
        <v>4.8861</v>
      </c>
      <c r="L47" s="56">
        <f t="shared" si="2"/>
        <v>3.6761</v>
      </c>
      <c r="M47" s="57">
        <f t="shared" si="3"/>
        <v>0.7523587319</v>
      </c>
      <c r="N47" s="46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5.0" customHeight="1">
      <c r="A48" s="47">
        <v>44.0</v>
      </c>
      <c r="B48" s="52">
        <v>46124.0</v>
      </c>
      <c r="C48" s="29" t="s">
        <v>89</v>
      </c>
      <c r="D48" s="53" t="str">
        <f>IFERROR(VLOOKUP(C48,'Catálogo Productos'!$B$3:$E$200,2,0),"")</f>
        <v>Guitarra Clasica</v>
      </c>
      <c r="E48" s="54">
        <f>IFERROR(VLOOKUP(C48,'Catálogo Productos'!$B$3:$E$200,3,0),"")</f>
        <v>1.21</v>
      </c>
      <c r="F48" s="55">
        <f>IFERROR(VLOOKUP(C48,'Catálogo Productos'!$B$3:$E$200,4,0),"")</f>
        <v>5.49</v>
      </c>
      <c r="G48" s="58">
        <f>IF(F48="","",IF(I48="SÍ",F48*'Configuración'!$C$5,0))</f>
        <v>0.6039</v>
      </c>
      <c r="H48" s="42" t="s">
        <v>88</v>
      </c>
      <c r="I48" s="43" t="s">
        <v>88</v>
      </c>
      <c r="J48" s="18">
        <f>IF(F48="","",IF(H48="SÍ",'Configuración'!$C$6,0))</f>
        <v>1.3</v>
      </c>
      <c r="K48" s="58">
        <f t="shared" si="1"/>
        <v>3.5861</v>
      </c>
      <c r="L48" s="58">
        <f t="shared" si="2"/>
        <v>2.3761</v>
      </c>
      <c r="M48" s="59">
        <f t="shared" si="3"/>
        <v>0.6625860963</v>
      </c>
      <c r="N48" s="46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5.0" customHeight="1">
      <c r="A49" s="35">
        <v>45.0</v>
      </c>
      <c r="B49" s="52">
        <v>46124.0</v>
      </c>
      <c r="C49" s="29" t="s">
        <v>89</v>
      </c>
      <c r="D49" s="53" t="str">
        <f>IFERROR(VLOOKUP(C49,'Catálogo Productos'!$B$3:$E$200,2,0),"")</f>
        <v>Guitarra Clasica</v>
      </c>
      <c r="E49" s="54">
        <f>IFERROR(VLOOKUP(C49,'Catálogo Productos'!$B$3:$E$200,3,0),"")</f>
        <v>1.21</v>
      </c>
      <c r="F49" s="55">
        <f>IFERROR(VLOOKUP(C49,'Catálogo Productos'!$B$3:$E$200,4,0),"")</f>
        <v>5.49</v>
      </c>
      <c r="G49" s="56">
        <f>IF(F49="","",IF(I49="SÍ",F49*'Configuración'!$C$5,0))</f>
        <v>0.6039</v>
      </c>
      <c r="H49" s="42" t="s">
        <v>88</v>
      </c>
      <c r="I49" s="43" t="s">
        <v>88</v>
      </c>
      <c r="J49" s="18">
        <f>IF(F49="","",IF(H49="SÍ",'Configuración'!$C$6,0))</f>
        <v>1.3</v>
      </c>
      <c r="K49" s="56">
        <f t="shared" si="1"/>
        <v>3.5861</v>
      </c>
      <c r="L49" s="56">
        <f t="shared" si="2"/>
        <v>2.3761</v>
      </c>
      <c r="M49" s="57">
        <f t="shared" si="3"/>
        <v>0.6625860963</v>
      </c>
      <c r="N49" s="46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5.0" customHeight="1">
      <c r="A50" s="47">
        <v>46.0</v>
      </c>
      <c r="B50" s="52">
        <v>46124.0</v>
      </c>
      <c r="C50" s="29" t="s">
        <v>93</v>
      </c>
      <c r="D50" s="53" t="str">
        <f>IFERROR(VLOOKUP(C50,'Catálogo Productos'!$B$3:$E$200,2,0),"")</f>
        <v>Bases, Stand, Atriles</v>
      </c>
      <c r="E50" s="54">
        <f>IFERROR(VLOOKUP(C50,'Catálogo Productos'!$B$3:$E$200,3,0),"")</f>
        <v>0.5</v>
      </c>
      <c r="F50" s="55">
        <f>IFERROR(VLOOKUP(C50,'Catálogo Productos'!$B$3:$E$200,4,0),"")</f>
        <v>4.99</v>
      </c>
      <c r="G50" s="58">
        <f>IF(F50="","",IF(I50="SÍ",F50*'Configuración'!$C$5,0))</f>
        <v>0.5489</v>
      </c>
      <c r="H50" s="42" t="s">
        <v>88</v>
      </c>
      <c r="I50" s="43" t="s">
        <v>88</v>
      </c>
      <c r="J50" s="18">
        <f>IF(F50="","",IF(H50="SÍ",'Configuración'!$C$6,0))</f>
        <v>1.3</v>
      </c>
      <c r="K50" s="58">
        <f t="shared" si="1"/>
        <v>3.1411</v>
      </c>
      <c r="L50" s="58">
        <f t="shared" si="2"/>
        <v>2.6411</v>
      </c>
      <c r="M50" s="59">
        <f t="shared" si="3"/>
        <v>0.8408200949</v>
      </c>
      <c r="N50" s="46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5.0" customHeight="1">
      <c r="A51" s="35">
        <v>47.0</v>
      </c>
      <c r="B51" s="52">
        <v>46125.0</v>
      </c>
      <c r="C51" s="29" t="s">
        <v>93</v>
      </c>
      <c r="D51" s="53" t="str">
        <f>IFERROR(VLOOKUP(C51,'Catálogo Productos'!$B$3:$E$200,2,0),"")</f>
        <v>Bases, Stand, Atriles</v>
      </c>
      <c r="E51" s="54">
        <f>IFERROR(VLOOKUP(C51,'Catálogo Productos'!$B$3:$E$200,3,0),"")</f>
        <v>0.5</v>
      </c>
      <c r="F51" s="55">
        <f>IFERROR(VLOOKUP(C51,'Catálogo Productos'!$B$3:$E$200,4,0),"")</f>
        <v>4.99</v>
      </c>
      <c r="G51" s="56">
        <f>IF(F51="","",IF(I51="SÍ",F51*'Configuración'!$C$5,0))</f>
        <v>0.5489</v>
      </c>
      <c r="H51" s="42" t="s">
        <v>88</v>
      </c>
      <c r="I51" s="43" t="s">
        <v>88</v>
      </c>
      <c r="J51" s="18">
        <f>IF(F51="","",IF(H51="SÍ",'Configuración'!$C$6,0))</f>
        <v>1.3</v>
      </c>
      <c r="K51" s="56">
        <f t="shared" si="1"/>
        <v>3.1411</v>
      </c>
      <c r="L51" s="56">
        <f t="shared" si="2"/>
        <v>2.6411</v>
      </c>
      <c r="M51" s="57">
        <f t="shared" si="3"/>
        <v>0.8408200949</v>
      </c>
      <c r="N51" s="46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5.0" customHeight="1">
      <c r="A52" s="47">
        <v>48.0</v>
      </c>
      <c r="B52" s="52">
        <v>46125.0</v>
      </c>
      <c r="C52" s="29" t="s">
        <v>103</v>
      </c>
      <c r="D52" s="53" t="str">
        <f>IFERROR(VLOOKUP(C52,'Catálogo Productos'!$B$3:$E$200,2,0),"")</f>
        <v>Correas</v>
      </c>
      <c r="E52" s="54">
        <f>IFERROR(VLOOKUP(C52,'Catálogo Productos'!$B$3:$E$200,3,0),"")</f>
        <v>0.2</v>
      </c>
      <c r="F52" s="55">
        <f>IFERROR(VLOOKUP(C52,'Catálogo Productos'!$B$3:$E$200,4,0),"")</f>
        <v>5.49</v>
      </c>
      <c r="G52" s="58">
        <f>IF(F52="","",IF(I52="SÍ",F52*'Configuración'!$C$5,0))</f>
        <v>0.6039</v>
      </c>
      <c r="H52" s="58" t="s">
        <v>88</v>
      </c>
      <c r="I52" s="61" t="s">
        <v>88</v>
      </c>
      <c r="J52" s="18">
        <f>IF(F52="","",IF(H52="SÍ",'Configuración'!$C$6,0))</f>
        <v>1.3</v>
      </c>
      <c r="K52" s="58">
        <f t="shared" si="1"/>
        <v>3.5861</v>
      </c>
      <c r="L52" s="58">
        <f t="shared" si="2"/>
        <v>3.3861</v>
      </c>
      <c r="M52" s="59">
        <f t="shared" si="3"/>
        <v>0.9442291068</v>
      </c>
      <c r="N52" s="46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5.0" customHeight="1">
      <c r="A53" s="35">
        <v>49.0</v>
      </c>
      <c r="B53" s="52">
        <v>46125.0</v>
      </c>
      <c r="C53" s="29" t="s">
        <v>104</v>
      </c>
      <c r="D53" s="53" t="str">
        <f>IFERROR(VLOOKUP(C53,'Catálogo Productos'!$B$3:$E$200,2,0),"")</f>
        <v>Guitarra Clasica</v>
      </c>
      <c r="E53" s="54">
        <f>IFERROR(VLOOKUP(C53,'Catálogo Productos'!$B$3:$E$200,3,0),"")</f>
        <v>2.5</v>
      </c>
      <c r="F53" s="55">
        <f>IFERROR(VLOOKUP(C53,'Catálogo Productos'!$B$3:$E$200,4,0),"") - 3</f>
        <v>9.99</v>
      </c>
      <c r="G53" s="56">
        <f>IF(F53="","",IF(I53="SÍ",F53*'Configuración'!$C$5,0))</f>
        <v>1.0989</v>
      </c>
      <c r="H53" s="56" t="s">
        <v>88</v>
      </c>
      <c r="I53" s="61" t="s">
        <v>88</v>
      </c>
      <c r="J53" s="18">
        <f>IF(F53="","",IF(H53="SÍ",'Configuración'!$C$6,0))</f>
        <v>1.3</v>
      </c>
      <c r="K53" s="56">
        <f t="shared" si="1"/>
        <v>7.5911</v>
      </c>
      <c r="L53" s="56">
        <f t="shared" si="2"/>
        <v>5.0911</v>
      </c>
      <c r="M53" s="57">
        <f t="shared" si="3"/>
        <v>0.6706669653</v>
      </c>
      <c r="N53" s="46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5.0" customHeight="1">
      <c r="A54" s="47">
        <v>50.0</v>
      </c>
      <c r="B54" s="52">
        <v>46125.0</v>
      </c>
      <c r="C54" s="62" t="s">
        <v>92</v>
      </c>
      <c r="D54" s="53" t="str">
        <f>IFERROR(VLOOKUP(C54,'Catálogo Productos'!$B$3:$E$200,2,0),"")</f>
        <v>Cables</v>
      </c>
      <c r="E54" s="54">
        <f>IFERROR(VLOOKUP(C54,'Catálogo Productos'!$B$3:$E$200,3,0),"")</f>
        <v>1.91</v>
      </c>
      <c r="F54" s="55">
        <f>IFERROR(VLOOKUP(C54,'Catálogo Productos'!$B$3:$E$200,4,0),"")</f>
        <v>10</v>
      </c>
      <c r="G54" s="58">
        <f>IF(F54="","",IF(I54="SÍ",F54*'Configuración'!$C$5,0))</f>
        <v>1.1</v>
      </c>
      <c r="H54" s="63" t="s">
        <v>88</v>
      </c>
      <c r="I54" s="64" t="s">
        <v>88</v>
      </c>
      <c r="J54" s="18">
        <f>IF(F54="","",IF(H54="SÍ",'Configuración'!$C$6,0))</f>
        <v>1.3</v>
      </c>
      <c r="K54" s="58">
        <f t="shared" si="1"/>
        <v>7.6</v>
      </c>
      <c r="L54" s="58">
        <f t="shared" si="2"/>
        <v>5.69</v>
      </c>
      <c r="M54" s="59">
        <f t="shared" si="3"/>
        <v>0.7486842105</v>
      </c>
      <c r="N54" s="46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5.0" customHeight="1">
      <c r="A55" s="47">
        <v>51.0</v>
      </c>
      <c r="B55" s="52">
        <v>46125.0</v>
      </c>
      <c r="C55" s="62" t="s">
        <v>105</v>
      </c>
      <c r="D55" s="53" t="str">
        <f>IFERROR(VLOOKUP(C55,'Catálogo Productos'!$B$3:$E$200,2,0),"")</f>
        <v>Guitarra Clasica</v>
      </c>
      <c r="E55" s="54">
        <f>IFERROR(VLOOKUP(C55,'Catálogo Productos'!$B$3:$E$200,3,0),"")</f>
        <v>0.01</v>
      </c>
      <c r="F55" s="55">
        <f>IFERROR(VLOOKUP(C55,'Catálogo Productos'!$B$3:$E$200,4,0),"")</f>
        <v>5</v>
      </c>
      <c r="G55" s="58">
        <f>IF(F55="","",IF(I55="SÍ",F55*'Configuración'!$C$5,0))</f>
        <v>0</v>
      </c>
      <c r="H55" s="63" t="s">
        <v>91</v>
      </c>
      <c r="I55" s="64" t="s">
        <v>98</v>
      </c>
      <c r="J55" s="18">
        <f>IF(F55="","",IF(H55="SÍ",'Configuración'!$C$6,0))</f>
        <v>0</v>
      </c>
      <c r="K55" s="58">
        <f t="shared" si="1"/>
        <v>5</v>
      </c>
      <c r="L55" s="58">
        <f t="shared" si="2"/>
        <v>4.99</v>
      </c>
      <c r="M55" s="59">
        <f t="shared" si="3"/>
        <v>0.998</v>
      </c>
      <c r="N55" s="46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5.0" customHeight="1">
      <c r="A56" s="65">
        <v>52.0</v>
      </c>
      <c r="B56" s="52">
        <v>46125.0</v>
      </c>
      <c r="C56" s="66" t="s">
        <v>93</v>
      </c>
      <c r="D56" s="67" t="str">
        <f>IFERROR(VLOOKUP(C56,'Catálogo Productos'!$B$3:$E$200,2,0),"")</f>
        <v>Bases, Stand, Atriles</v>
      </c>
      <c r="E56" s="68">
        <f>IFERROR(VLOOKUP(C56,'Catálogo Productos'!$B$3:$E$200,3,0),"")</f>
        <v>0.5</v>
      </c>
      <c r="F56" s="69">
        <f>IFERROR(VLOOKUP(C56,'Catálogo Productos'!$B$3:$E$200,4,0),"")</f>
        <v>4.99</v>
      </c>
      <c r="G56" s="70">
        <f>IF(F56="","",IF(I56="SÍ",F56*'Configuración'!$C$5,0))</f>
        <v>0.5489</v>
      </c>
      <c r="H56" s="70" t="s">
        <v>88</v>
      </c>
      <c r="I56" s="71" t="s">
        <v>88</v>
      </c>
      <c r="J56" s="72">
        <f>IF(F56="","",IF(H56="SÍ",'Configuración'!$C$6,0))</f>
        <v>1.3</v>
      </c>
      <c r="K56" s="70">
        <f t="shared" si="1"/>
        <v>3.1411</v>
      </c>
      <c r="L56" s="70">
        <f>IF(F56="","",K56-E56-IF(N56="",0,N56))</f>
        <v>2.6411</v>
      </c>
      <c r="M56" s="73">
        <f>IF(F56="","",IF(K56=0,0,L56/K56))</f>
        <v>0.8408200949</v>
      </c>
      <c r="N56" s="46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5.0" customHeight="1">
      <c r="A57" s="65">
        <v>53.0</v>
      </c>
      <c r="B57" s="52">
        <v>46125.0</v>
      </c>
      <c r="C57" s="29" t="s">
        <v>96</v>
      </c>
      <c r="D57" s="53" t="str">
        <f>IFERROR(VLOOKUP(C57,'Catálogo Productos'!$B$3:$E$200,2,0),"")</f>
        <v> Bajo Electrico</v>
      </c>
      <c r="E57" s="54">
        <f>IFERROR(VLOOKUP(C57,'Catálogo Productos'!$B$3:$E$200,3,0),"")</f>
        <v>3.03</v>
      </c>
      <c r="F57" s="55">
        <f>IFERROR(VLOOKUP(C57,'Catálogo Productos'!$B$3:$E$200,4,0),"")</f>
        <v>12.99</v>
      </c>
      <c r="G57" s="56">
        <f>IF(F57="","",IF(I57="SÍ",F57*'Configuración'!$C$5,0))</f>
        <v>1.4289</v>
      </c>
      <c r="H57" s="42" t="s">
        <v>88</v>
      </c>
      <c r="I57" s="43" t="s">
        <v>88</v>
      </c>
      <c r="J57" s="18">
        <f>IF(F57="","",IF(H57="SÍ",'Configuración'!$C$6,0))</f>
        <v>1.3</v>
      </c>
      <c r="K57" s="56">
        <f t="shared" si="1"/>
        <v>10.2611</v>
      </c>
      <c r="L57" s="56">
        <f>IF(F57="","",K57-E57-IF(N57="",0,N57))</f>
        <v>7.2311</v>
      </c>
      <c r="M57" s="57">
        <f>IF(F57="","",IF(K57=0,0,L57/K57))</f>
        <v>0.7047100213</v>
      </c>
      <c r="N57" s="46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5.0" customHeight="1">
      <c r="A58" s="65">
        <v>54.0</v>
      </c>
      <c r="B58" s="74">
        <v>46126.0</v>
      </c>
      <c r="C58" s="66" t="s">
        <v>93</v>
      </c>
      <c r="D58" s="67" t="str">
        <f>IFERROR(VLOOKUP(C58,'Catálogo Productos'!$B$3:$E$200,2,0),"")</f>
        <v>Bases, Stand, Atriles</v>
      </c>
      <c r="E58" s="68">
        <f>IFERROR(VLOOKUP(C58,'Catálogo Productos'!$B$3:$E$200,3,0),"")</f>
        <v>0.5</v>
      </c>
      <c r="F58" s="69">
        <f>IFERROR(VLOOKUP(C58,'Catálogo Productos'!$B$3:$E$200,4,0),"")</f>
        <v>4.99</v>
      </c>
      <c r="G58" s="70">
        <f>IF(F58="","",IF(I58="SÍ",F58*'Configuración'!$C$5,0))</f>
        <v>0.5489</v>
      </c>
      <c r="H58" s="70" t="s">
        <v>88</v>
      </c>
      <c r="I58" s="71" t="s">
        <v>88</v>
      </c>
      <c r="J58" s="72">
        <f>IF(F58="","",IF(H58="SÍ",'Configuración'!$C$6,0))</f>
        <v>1.3</v>
      </c>
      <c r="K58" s="70">
        <f t="shared" si="1"/>
        <v>3.1411</v>
      </c>
      <c r="L58" s="70">
        <f t="shared" ref="L58:L61" si="4">IF(F58="","",K58-E58-IF(N58="",0,N58))</f>
        <v>2.6411</v>
      </c>
      <c r="M58" s="73">
        <f t="shared" ref="M58:M61" si="5">IF(F58="","",IF(K58=0,0,L58/K58))</f>
        <v>0.8408200949</v>
      </c>
      <c r="N58" s="46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5.0" customHeight="1">
      <c r="A59" s="65">
        <v>55.0</v>
      </c>
      <c r="B59" s="74">
        <v>46126.0</v>
      </c>
      <c r="C59" s="66" t="s">
        <v>93</v>
      </c>
      <c r="D59" s="67" t="str">
        <f>IFERROR(VLOOKUP(C59,'Catálogo Productos'!$B$3:$E$200,2,0),"")</f>
        <v>Bases, Stand, Atriles</v>
      </c>
      <c r="E59" s="68">
        <f>IFERROR(VLOOKUP(C59,'Catálogo Productos'!$B$3:$E$200,3,0),"")</f>
        <v>0.5</v>
      </c>
      <c r="F59" s="69">
        <f>IFERROR(VLOOKUP(C59,'Catálogo Productos'!$B$3:$E$200,4,0),"")</f>
        <v>4.99</v>
      </c>
      <c r="G59" s="70">
        <f>IF(F59="","",IF(I59="SÍ",F59*'Configuración'!$C$5,0))</f>
        <v>0</v>
      </c>
      <c r="H59" s="75" t="s">
        <v>91</v>
      </c>
      <c r="I59" s="76" t="s">
        <v>98</v>
      </c>
      <c r="J59" s="72">
        <f>IF(F59="","",IF(H59="SÍ",'Configuración'!$C$6,0))</f>
        <v>0</v>
      </c>
      <c r="K59" s="70">
        <f t="shared" si="1"/>
        <v>4.99</v>
      </c>
      <c r="L59" s="70">
        <f t="shared" si="4"/>
        <v>4.49</v>
      </c>
      <c r="M59" s="73">
        <f t="shared" si="5"/>
        <v>0.8997995992</v>
      </c>
      <c r="N59" s="46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5.0" customHeight="1">
      <c r="A60" s="65">
        <v>56.0</v>
      </c>
      <c r="B60" s="74">
        <v>46126.0</v>
      </c>
      <c r="C60" s="77" t="s">
        <v>94</v>
      </c>
      <c r="D60" s="53" t="str">
        <f>IFERROR(VLOOKUP(C60,'Catálogo Productos'!$B$3:$E$200,2,0),"")</f>
        <v>Capostraste</v>
      </c>
      <c r="E60" s="68">
        <f>IFERROR(VLOOKUP(C60,'Catálogo Productos'!$B$3:$E$200,3,0),"")</f>
        <v>0.65</v>
      </c>
      <c r="F60" s="69">
        <f>IFERROR(VLOOKUP(C60,'Catálogo Productos'!$B$3:$E$200,4,0),"")</f>
        <v>6.99</v>
      </c>
      <c r="G60" s="78">
        <f>IF(F60="","",IF(I60="SÍ",F60*'Configuración'!$C$5,0))</f>
        <v>0.7689</v>
      </c>
      <c r="H60" s="42" t="s">
        <v>88</v>
      </c>
      <c r="I60" s="42" t="s">
        <v>88</v>
      </c>
      <c r="J60" s="72">
        <f>IF(F60="","",IF(H60="SÍ",'Configuración'!$C$6,0))</f>
        <v>1.3</v>
      </c>
      <c r="K60" s="78">
        <f t="shared" si="1"/>
        <v>4.9211</v>
      </c>
      <c r="L60" s="78">
        <f t="shared" si="4"/>
        <v>4.2711</v>
      </c>
      <c r="M60" s="79">
        <f t="shared" si="5"/>
        <v>0.8679157099</v>
      </c>
      <c r="N60" s="57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5.0" customHeight="1">
      <c r="A61" s="65">
        <v>57.0</v>
      </c>
      <c r="B61" s="74">
        <v>46126.0</v>
      </c>
      <c r="C61" s="77" t="s">
        <v>94</v>
      </c>
      <c r="D61" s="53" t="str">
        <f>IFERROR(VLOOKUP(C61,'Catálogo Productos'!$B$3:$E$200,2,0),"")</f>
        <v>Capostraste</v>
      </c>
      <c r="E61" s="68">
        <f>IFERROR(VLOOKUP(C61,'Catálogo Productos'!$B$3:$E$200,3,0),"")</f>
        <v>0.65</v>
      </c>
      <c r="F61" s="69">
        <f>IFERROR(VLOOKUP(C61,'Catálogo Productos'!$B$3:$E$200,4,0),"")</f>
        <v>6.99</v>
      </c>
      <c r="G61" s="78">
        <f>IF(F61="","",IF(I61="SÍ",F61*'Configuración'!$C$5,0))</f>
        <v>0</v>
      </c>
      <c r="H61" s="80" t="s">
        <v>91</v>
      </c>
      <c r="I61" s="80" t="s">
        <v>98</v>
      </c>
      <c r="J61" s="72">
        <f>IF(F61="","",IF(H61="SÍ",'Configuración'!$C$6,0))</f>
        <v>0</v>
      </c>
      <c r="K61" s="78">
        <f t="shared" si="1"/>
        <v>6.99</v>
      </c>
      <c r="L61" s="78">
        <f t="shared" si="4"/>
        <v>6.34</v>
      </c>
      <c r="M61" s="79">
        <f t="shared" si="5"/>
        <v>0.9070100143</v>
      </c>
      <c r="N61" s="46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5.0" customHeight="1">
      <c r="A62" s="65">
        <v>58.0</v>
      </c>
      <c r="B62" s="74">
        <v>46126.0</v>
      </c>
      <c r="C62" s="29" t="s">
        <v>104</v>
      </c>
      <c r="D62" s="53" t="str">
        <f>IFERROR(VLOOKUP(C62,'Catálogo Productos'!$B$3:$E$200,2,0),"")</f>
        <v>Guitarra Clasica</v>
      </c>
      <c r="E62" s="54">
        <f>IFERROR(VLOOKUP(C62,'Catálogo Productos'!$B$3:$E$200,3,0),"")</f>
        <v>2.5</v>
      </c>
      <c r="F62" s="55">
        <f>IFERROR(VLOOKUP(C62,'Catálogo Productos'!$B$3:$E$200,4,0),"") - 3</f>
        <v>9.99</v>
      </c>
      <c r="G62" s="56">
        <f>IF(F62="","",IF(I62="SÍ",F62*'Configuración'!$C$5,0))</f>
        <v>0</v>
      </c>
      <c r="H62" s="81" t="s">
        <v>91</v>
      </c>
      <c r="I62" s="64" t="s">
        <v>98</v>
      </c>
      <c r="J62" s="18">
        <f>IF(F62="","",IF(H62="SÍ",'Configuración'!$C$6,0))</f>
        <v>0</v>
      </c>
      <c r="K62" s="56">
        <f t="shared" si="1"/>
        <v>9.99</v>
      </c>
      <c r="L62" s="56">
        <f t="shared" ref="L62:L70" si="6">IF(F62="","",K62-E62-IF(N62="",0,N62))</f>
        <v>7.49</v>
      </c>
      <c r="M62" s="57">
        <f t="shared" ref="M62:M70" si="7">IF(F62="","",IF(K62=0,0,L62/K62))</f>
        <v>0.7497497497</v>
      </c>
      <c r="N62" s="46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5.0" customHeight="1">
      <c r="A63" s="65">
        <v>59.0</v>
      </c>
      <c r="B63" s="74">
        <v>46126.0</v>
      </c>
      <c r="C63" s="48" t="s">
        <v>89</v>
      </c>
      <c r="D63" s="38" t="str">
        <f>IFERROR(VLOOKUP(C63,'Catálogo Productos'!$B$3:$E$200,2,0),"")</f>
        <v>Guitarra Clasica</v>
      </c>
      <c r="E63" s="39">
        <f>IFERROR(VLOOKUP(C63,'Catálogo Productos'!$B$3:$E$200,3,0),"")</f>
        <v>1.21</v>
      </c>
      <c r="F63" s="40">
        <f>IFERROR(VLOOKUP(C63,'Catálogo Productos'!$B$3:$E$200,4,0),"")</f>
        <v>5.49</v>
      </c>
      <c r="G63" s="49">
        <f>IF(F63="","",IF(I63="SÍ",F63*'Configuración'!$C$5,0))</f>
        <v>0.6039</v>
      </c>
      <c r="H63" s="50" t="s">
        <v>88</v>
      </c>
      <c r="I63" s="43" t="s">
        <v>88</v>
      </c>
      <c r="J63" s="44">
        <f>IF(F63="","",IF(H63="SÍ",'Configuración'!$C$6,0))</f>
        <v>1.3</v>
      </c>
      <c r="K63" s="49">
        <f t="shared" si="1"/>
        <v>3.5861</v>
      </c>
      <c r="L63" s="49">
        <f t="shared" si="6"/>
        <v>2.3761</v>
      </c>
      <c r="M63" s="51">
        <f t="shared" si="7"/>
        <v>0.6625860963</v>
      </c>
      <c r="N63" s="46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5.0" customHeight="1">
      <c r="A64" s="65">
        <v>60.0</v>
      </c>
      <c r="B64" s="74">
        <v>46126.0</v>
      </c>
      <c r="C64" s="62" t="s">
        <v>105</v>
      </c>
      <c r="D64" s="53" t="str">
        <f>IFERROR(VLOOKUP(C64,'Catálogo Productos'!$B$3:$E$200,2,0),"")</f>
        <v>Guitarra Clasica</v>
      </c>
      <c r="E64" s="54">
        <f>IFERROR(VLOOKUP(C64,'Catálogo Productos'!$B$3:$E$200,3,0),"")</f>
        <v>0.01</v>
      </c>
      <c r="F64" s="55">
        <f>IFERROR(VLOOKUP(C64,'Catálogo Productos'!$B$3:$E$200,4,0),"")</f>
        <v>5</v>
      </c>
      <c r="G64" s="58">
        <f>IF(F64="","",IF(I64="SÍ",F64*'Configuración'!$C$5,0))</f>
        <v>0.55</v>
      </c>
      <c r="H64" s="63" t="s">
        <v>88</v>
      </c>
      <c r="I64" s="64" t="s">
        <v>88</v>
      </c>
      <c r="J64" s="18">
        <f>IF(F64="","",IF(H64="SÍ",'Configuración'!$C$6,0))</f>
        <v>1.3</v>
      </c>
      <c r="K64" s="58">
        <f t="shared" si="1"/>
        <v>3.15</v>
      </c>
      <c r="L64" s="58">
        <f t="shared" si="6"/>
        <v>3.14</v>
      </c>
      <c r="M64" s="59">
        <f t="shared" si="7"/>
        <v>0.9968253968</v>
      </c>
      <c r="N64" s="46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5.0" customHeight="1">
      <c r="A65" s="65">
        <v>61.0</v>
      </c>
      <c r="B65" s="74">
        <v>46126.0</v>
      </c>
      <c r="C65" s="48" t="s">
        <v>89</v>
      </c>
      <c r="D65" s="38" t="str">
        <f>IFERROR(VLOOKUP(C65,'Catálogo Productos'!$B$3:$E$200,2,0),"")</f>
        <v>Guitarra Clasica</v>
      </c>
      <c r="E65" s="39">
        <f>IFERROR(VLOOKUP(C65,'Catálogo Productos'!$B$3:$E$200,3,0),"")</f>
        <v>1.21</v>
      </c>
      <c r="F65" s="40">
        <f>IFERROR(VLOOKUP(C65,'Catálogo Productos'!$B$3:$E$200,4,0),"")</f>
        <v>5.49</v>
      </c>
      <c r="G65" s="49">
        <f>IF(F65="","",IF(I65="SÍ",F65*'Configuración'!$C$5,0))</f>
        <v>0.6039</v>
      </c>
      <c r="H65" s="50" t="s">
        <v>88</v>
      </c>
      <c r="I65" s="43" t="s">
        <v>88</v>
      </c>
      <c r="J65" s="44">
        <f>IF(F65="","",IF(H65="SÍ",'Configuración'!$C$6,0))</f>
        <v>1.3</v>
      </c>
      <c r="K65" s="49">
        <f t="shared" si="1"/>
        <v>3.5861</v>
      </c>
      <c r="L65" s="49">
        <f t="shared" si="6"/>
        <v>2.3761</v>
      </c>
      <c r="M65" s="51">
        <f t="shared" si="7"/>
        <v>0.6625860963</v>
      </c>
      <c r="N65" s="46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5.0" customHeight="1">
      <c r="A66" s="65">
        <v>62.0</v>
      </c>
      <c r="B66" s="74">
        <v>46126.0</v>
      </c>
      <c r="C66" s="29" t="s">
        <v>104</v>
      </c>
      <c r="D66" s="53" t="str">
        <f>IFERROR(VLOOKUP(C66,'Catálogo Productos'!$B$3:$E$200,2,0),"")</f>
        <v>Guitarra Clasica</v>
      </c>
      <c r="E66" s="54">
        <f>IFERROR(VLOOKUP(C66,'Catálogo Productos'!$B$3:$E$200,3,0),"")</f>
        <v>2.5</v>
      </c>
      <c r="F66" s="55">
        <f>IFERROR(VLOOKUP(C66,'Catálogo Productos'!$B$3:$E$200,4,0),"")</f>
        <v>12.99</v>
      </c>
      <c r="G66" s="56">
        <f>IF(F66="","",IF(I66="SÍ",F66*'Configuración'!$C$5,0))</f>
        <v>0</v>
      </c>
      <c r="H66" s="81" t="s">
        <v>91</v>
      </c>
      <c r="I66" s="64" t="s">
        <v>98</v>
      </c>
      <c r="J66" s="18">
        <f>IF(F66="","",IF(H66="SÍ",'Configuración'!$C$6,0))</f>
        <v>0</v>
      </c>
      <c r="K66" s="56">
        <f t="shared" si="1"/>
        <v>12.99</v>
      </c>
      <c r="L66" s="56">
        <f t="shared" si="6"/>
        <v>10.49</v>
      </c>
      <c r="M66" s="57">
        <f t="shared" si="7"/>
        <v>0.8075442648</v>
      </c>
      <c r="N66" s="46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5.0" customHeight="1">
      <c r="A67" s="65">
        <v>63.0</v>
      </c>
      <c r="B67" s="74">
        <v>46127.0</v>
      </c>
      <c r="C67" s="62" t="s">
        <v>95</v>
      </c>
      <c r="D67" s="53" t="str">
        <f>IFERROR(VLOOKUP(C67,'Catálogo Productos'!$B$3:$E$200,2,0),"")</f>
        <v>Guitarra Electrica</v>
      </c>
      <c r="E67" s="54">
        <f>IFERROR(VLOOKUP(C67,'Catálogo Productos'!$B$3:$E$200,3,0),"")</f>
        <v>1.21</v>
      </c>
      <c r="F67" s="55">
        <f>IFERROR(VLOOKUP(C67,'Catálogo Productos'!$B$3:$E$200,4,0),"")</f>
        <v>5.49</v>
      </c>
      <c r="G67" s="56">
        <f>IF(F67="","",IF(I67="SÍ",F67*'Configuración'!$C$5,0))</f>
        <v>0.6039</v>
      </c>
      <c r="H67" s="42" t="s">
        <v>91</v>
      </c>
      <c r="I67" s="43" t="s">
        <v>88</v>
      </c>
      <c r="J67" s="18">
        <f>IF(F67="","",IF(H67="SÍ",'Configuración'!$C$6,0))</f>
        <v>0</v>
      </c>
      <c r="K67" s="56">
        <f t="shared" si="1"/>
        <v>4.8861</v>
      </c>
      <c r="L67" s="56">
        <f t="shared" si="6"/>
        <v>3.6761</v>
      </c>
      <c r="M67" s="57">
        <f t="shared" si="7"/>
        <v>0.7523587319</v>
      </c>
      <c r="N67" s="46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5.0" customHeight="1">
      <c r="A68" s="65">
        <v>64.0</v>
      </c>
      <c r="B68" s="74">
        <v>46128.0</v>
      </c>
      <c r="C68" s="62" t="s">
        <v>96</v>
      </c>
      <c r="D68" s="53" t="str">
        <f>IFERROR(VLOOKUP(C68,'Catálogo Productos'!$B$3:$E$200,2,0),"")</f>
        <v> Bajo Electrico</v>
      </c>
      <c r="E68" s="54">
        <f>IFERROR(VLOOKUP(C68,'Catálogo Productos'!$B$3:$E$200,3,0),"")</f>
        <v>3.03</v>
      </c>
      <c r="F68" s="55">
        <f>IFERROR(VLOOKUP(C68,'Catálogo Productos'!$B$3:$E$200,4,0),"")</f>
        <v>12.99</v>
      </c>
      <c r="G68" s="56">
        <f>IF(F68="","",IF(I68="SÍ",F68*'Configuración'!$C$5,0))</f>
        <v>1.4289</v>
      </c>
      <c r="H68" s="42" t="s">
        <v>88</v>
      </c>
      <c r="I68" s="43" t="s">
        <v>88</v>
      </c>
      <c r="J68" s="18">
        <f>IF(F68="","",IF(H68="SÍ",'Configuración'!$C$6,0))</f>
        <v>1.3</v>
      </c>
      <c r="K68" s="56">
        <f t="shared" si="1"/>
        <v>10.2611</v>
      </c>
      <c r="L68" s="56">
        <f t="shared" si="6"/>
        <v>7.2311</v>
      </c>
      <c r="M68" s="57">
        <f t="shared" si="7"/>
        <v>0.7047100213</v>
      </c>
      <c r="N68" s="46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5.0" customHeight="1">
      <c r="A69" s="65">
        <v>65.0</v>
      </c>
      <c r="B69" s="74">
        <v>46128.0</v>
      </c>
      <c r="C69" s="29" t="s">
        <v>89</v>
      </c>
      <c r="D69" s="53" t="str">
        <f>IFERROR(VLOOKUP(C69,'Catálogo Productos'!$B$3:$E$200,2,0),"")</f>
        <v>Guitarra Clasica</v>
      </c>
      <c r="E69" s="54">
        <f>IFERROR(VLOOKUP(C69,'Catálogo Productos'!$B$3:$E$200,3,0),"")</f>
        <v>1.21</v>
      </c>
      <c r="F69" s="55">
        <f>IFERROR(VLOOKUP(C69,'Catálogo Productos'!$B$3:$E$200,4,0),"") + 14.5</f>
        <v>19.99</v>
      </c>
      <c r="G69" s="56">
        <f>IF(F69="","",IF(I69="SÍ",F69*'Configuración'!$C$5,0))</f>
        <v>0</v>
      </c>
      <c r="H69" s="80" t="s">
        <v>91</v>
      </c>
      <c r="I69" s="82" t="s">
        <v>98</v>
      </c>
      <c r="J69" s="18">
        <f>IF(F69="","",IF(H69="SÍ",'Configuración'!$C$6,0))</f>
        <v>0</v>
      </c>
      <c r="K69" s="56">
        <f t="shared" si="1"/>
        <v>19.99</v>
      </c>
      <c r="L69" s="56">
        <f t="shared" si="6"/>
        <v>18.78</v>
      </c>
      <c r="M69" s="57">
        <f t="shared" si="7"/>
        <v>0.9394697349</v>
      </c>
      <c r="N69" s="46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5.0" customHeight="1">
      <c r="A70" s="65">
        <v>66.0</v>
      </c>
      <c r="B70" s="74">
        <v>46128.0</v>
      </c>
      <c r="C70" s="29" t="s">
        <v>89</v>
      </c>
      <c r="D70" s="53" t="str">
        <f>IFERROR(VLOOKUP(C70,'Catálogo Productos'!$B$3:$E$200,2,0),"")</f>
        <v>Guitarra Clasica</v>
      </c>
      <c r="E70" s="54">
        <f>IFERROR(VLOOKUP(C70,'Catálogo Productos'!$B$3:$E$200,3,0),"")</f>
        <v>1.21</v>
      </c>
      <c r="F70" s="55">
        <f>IFERROR(VLOOKUP(C70,'Catálogo Productos'!$B$3:$E$200,4,0),"")</f>
        <v>5.49</v>
      </c>
      <c r="G70" s="56">
        <f>IF(F70="","",IF(I70="SÍ",F70*'Configuración'!$C$5,0))</f>
        <v>0.6039</v>
      </c>
      <c r="H70" s="42" t="s">
        <v>88</v>
      </c>
      <c r="I70" s="43" t="s">
        <v>88</v>
      </c>
      <c r="J70" s="18">
        <f>IF(F70="","",IF(H70="SÍ",'Configuración'!$C$6,0))</f>
        <v>1.3</v>
      </c>
      <c r="K70" s="56">
        <f t="shared" si="1"/>
        <v>3.5861</v>
      </c>
      <c r="L70" s="56">
        <f t="shared" si="6"/>
        <v>2.3761</v>
      </c>
      <c r="M70" s="57">
        <f t="shared" si="7"/>
        <v>0.6625860963</v>
      </c>
      <c r="N70" s="46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5.0" customHeight="1">
      <c r="A71" s="65">
        <v>67.0</v>
      </c>
      <c r="B71" s="83">
        <v>46128.0</v>
      </c>
      <c r="C71" s="84" t="s">
        <v>96</v>
      </c>
      <c r="D71" s="67" t="str">
        <f>IFERROR(VLOOKUP(C71,'Catálogo Productos'!$B$3:$E$200,2,0),"")</f>
        <v> Bajo Electrico</v>
      </c>
      <c r="E71" s="68">
        <f>IFERROR(VLOOKUP(C71,'Catálogo Productos'!$B$3:$E$200,3,0),"")</f>
        <v>3.03</v>
      </c>
      <c r="F71" s="69">
        <f>IFERROR(VLOOKUP(C71,'Catálogo Productos'!$B$3:$E$200,4,0),"")</f>
        <v>12.99</v>
      </c>
      <c r="G71" s="78">
        <f>IF(F71="","",IF(I71="SÍ",F71*'Configuración'!$C$5,0))</f>
        <v>1.4289</v>
      </c>
      <c r="H71" s="42" t="s">
        <v>88</v>
      </c>
      <c r="I71" s="43" t="s">
        <v>88</v>
      </c>
      <c r="J71" s="72">
        <f>IF(F71="","",IF(H71="SÍ",'Configuración'!$C$6,0))</f>
        <v>1.3</v>
      </c>
      <c r="K71" s="78">
        <f t="shared" si="1"/>
        <v>10.2611</v>
      </c>
      <c r="L71" s="78">
        <f>IF(F71="","",K71-E71-IF(N71="",0,N71))</f>
        <v>7.2311</v>
      </c>
      <c r="M71" s="79">
        <f>IF(F71="","",IF(K71=0,0,L71/K71))</f>
        <v>0.7047100213</v>
      </c>
      <c r="N71" s="46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5.0" customHeight="1">
      <c r="A72" s="65">
        <v>68.0</v>
      </c>
      <c r="B72" s="74">
        <v>46128.0</v>
      </c>
      <c r="C72" s="29" t="s">
        <v>89</v>
      </c>
      <c r="D72" s="53" t="str">
        <f>IFERROR(VLOOKUP(C72,'Catálogo Productos'!$B$3:$E$200,2,0),"")</f>
        <v>Guitarra Clasica</v>
      </c>
      <c r="E72" s="54">
        <f>IFERROR(VLOOKUP(C72,'Catálogo Productos'!$B$3:$E$200,3,0),"")</f>
        <v>1.21</v>
      </c>
      <c r="F72" s="55">
        <f>IFERROR(VLOOKUP(C72,'Catálogo Productos'!$B$3:$E$200,4,0),"")</f>
        <v>5.49</v>
      </c>
      <c r="G72" s="56">
        <f>IF(F72="","",IF(I72="SÍ",F72*'Configuración'!$C$5,0))</f>
        <v>0.6039</v>
      </c>
      <c r="H72" s="42" t="s">
        <v>88</v>
      </c>
      <c r="I72" s="43" t="s">
        <v>88</v>
      </c>
      <c r="J72" s="18">
        <f>IF(F72="","",IF(H72="SÍ",'Configuración'!$C$6,0))</f>
        <v>1.3</v>
      </c>
      <c r="K72" s="56">
        <f t="shared" si="1"/>
        <v>3.5861</v>
      </c>
      <c r="L72" s="56">
        <f>IF(F72="","",K72-E72-IF(N72="",0,N72))</f>
        <v>2.3761</v>
      </c>
      <c r="M72" s="57">
        <f>IF(F72="","",IF(K72=0,0,L72/K72))</f>
        <v>0.6625860963</v>
      </c>
      <c r="N72" s="46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5.0" customHeight="1">
      <c r="A73" s="65">
        <v>69.0</v>
      </c>
      <c r="B73" s="85">
        <v>46130.0</v>
      </c>
      <c r="C73" s="84" t="s">
        <v>99</v>
      </c>
      <c r="D73" s="67" t="str">
        <f>IFERROR(VLOOKUP(C73,'Catálogo Productos'!$B$3:$E$200,2,0),"")</f>
        <v>Violin</v>
      </c>
      <c r="E73" s="68">
        <f>IFERROR(VLOOKUP(C73,'Catálogo Productos'!$B$3:$E$200,3,0),"")</f>
        <v>2.69</v>
      </c>
      <c r="F73" s="69">
        <f>IFERROR(VLOOKUP(C73,'Catálogo Productos'!$B$3:$E$200,4,0),"")</f>
        <v>11</v>
      </c>
      <c r="G73" s="78">
        <f>IF(F73="","",IF(I73="SÍ",F73*'Configuración'!$C$5,0))</f>
        <v>1.21</v>
      </c>
      <c r="H73" s="42" t="s">
        <v>88</v>
      </c>
      <c r="I73" s="43" t="s">
        <v>88</v>
      </c>
      <c r="J73" s="72">
        <f>IF(F73="","",IF(H73="SÍ",'Configuración'!$C$6,0))</f>
        <v>1.3</v>
      </c>
      <c r="K73" s="78">
        <f t="shared" si="1"/>
        <v>8.49</v>
      </c>
      <c r="L73" s="78">
        <f t="shared" ref="L73:L155" si="8">IF(F73="","",K73-E73-IF(N73="",0,N73))</f>
        <v>4.8</v>
      </c>
      <c r="M73" s="79">
        <f t="shared" ref="M73:M155" si="9">IF(F73="","",IF(K73=0,0,L73/K73))</f>
        <v>0.5653710247</v>
      </c>
      <c r="N73" s="60">
        <v>1.0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5.0" customHeight="1">
      <c r="A74" s="65">
        <v>70.0</v>
      </c>
      <c r="B74" s="85">
        <v>46130.0</v>
      </c>
      <c r="C74" s="84" t="s">
        <v>99</v>
      </c>
      <c r="D74" s="67" t="str">
        <f>IFERROR(VLOOKUP(C74,'Catálogo Productos'!$B$3:$E$200,2,0),"")</f>
        <v>Violin</v>
      </c>
      <c r="E74" s="68">
        <f>IFERROR(VLOOKUP(C74,'Catálogo Productos'!$B$3:$E$200,3,0),"")</f>
        <v>2.69</v>
      </c>
      <c r="F74" s="69">
        <f>IFERROR(VLOOKUP(C74,'Catálogo Productos'!$B$3:$E$200,4,0),"")</f>
        <v>11</v>
      </c>
      <c r="G74" s="78">
        <f>IF(F74="","",IF(I74="SÍ",F74*'Configuración'!$C$5,0))</f>
        <v>1.21</v>
      </c>
      <c r="H74" s="42" t="s">
        <v>88</v>
      </c>
      <c r="I74" s="43" t="s">
        <v>88</v>
      </c>
      <c r="J74" s="72">
        <f>IF(F74="","",IF(H74="SÍ",'Configuración'!$C$6,0))</f>
        <v>1.3</v>
      </c>
      <c r="K74" s="78">
        <f t="shared" si="1"/>
        <v>8.49</v>
      </c>
      <c r="L74" s="78">
        <f t="shared" si="8"/>
        <v>4.8</v>
      </c>
      <c r="M74" s="79">
        <f t="shared" si="9"/>
        <v>0.5653710247</v>
      </c>
      <c r="N74" s="60">
        <v>1.0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5.0" customHeight="1">
      <c r="A75" s="65">
        <v>71.0</v>
      </c>
      <c r="B75" s="85">
        <v>46131.0</v>
      </c>
      <c r="C75" s="84" t="s">
        <v>89</v>
      </c>
      <c r="D75" s="67" t="str">
        <f>IFERROR(VLOOKUP(C75,'Catálogo Productos'!$B$3:$E$200,2,0),"")</f>
        <v>Guitarra Clasica</v>
      </c>
      <c r="E75" s="68">
        <f>IFERROR(VLOOKUP(C75,'Catálogo Productos'!$B$3:$E$200,3,0),"")</f>
        <v>1.21</v>
      </c>
      <c r="F75" s="69">
        <f>IFERROR(VLOOKUP(C75,'Catálogo Productos'!$B$3:$E$200,4,0),"")</f>
        <v>5.49</v>
      </c>
      <c r="G75" s="78">
        <f>IF(F75="","",IF(I75="SÍ",F75*'Configuración'!$C$5,0))</f>
        <v>0.6039</v>
      </c>
      <c r="H75" s="42" t="s">
        <v>88</v>
      </c>
      <c r="I75" s="43" t="s">
        <v>88</v>
      </c>
      <c r="J75" s="72">
        <f>IF(F75="","",IF(H75="SÍ",'Configuración'!$C$6,0))</f>
        <v>1.3</v>
      </c>
      <c r="K75" s="78">
        <f t="shared" si="1"/>
        <v>3.5861</v>
      </c>
      <c r="L75" s="78">
        <f t="shared" si="8"/>
        <v>2.3761</v>
      </c>
      <c r="M75" s="79">
        <f t="shared" si="9"/>
        <v>0.6625860963</v>
      </c>
      <c r="N75" s="46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5.0" customHeight="1">
      <c r="A76" s="65">
        <v>72.0</v>
      </c>
      <c r="B76" s="85">
        <v>46131.0</v>
      </c>
      <c r="C76" s="84" t="s">
        <v>95</v>
      </c>
      <c r="D76" s="67" t="str">
        <f>IFERROR(VLOOKUP(C76,'Catálogo Productos'!$B$3:$E$200,2,0),"")</f>
        <v>Guitarra Electrica</v>
      </c>
      <c r="E76" s="68">
        <f>IFERROR(VLOOKUP(C76,'Catálogo Productos'!$B$3:$E$200,3,0),"")</f>
        <v>1.21</v>
      </c>
      <c r="F76" s="69">
        <f>IFERROR(VLOOKUP(C76,'Catálogo Productos'!$B$3:$E$200,4,0),"")</f>
        <v>5.49</v>
      </c>
      <c r="G76" s="78">
        <f>IF(F76="","",IF(I76="SÍ",F76*'Configuración'!$C$5,0))</f>
        <v>0.6039</v>
      </c>
      <c r="H76" s="42" t="s">
        <v>88</v>
      </c>
      <c r="I76" s="43" t="s">
        <v>88</v>
      </c>
      <c r="J76" s="72">
        <f>IF(F76="","",IF(H76="SÍ",'Configuración'!$C$6,0))</f>
        <v>1.3</v>
      </c>
      <c r="K76" s="78">
        <f t="shared" si="1"/>
        <v>3.5861</v>
      </c>
      <c r="L76" s="78">
        <f t="shared" si="8"/>
        <v>2.3761</v>
      </c>
      <c r="M76" s="79">
        <f t="shared" si="9"/>
        <v>0.6625860963</v>
      </c>
      <c r="N76" s="46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0" customHeight="1">
      <c r="A77" s="65">
        <v>73.0</v>
      </c>
      <c r="B77" s="85">
        <v>46131.0</v>
      </c>
      <c r="C77" s="84" t="s">
        <v>90</v>
      </c>
      <c r="D77" s="67" t="str">
        <f>IFERROR(VLOOKUP(C77,'Catálogo Productos'!$B$3:$E$200,2,0),"")</f>
        <v>Guitarra Electrica</v>
      </c>
      <c r="E77" s="68">
        <f>IFERROR(VLOOKUP(C77,'Catálogo Productos'!$B$3:$E$200,3,0),"")</f>
        <v>1.21</v>
      </c>
      <c r="F77" s="69">
        <f>IFERROR(VLOOKUP(C77,'Catálogo Productos'!$B$3:$E$200,4,0),"")</f>
        <v>5.49</v>
      </c>
      <c r="G77" s="78">
        <f>IF(F77="","",IF(I77="SÍ",F77*'Configuración'!$C$5,0))</f>
        <v>0</v>
      </c>
      <c r="H77" s="80" t="s">
        <v>91</v>
      </c>
      <c r="I77" s="82" t="s">
        <v>98</v>
      </c>
      <c r="J77" s="72">
        <f>IF(F77="","",IF(H77="SÍ",'Configuración'!$C$6,0))</f>
        <v>0</v>
      </c>
      <c r="K77" s="78">
        <f t="shared" si="1"/>
        <v>5.49</v>
      </c>
      <c r="L77" s="78">
        <f t="shared" si="8"/>
        <v>4.28</v>
      </c>
      <c r="M77" s="79">
        <f t="shared" si="9"/>
        <v>0.7795992714</v>
      </c>
      <c r="N77" s="46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0" customHeight="1">
      <c r="A78" s="65">
        <v>74.0</v>
      </c>
      <c r="B78" s="85">
        <v>46131.0</v>
      </c>
      <c r="C78" s="84" t="s">
        <v>102</v>
      </c>
      <c r="D78" s="67" t="str">
        <f>IFERROR(VLOOKUP(C78,'Catálogo Productos'!$B$3:$E$200,2,0),"")</f>
        <v>Guitarra Acustica</v>
      </c>
      <c r="E78" s="68">
        <f>IFERROR(VLOOKUP(C78,'Catálogo Productos'!$B$3:$E$200,3,0),"")</f>
        <v>1.21</v>
      </c>
      <c r="F78" s="69">
        <f>IFERROR(VLOOKUP(C78,'Catálogo Productos'!$B$3:$E$200,4,0),"")</f>
        <v>5.49</v>
      </c>
      <c r="G78" s="78">
        <f>IF(F78="","",IF(I78="SÍ",F78*'Configuración'!$C$5,0))</f>
        <v>0</v>
      </c>
      <c r="H78" s="80" t="s">
        <v>91</v>
      </c>
      <c r="I78" s="82" t="s">
        <v>98</v>
      </c>
      <c r="J78" s="72">
        <f>IF(F78="","",IF(H78="SÍ",'Configuración'!$C$6,0))</f>
        <v>0</v>
      </c>
      <c r="K78" s="78">
        <f t="shared" si="1"/>
        <v>5.49</v>
      </c>
      <c r="L78" s="78">
        <f t="shared" si="8"/>
        <v>4.28</v>
      </c>
      <c r="M78" s="79">
        <f t="shared" si="9"/>
        <v>0.7795992714</v>
      </c>
      <c r="N78" s="46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0" customHeight="1">
      <c r="A79" s="65">
        <v>75.0</v>
      </c>
      <c r="B79" s="85">
        <v>46132.0</v>
      </c>
      <c r="C79" s="84" t="s">
        <v>92</v>
      </c>
      <c r="D79" s="67" t="str">
        <f>IFERROR(VLOOKUP(C79,'Catálogo Productos'!$B$3:$E$200,2,0),"")</f>
        <v>Cables</v>
      </c>
      <c r="E79" s="68">
        <f>IFERROR(VLOOKUP(C79,'Catálogo Productos'!$B$3:$E$200,3,0),"")</f>
        <v>1.91</v>
      </c>
      <c r="F79" s="69">
        <f>IFERROR(VLOOKUP(C79,'Catálogo Productos'!$B$3:$E$200,4,0),"")</f>
        <v>10</v>
      </c>
      <c r="G79" s="78">
        <f>IF(F79="","",IF(I79="SÍ",F79*'Configuración'!$C$5,0))</f>
        <v>1.1</v>
      </c>
      <c r="H79" s="80" t="s">
        <v>91</v>
      </c>
      <c r="I79" s="43" t="s">
        <v>88</v>
      </c>
      <c r="J79" s="72">
        <f>IF(F79="","",IF(H79="SÍ",'Configuración'!$C$6,0))</f>
        <v>0</v>
      </c>
      <c r="K79" s="78">
        <f t="shared" si="1"/>
        <v>8.9</v>
      </c>
      <c r="L79" s="78">
        <f t="shared" si="8"/>
        <v>6.99</v>
      </c>
      <c r="M79" s="79">
        <f t="shared" si="9"/>
        <v>0.7853932584</v>
      </c>
      <c r="N79" s="46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0" customHeight="1">
      <c r="A80" s="65">
        <v>76.0</v>
      </c>
      <c r="B80" s="85">
        <v>46132.0</v>
      </c>
      <c r="C80" s="84" t="s">
        <v>87</v>
      </c>
      <c r="D80" s="67" t="str">
        <f>IFERROR(VLOOKUP(C80,'Catálogo Productos'!$B$3:$E$200,2,0),"")</f>
        <v>Violin</v>
      </c>
      <c r="E80" s="68">
        <f>IFERROR(VLOOKUP(C80,'Catálogo Productos'!$B$3:$E$200,3,0),"")</f>
        <v>1.06</v>
      </c>
      <c r="F80" s="69">
        <f>IFERROR(VLOOKUP(C80,'Catálogo Productos'!$B$3:$E$200,4,0),"")</f>
        <v>4.99</v>
      </c>
      <c r="G80" s="78">
        <f>IF(F80="","",IF(I80="SÍ",F80*'Configuración'!$C$5,0))</f>
        <v>0.5489</v>
      </c>
      <c r="H80" s="42" t="s">
        <v>88</v>
      </c>
      <c r="I80" s="43" t="s">
        <v>88</v>
      </c>
      <c r="J80" s="72">
        <f>IF(F80="","",IF(H80="SÍ",'Configuración'!$C$6,0))</f>
        <v>1.3</v>
      </c>
      <c r="K80" s="78">
        <f t="shared" si="1"/>
        <v>3.1411</v>
      </c>
      <c r="L80" s="78">
        <f t="shared" si="8"/>
        <v>2.0811</v>
      </c>
      <c r="M80" s="79">
        <f t="shared" si="9"/>
        <v>0.6625386011</v>
      </c>
      <c r="N80" s="46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0" customHeight="1">
      <c r="A81" s="65">
        <v>77.0</v>
      </c>
      <c r="B81" s="85">
        <v>46132.0</v>
      </c>
      <c r="C81" s="84" t="s">
        <v>92</v>
      </c>
      <c r="D81" s="67" t="str">
        <f>IFERROR(VLOOKUP(C81,'Catálogo Productos'!$B$3:$E$200,2,0),"")</f>
        <v>Cables</v>
      </c>
      <c r="E81" s="68">
        <f>IFERROR(VLOOKUP(C81,'Catálogo Productos'!$B$3:$E$200,3,0),"")</f>
        <v>1.91</v>
      </c>
      <c r="F81" s="69">
        <f>IFERROR(VLOOKUP(C81,'Catálogo Productos'!$B$3:$E$200,4,0),"")</f>
        <v>10</v>
      </c>
      <c r="G81" s="78">
        <f>IF(F81="","",IF(I81="SÍ",F81*'Configuración'!$C$5,0))</f>
        <v>1.1</v>
      </c>
      <c r="H81" s="80" t="s">
        <v>91</v>
      </c>
      <c r="I81" s="43" t="s">
        <v>88</v>
      </c>
      <c r="J81" s="72">
        <f>IF(F81="","",IF(H81="SÍ",'Configuración'!$C$6,0))</f>
        <v>0</v>
      </c>
      <c r="K81" s="78">
        <f t="shared" si="1"/>
        <v>8.9</v>
      </c>
      <c r="L81" s="78">
        <f t="shared" si="8"/>
        <v>6.99</v>
      </c>
      <c r="M81" s="79">
        <f t="shared" si="9"/>
        <v>0.7853932584</v>
      </c>
      <c r="N81" s="46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0" customHeight="1">
      <c r="A82" s="65">
        <v>78.0</v>
      </c>
      <c r="B82" s="36">
        <v>46132.0</v>
      </c>
      <c r="C82" s="48" t="s">
        <v>106</v>
      </c>
      <c r="D82" s="38" t="str">
        <f>IFERROR(VLOOKUP(C82,'Catálogo Productos'!$B$3:$E$200,2,0),"")</f>
        <v>Guitarra Clasica</v>
      </c>
      <c r="E82" s="39">
        <f>IFERROR(VLOOKUP(C82,'Catálogo Productos'!$B$3:$E$200,3,0),"")</f>
        <v>2.5</v>
      </c>
      <c r="F82" s="40">
        <f>IFERROR(VLOOKUP(C82,'Catálogo Productos'!$B$3:$E$200,4,0),"")</f>
        <v>9.99</v>
      </c>
      <c r="G82" s="41">
        <f>IF(F82="","",IF(I82="SÍ",F82*'Configuración'!$C$5,0))</f>
        <v>1.0989</v>
      </c>
      <c r="H82" s="80" t="s">
        <v>91</v>
      </c>
      <c r="I82" s="43" t="s">
        <v>88</v>
      </c>
      <c r="J82" s="44">
        <f>IF(F82="","",IF(H82="SÍ",'Configuración'!$C$6,0))</f>
        <v>0</v>
      </c>
      <c r="K82" s="41">
        <f t="shared" si="1"/>
        <v>8.8911</v>
      </c>
      <c r="L82" s="41">
        <f t="shared" si="8"/>
        <v>6.3911</v>
      </c>
      <c r="M82" s="45">
        <f t="shared" si="9"/>
        <v>0.7188199435</v>
      </c>
      <c r="N82" s="46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0" customHeight="1">
      <c r="A83" s="65">
        <v>79.0</v>
      </c>
      <c r="B83" s="36">
        <v>46132.0</v>
      </c>
      <c r="C83" s="84" t="s">
        <v>99</v>
      </c>
      <c r="D83" s="67" t="str">
        <f>IFERROR(VLOOKUP(C83,'Catálogo Productos'!$B$3:$E$200,2,0),"")</f>
        <v>Violin</v>
      </c>
      <c r="E83" s="68">
        <f>IFERROR(VLOOKUP(C83,'Catálogo Productos'!$B$3:$E$200,3,0),"")</f>
        <v>2.69</v>
      </c>
      <c r="F83" s="69">
        <f>IFERROR(VLOOKUP(C83,'Catálogo Productos'!$B$3:$E$200,4,0),"")</f>
        <v>11</v>
      </c>
      <c r="G83" s="78">
        <f>IF(F83="","",IF(I83="SÍ",F83*'Configuración'!$C$5,0))</f>
        <v>1.21</v>
      </c>
      <c r="H83" s="42" t="s">
        <v>88</v>
      </c>
      <c r="I83" s="43" t="s">
        <v>88</v>
      </c>
      <c r="J83" s="72">
        <f>IF(F83="","",IF(H83="SÍ",'Configuración'!$C$6,0))</f>
        <v>1.3</v>
      </c>
      <c r="K83" s="78">
        <f t="shared" si="1"/>
        <v>8.49</v>
      </c>
      <c r="L83" s="78">
        <f t="shared" si="8"/>
        <v>4.8</v>
      </c>
      <c r="M83" s="79">
        <f t="shared" si="9"/>
        <v>0.5653710247</v>
      </c>
      <c r="N83" s="60">
        <v>1.0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0" customHeight="1">
      <c r="A84" s="65">
        <v>80.0</v>
      </c>
      <c r="B84" s="36">
        <v>46132.0</v>
      </c>
      <c r="C84" s="84" t="s">
        <v>95</v>
      </c>
      <c r="D84" s="67" t="str">
        <f>IFERROR(VLOOKUP(C84,'Catálogo Productos'!$B$3:$E$200,2,0),"")</f>
        <v>Guitarra Electrica</v>
      </c>
      <c r="E84" s="68">
        <f>IFERROR(VLOOKUP(C84,'Catálogo Productos'!$B$3:$E$200,3,0),"")</f>
        <v>1.21</v>
      </c>
      <c r="F84" s="69">
        <f>IFERROR(VLOOKUP(C84,'Catálogo Productos'!$B$3:$E$200,4,0),"")</f>
        <v>5.49</v>
      </c>
      <c r="G84" s="78">
        <f>IF(F84="","",IF(I84="SÍ",F84*'Configuración'!$C$5,0))</f>
        <v>0.6039</v>
      </c>
      <c r="H84" s="42" t="s">
        <v>88</v>
      </c>
      <c r="I84" s="43" t="s">
        <v>88</v>
      </c>
      <c r="J84" s="72">
        <f>IF(F84="","",IF(H84="SÍ",'Configuración'!$C$6,0))</f>
        <v>1.3</v>
      </c>
      <c r="K84" s="78">
        <f t="shared" si="1"/>
        <v>3.5861</v>
      </c>
      <c r="L84" s="78">
        <f t="shared" si="8"/>
        <v>2.3761</v>
      </c>
      <c r="M84" s="79">
        <f t="shared" si="9"/>
        <v>0.6625860963</v>
      </c>
      <c r="N84" s="46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0" customHeight="1">
      <c r="A85" s="65">
        <v>81.0</v>
      </c>
      <c r="B85" s="36">
        <v>46132.0</v>
      </c>
      <c r="C85" s="84" t="s">
        <v>99</v>
      </c>
      <c r="D85" s="67" t="str">
        <f>IFERROR(VLOOKUP(C85,'Catálogo Productos'!$B$3:$E$200,2,0),"")</f>
        <v>Violin</v>
      </c>
      <c r="E85" s="68">
        <f>IFERROR(VLOOKUP(C85,'Catálogo Productos'!$B$3:$E$200,3,0),"")</f>
        <v>2.69</v>
      </c>
      <c r="F85" s="69">
        <f>IFERROR(VLOOKUP(C85,'Catálogo Productos'!$B$3:$E$200,4,0),"")</f>
        <v>11</v>
      </c>
      <c r="G85" s="78">
        <f>IF(F85="","",IF(I85="SÍ",F85*'Configuración'!$C$5,0))</f>
        <v>1.21</v>
      </c>
      <c r="H85" s="42" t="s">
        <v>88</v>
      </c>
      <c r="I85" s="43" t="s">
        <v>88</v>
      </c>
      <c r="J85" s="72">
        <f>IF(F85="","",IF(H85="SÍ",'Configuración'!$C$6,0))</f>
        <v>1.3</v>
      </c>
      <c r="K85" s="78">
        <f t="shared" si="1"/>
        <v>8.49</v>
      </c>
      <c r="L85" s="78">
        <f t="shared" si="8"/>
        <v>4.8</v>
      </c>
      <c r="M85" s="79">
        <f t="shared" si="9"/>
        <v>0.5653710247</v>
      </c>
      <c r="N85" s="60">
        <v>1.0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0" customHeight="1">
      <c r="A86" s="65">
        <v>82.0</v>
      </c>
      <c r="B86" s="36">
        <v>46132.0</v>
      </c>
      <c r="C86" s="84" t="s">
        <v>104</v>
      </c>
      <c r="D86" s="67" t="str">
        <f>IFERROR(VLOOKUP(C86,'Catálogo Productos'!$B$3:$E$200,2,0),"")</f>
        <v>Guitarra Clasica</v>
      </c>
      <c r="E86" s="68">
        <f>IFERROR(VLOOKUP(C86,'Catálogo Productos'!$B$3:$E$200,3,0),"")</f>
        <v>2.5</v>
      </c>
      <c r="F86" s="69">
        <f>IFERROR(VLOOKUP(C86,'Catálogo Productos'!$B$3:$E$200,4,0),"")</f>
        <v>12.99</v>
      </c>
      <c r="G86" s="78">
        <f>IF(F86="","",IF(I86="SÍ",F86*'Configuración'!$C$5,0))</f>
        <v>1.4289</v>
      </c>
      <c r="H86" s="42" t="s">
        <v>88</v>
      </c>
      <c r="I86" s="43" t="s">
        <v>88</v>
      </c>
      <c r="J86" s="72">
        <f>IF(F86="","",IF(H86="SÍ",'Configuración'!$C$6,0))</f>
        <v>1.3</v>
      </c>
      <c r="K86" s="78">
        <f t="shared" si="1"/>
        <v>10.2611</v>
      </c>
      <c r="L86" s="78">
        <f t="shared" si="8"/>
        <v>7.7611</v>
      </c>
      <c r="M86" s="79">
        <f t="shared" si="9"/>
        <v>0.7563614037</v>
      </c>
      <c r="N86" s="46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0" customHeight="1">
      <c r="A87" s="65">
        <v>83.0</v>
      </c>
      <c r="B87" s="36">
        <v>46132.0</v>
      </c>
      <c r="C87" s="84" t="s">
        <v>90</v>
      </c>
      <c r="D87" s="67" t="str">
        <f>IFERROR(VLOOKUP(C87,'Catálogo Productos'!$B$3:$E$200,2,0),"")</f>
        <v>Guitarra Electrica</v>
      </c>
      <c r="E87" s="68">
        <f>IFERROR(VLOOKUP(C87,'Catálogo Productos'!$B$3:$E$200,3,0),"")</f>
        <v>1.21</v>
      </c>
      <c r="F87" s="69">
        <f>IFERROR(VLOOKUP(C87,'Catálogo Productos'!$B$3:$E$200,4,0),"")</f>
        <v>5.49</v>
      </c>
      <c r="G87" s="78">
        <f>IF(F87="","",IF(I87="SÍ",F87*'Configuración'!$C$5,0))</f>
        <v>0</v>
      </c>
      <c r="H87" s="80" t="s">
        <v>91</v>
      </c>
      <c r="I87" s="82" t="s">
        <v>98</v>
      </c>
      <c r="J87" s="72">
        <f>IF(F87="","",IF(H87="SÍ",'Configuración'!$C$6,0))</f>
        <v>0</v>
      </c>
      <c r="K87" s="78">
        <f t="shared" si="1"/>
        <v>5.49</v>
      </c>
      <c r="L87" s="78">
        <f t="shared" si="8"/>
        <v>4.28</v>
      </c>
      <c r="M87" s="79">
        <f t="shared" si="9"/>
        <v>0.7795992714</v>
      </c>
      <c r="N87" s="46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0" customHeight="1">
      <c r="A88" s="65">
        <v>84.0</v>
      </c>
      <c r="B88" s="36">
        <v>46132.0</v>
      </c>
      <c r="C88" s="84" t="s">
        <v>89</v>
      </c>
      <c r="D88" s="67" t="str">
        <f>IFERROR(VLOOKUP(C88,'Catálogo Productos'!$B$3:$E$200,2,0),"")</f>
        <v>Guitarra Clasica</v>
      </c>
      <c r="E88" s="68">
        <f>IFERROR(VLOOKUP(C88,'Catálogo Productos'!$B$3:$E$200,3,0),"")</f>
        <v>1.21</v>
      </c>
      <c r="F88" s="69">
        <f>IFERROR(VLOOKUP(C88,'Catálogo Productos'!$B$3:$E$200,4,0),"")</f>
        <v>5.49</v>
      </c>
      <c r="G88" s="78">
        <f>IF(F88="","",IF(I88="SÍ",F88*'Configuración'!$C$5,0))</f>
        <v>0.6039</v>
      </c>
      <c r="H88" s="42" t="s">
        <v>88</v>
      </c>
      <c r="I88" s="43" t="s">
        <v>88</v>
      </c>
      <c r="J88" s="72">
        <f>IF(F88="","",IF(H88="SÍ",'Configuración'!$C$6,0))</f>
        <v>1.3</v>
      </c>
      <c r="K88" s="78">
        <f t="shared" si="1"/>
        <v>3.5861</v>
      </c>
      <c r="L88" s="78">
        <f t="shared" si="8"/>
        <v>2.3761</v>
      </c>
      <c r="M88" s="79">
        <f t="shared" si="9"/>
        <v>0.6625860963</v>
      </c>
      <c r="N88" s="46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0" customHeight="1">
      <c r="A89" s="65">
        <v>85.0</v>
      </c>
      <c r="B89" s="36">
        <v>46132.0</v>
      </c>
      <c r="C89" s="84" t="s">
        <v>101</v>
      </c>
      <c r="D89" s="67" t="str">
        <f>IFERROR(VLOOKUP(C89,'Catálogo Productos'!$B$3:$E$200,2,0),"")</f>
        <v>Guitarra Acustica</v>
      </c>
      <c r="E89" s="68">
        <f>IFERROR(VLOOKUP(C89,'Catálogo Productos'!$B$3:$E$200,3,0),"")</f>
        <v>0.01</v>
      </c>
      <c r="F89" s="69">
        <f>IFERROR(VLOOKUP(C89,'Catálogo Productos'!$B$3:$E$200,4,0),"")</f>
        <v>5</v>
      </c>
      <c r="G89" s="78">
        <f>IF(F89="","",IF(I89="SÍ",F89*'Configuración'!$C$5,0))</f>
        <v>0.55</v>
      </c>
      <c r="H89" s="42" t="s">
        <v>88</v>
      </c>
      <c r="I89" s="43" t="s">
        <v>88</v>
      </c>
      <c r="J89" s="72">
        <f>IF(F89="","",IF(H89="SÍ",'Configuración'!$C$6,0))</f>
        <v>1.3</v>
      </c>
      <c r="K89" s="78">
        <f t="shared" si="1"/>
        <v>3.15</v>
      </c>
      <c r="L89" s="78">
        <f t="shared" si="8"/>
        <v>3.14</v>
      </c>
      <c r="M89" s="79">
        <f t="shared" si="9"/>
        <v>0.9968253968</v>
      </c>
      <c r="N89" s="46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0" customHeight="1">
      <c r="A90" s="65">
        <v>86.0</v>
      </c>
      <c r="B90" s="86">
        <v>46133.0</v>
      </c>
      <c r="C90" s="84" t="s">
        <v>89</v>
      </c>
      <c r="D90" s="67" t="str">
        <f>IFERROR(VLOOKUP(C90,'Catálogo Productos'!$B$3:$E$200,2,0),"")</f>
        <v>Guitarra Clasica</v>
      </c>
      <c r="E90" s="68">
        <f>IFERROR(VLOOKUP(C90,'Catálogo Productos'!$B$3:$E$200,3,0),"")</f>
        <v>1.21</v>
      </c>
      <c r="F90" s="69">
        <f>IFERROR(VLOOKUP(C90,'Catálogo Productos'!$B$3:$E$200,4,0),"")</f>
        <v>5.49</v>
      </c>
      <c r="G90" s="78">
        <f>IF(F90="","",IF(I90="SÍ",F90*'Configuración'!$C$5,0))</f>
        <v>0.6039</v>
      </c>
      <c r="H90" s="42" t="s">
        <v>88</v>
      </c>
      <c r="I90" s="43" t="s">
        <v>88</v>
      </c>
      <c r="J90" s="72">
        <f>IF(F90="","",IF(H90="SÍ",'Configuración'!$C$6,0))</f>
        <v>1.3</v>
      </c>
      <c r="K90" s="78">
        <f t="shared" si="1"/>
        <v>3.5861</v>
      </c>
      <c r="L90" s="78">
        <f t="shared" si="8"/>
        <v>2.3761</v>
      </c>
      <c r="M90" s="79">
        <f t="shared" si="9"/>
        <v>0.6625860963</v>
      </c>
      <c r="N90" s="46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0" customHeight="1">
      <c r="A91" s="65">
        <v>87.0</v>
      </c>
      <c r="B91" s="86">
        <v>46133.0</v>
      </c>
      <c r="C91" s="84" t="s">
        <v>90</v>
      </c>
      <c r="D91" s="67" t="str">
        <f>IFERROR(VLOOKUP(C91,'Catálogo Productos'!$B$3:$E$200,2,0),"")</f>
        <v>Guitarra Electrica</v>
      </c>
      <c r="E91" s="68">
        <f>IFERROR(VLOOKUP(C91,'Catálogo Productos'!$B$3:$E$200,3,0),"")</f>
        <v>1.21</v>
      </c>
      <c r="F91" s="69">
        <f>IFERROR(VLOOKUP(C91,'Catálogo Productos'!$B$3:$E$200,4,0),"")</f>
        <v>5.49</v>
      </c>
      <c r="G91" s="78">
        <f>IF(F91="","",IF(I91="SÍ",F91*'Configuración'!$C$5,0))</f>
        <v>0.6039</v>
      </c>
      <c r="H91" s="80" t="s">
        <v>91</v>
      </c>
      <c r="I91" s="43" t="s">
        <v>88</v>
      </c>
      <c r="J91" s="72">
        <f>IF(F91="","",IF(H91="SÍ",'Configuración'!$C$6,0))</f>
        <v>0</v>
      </c>
      <c r="K91" s="78">
        <f t="shared" si="1"/>
        <v>4.8861</v>
      </c>
      <c r="L91" s="78">
        <f t="shared" si="8"/>
        <v>3.6761</v>
      </c>
      <c r="M91" s="79">
        <f t="shared" si="9"/>
        <v>0.7523587319</v>
      </c>
      <c r="N91" s="46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0" customHeight="1">
      <c r="A92" s="65">
        <v>88.0</v>
      </c>
      <c r="B92" s="86">
        <v>46133.0</v>
      </c>
      <c r="C92" s="84" t="s">
        <v>93</v>
      </c>
      <c r="D92" s="67" t="str">
        <f>IFERROR(VLOOKUP(C92,'Catálogo Productos'!$B$3:$E$200,2,0),"")</f>
        <v>Bases, Stand, Atriles</v>
      </c>
      <c r="E92" s="68">
        <f>IFERROR(VLOOKUP(C92,'Catálogo Productos'!$B$3:$E$200,3,0),"")</f>
        <v>0.5</v>
      </c>
      <c r="F92" s="69">
        <f>IFERROR(VLOOKUP(C92,'Catálogo Productos'!$B$3:$E$200,4,0),"")</f>
        <v>4.99</v>
      </c>
      <c r="G92" s="78">
        <f>IF(F92="","",IF(I92="SÍ",F92*'Configuración'!$C$5,0))</f>
        <v>0.5489</v>
      </c>
      <c r="H92" s="42" t="s">
        <v>88</v>
      </c>
      <c r="I92" s="43" t="s">
        <v>88</v>
      </c>
      <c r="J92" s="72">
        <f>IF(F92="","",IF(H92="SÍ",'Configuración'!$C$6,0))</f>
        <v>1.3</v>
      </c>
      <c r="K92" s="78">
        <f t="shared" si="1"/>
        <v>3.1411</v>
      </c>
      <c r="L92" s="78">
        <f t="shared" si="8"/>
        <v>2.6411</v>
      </c>
      <c r="M92" s="79">
        <f t="shared" si="9"/>
        <v>0.8408200949</v>
      </c>
      <c r="N92" s="46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0" customHeight="1">
      <c r="A93" s="65">
        <v>89.0</v>
      </c>
      <c r="B93" s="86">
        <v>46133.0</v>
      </c>
      <c r="C93" s="84" t="s">
        <v>93</v>
      </c>
      <c r="D93" s="67" t="str">
        <f>IFERROR(VLOOKUP(C93,'Catálogo Productos'!$B$3:$E$200,2,0),"")</f>
        <v>Bases, Stand, Atriles</v>
      </c>
      <c r="E93" s="68">
        <f>IFERROR(VLOOKUP(C93,'Catálogo Productos'!$B$3:$E$200,3,0),"")</f>
        <v>0.5</v>
      </c>
      <c r="F93" s="69">
        <f>IFERROR(VLOOKUP(C93,'Catálogo Productos'!$B$3:$E$200,4,0),"")</f>
        <v>4.99</v>
      </c>
      <c r="G93" s="78">
        <f>IF(F93="","",IF(I93="SÍ",F93*'Configuración'!$C$5,0))</f>
        <v>0.5489</v>
      </c>
      <c r="H93" s="80" t="s">
        <v>91</v>
      </c>
      <c r="I93" s="82" t="s">
        <v>88</v>
      </c>
      <c r="J93" s="72">
        <f>IF(F93="","",IF(H93="SÍ",'Configuración'!$C$6,0))</f>
        <v>0</v>
      </c>
      <c r="K93" s="78">
        <f t="shared" si="1"/>
        <v>4.4411</v>
      </c>
      <c r="L93" s="78">
        <f t="shared" si="8"/>
        <v>3.9411</v>
      </c>
      <c r="M93" s="79">
        <f t="shared" si="9"/>
        <v>0.88741528</v>
      </c>
      <c r="N93" s="46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0" customHeight="1">
      <c r="A94" s="65">
        <v>90.0</v>
      </c>
      <c r="B94" s="86">
        <v>46133.0</v>
      </c>
      <c r="C94" s="84" t="s">
        <v>95</v>
      </c>
      <c r="D94" s="67" t="str">
        <f>IFERROR(VLOOKUP(C94,'Catálogo Productos'!$B$3:$E$200,2,0),"")</f>
        <v>Guitarra Electrica</v>
      </c>
      <c r="E94" s="68">
        <f>IFERROR(VLOOKUP(C94,'Catálogo Productos'!$B$3:$E$200,3,0),"")</f>
        <v>1.21</v>
      </c>
      <c r="F94" s="69">
        <f>IFERROR(VLOOKUP(C94,'Catálogo Productos'!$B$3:$E$200,4,0),"") +34.5</f>
        <v>39.99</v>
      </c>
      <c r="G94" s="78">
        <f>IF(F94="","",IF(I94="SÍ",F94*'Configuración'!$C$5,0))</f>
        <v>0</v>
      </c>
      <c r="H94" s="80" t="s">
        <v>91</v>
      </c>
      <c r="I94" s="82" t="s">
        <v>98</v>
      </c>
      <c r="J94" s="72">
        <f>IF(F94="","",IF(H94="SÍ",'Configuración'!$C$6,0))</f>
        <v>0</v>
      </c>
      <c r="K94" s="78">
        <f t="shared" si="1"/>
        <v>39.99</v>
      </c>
      <c r="L94" s="78">
        <f t="shared" si="8"/>
        <v>38.78</v>
      </c>
      <c r="M94" s="79">
        <f t="shared" si="9"/>
        <v>0.9697424356</v>
      </c>
      <c r="N94" s="46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0" customHeight="1">
      <c r="A95" s="65">
        <v>91.0</v>
      </c>
      <c r="B95" s="86">
        <v>46133.0</v>
      </c>
      <c r="C95" s="84" t="s">
        <v>89</v>
      </c>
      <c r="D95" s="67" t="str">
        <f>IFERROR(VLOOKUP(C95,'Catálogo Productos'!$B$3:$E$200,2,0),"")</f>
        <v>Guitarra Clasica</v>
      </c>
      <c r="E95" s="68">
        <f>IFERROR(VLOOKUP(C95,'Catálogo Productos'!$B$3:$E$200,3,0),"")</f>
        <v>1.21</v>
      </c>
      <c r="F95" s="69">
        <f>IFERROR(VLOOKUP(C95,'Catálogo Productos'!$B$3:$E$200,4,0),"")</f>
        <v>5.49</v>
      </c>
      <c r="G95" s="78">
        <f>IF(F95="","",IF(I95="SÍ",F95*'Configuración'!$C$5,0))</f>
        <v>0.6039</v>
      </c>
      <c r="H95" s="42" t="s">
        <v>88</v>
      </c>
      <c r="I95" s="43" t="s">
        <v>88</v>
      </c>
      <c r="J95" s="72">
        <f>IF(F95="","",IF(H95="SÍ",'Configuración'!$C$6,0))</f>
        <v>1.3</v>
      </c>
      <c r="K95" s="78">
        <f t="shared" si="1"/>
        <v>3.5861</v>
      </c>
      <c r="L95" s="78">
        <f t="shared" si="8"/>
        <v>2.3761</v>
      </c>
      <c r="M95" s="79">
        <f t="shared" si="9"/>
        <v>0.6625860963</v>
      </c>
      <c r="N95" s="46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0" customHeight="1">
      <c r="A96" s="65">
        <v>92.0</v>
      </c>
      <c r="B96" s="86">
        <v>46133.0</v>
      </c>
      <c r="C96" s="84" t="s">
        <v>106</v>
      </c>
      <c r="D96" s="67" t="str">
        <f>IFERROR(VLOOKUP(C96,'Catálogo Productos'!$B$3:$E$200,2,0),"")</f>
        <v>Guitarra Clasica</v>
      </c>
      <c r="E96" s="68">
        <f>IFERROR(VLOOKUP(C96,'Catálogo Productos'!$B$3:$E$200,3,0),"")</f>
        <v>2.5</v>
      </c>
      <c r="F96" s="69">
        <f>IFERROR(VLOOKUP(C96,'Catálogo Productos'!$B$3:$E$200,4,0),"")</f>
        <v>9.99</v>
      </c>
      <c r="G96" s="78">
        <f>IF(F96="","",IF(I96="SÍ",F96*'Configuración'!$C$5,0))</f>
        <v>1.0989</v>
      </c>
      <c r="H96" s="42" t="s">
        <v>88</v>
      </c>
      <c r="I96" s="43" t="s">
        <v>88</v>
      </c>
      <c r="J96" s="72">
        <f>IF(F96="","",IF(H96="SÍ",'Configuración'!$C$6,0))</f>
        <v>1.3</v>
      </c>
      <c r="K96" s="78">
        <f t="shared" si="1"/>
        <v>7.5911</v>
      </c>
      <c r="L96" s="78">
        <f t="shared" si="8"/>
        <v>5.0911</v>
      </c>
      <c r="M96" s="79">
        <f t="shared" si="9"/>
        <v>0.6706669653</v>
      </c>
      <c r="N96" s="46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0" customHeight="1">
      <c r="A97" s="65">
        <v>93.0</v>
      </c>
      <c r="B97" s="86">
        <v>46133.0</v>
      </c>
      <c r="C97" s="84" t="s">
        <v>92</v>
      </c>
      <c r="D97" s="67" t="str">
        <f>IFERROR(VLOOKUP(C97,'Catálogo Productos'!$B$3:$E$200,2,0),"")</f>
        <v>Cables</v>
      </c>
      <c r="E97" s="68">
        <f>IFERROR(VLOOKUP(C97,'Catálogo Productos'!$B$3:$E$200,3,0),"")</f>
        <v>1.91</v>
      </c>
      <c r="F97" s="69">
        <f>IFERROR(VLOOKUP(C97,'Catálogo Productos'!$B$3:$E$200,4,0),"")</f>
        <v>10</v>
      </c>
      <c r="G97" s="78">
        <f>IF(F97="","",IF(I97="SÍ",F97*'Configuración'!$C$5,0))</f>
        <v>1.1</v>
      </c>
      <c r="H97" s="42" t="s">
        <v>88</v>
      </c>
      <c r="I97" s="43" t="s">
        <v>88</v>
      </c>
      <c r="J97" s="72">
        <f>IF(F97="","",IF(H97="SÍ",'Configuración'!$C$6,0))</f>
        <v>1.3</v>
      </c>
      <c r="K97" s="78">
        <f t="shared" si="1"/>
        <v>7.6</v>
      </c>
      <c r="L97" s="78">
        <f t="shared" si="8"/>
        <v>5.69</v>
      </c>
      <c r="M97" s="79">
        <f t="shared" si="9"/>
        <v>0.7486842105</v>
      </c>
      <c r="N97" s="46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0" customHeight="1">
      <c r="A98" s="65">
        <v>94.0</v>
      </c>
      <c r="B98" s="86">
        <v>46133.0</v>
      </c>
      <c r="C98" s="84" t="s">
        <v>101</v>
      </c>
      <c r="D98" s="67" t="str">
        <f>IFERROR(VLOOKUP(C98,'Catálogo Productos'!$B$3:$E$200,2,0),"")</f>
        <v>Guitarra Acustica</v>
      </c>
      <c r="E98" s="68">
        <f>IFERROR(VLOOKUP(C98,'Catálogo Productos'!$B$3:$E$200,3,0),"")</f>
        <v>0.01</v>
      </c>
      <c r="F98" s="69">
        <f>IFERROR(VLOOKUP(C98,'Catálogo Productos'!$B$3:$E$200,4,0),"")</f>
        <v>5</v>
      </c>
      <c r="G98" s="78">
        <f>IF(F98="","",IF(I98="SÍ",F98*'Configuración'!$C$5,0))</f>
        <v>0.55</v>
      </c>
      <c r="H98" s="42" t="s">
        <v>88</v>
      </c>
      <c r="I98" s="43" t="s">
        <v>88</v>
      </c>
      <c r="J98" s="72">
        <f>IF(F98="","",IF(H98="SÍ",'Configuración'!$C$6,0))</f>
        <v>1.3</v>
      </c>
      <c r="K98" s="78">
        <f t="shared" si="1"/>
        <v>3.15</v>
      </c>
      <c r="L98" s="78">
        <f t="shared" si="8"/>
        <v>3.14</v>
      </c>
      <c r="M98" s="79">
        <f t="shared" si="9"/>
        <v>0.9968253968</v>
      </c>
      <c r="N98" s="46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0" customHeight="1">
      <c r="A99" s="65">
        <v>95.0</v>
      </c>
      <c r="B99" s="86">
        <v>46134.0</v>
      </c>
      <c r="C99" s="84" t="s">
        <v>92</v>
      </c>
      <c r="D99" s="67" t="str">
        <f>IFERROR(VLOOKUP(C99,'Catálogo Productos'!$B$3:$E$200,2,0),"")</f>
        <v>Cables</v>
      </c>
      <c r="E99" s="68">
        <f>IFERROR(VLOOKUP(C99,'Catálogo Productos'!$B$3:$E$200,3,0),"")</f>
        <v>1.91</v>
      </c>
      <c r="F99" s="69">
        <f>IFERROR(VLOOKUP(C99,'Catálogo Productos'!$B$3:$E$200,4,0),"")</f>
        <v>10</v>
      </c>
      <c r="G99" s="78">
        <f>IF(F99="","",IF(I99="SÍ",F99*'Configuración'!$C$5,0))</f>
        <v>1.1</v>
      </c>
      <c r="H99" s="42" t="s">
        <v>88</v>
      </c>
      <c r="I99" s="43" t="s">
        <v>88</v>
      </c>
      <c r="J99" s="72">
        <f>IF(F99="","",IF(H99="SÍ",'Configuración'!$C$6,0))</f>
        <v>1.3</v>
      </c>
      <c r="K99" s="78">
        <f t="shared" si="1"/>
        <v>7.6</v>
      </c>
      <c r="L99" s="78">
        <f t="shared" si="8"/>
        <v>5.69</v>
      </c>
      <c r="M99" s="79">
        <f t="shared" si="9"/>
        <v>0.7486842105</v>
      </c>
      <c r="N99" s="46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0" customHeight="1">
      <c r="A100" s="65">
        <v>96.0</v>
      </c>
      <c r="B100" s="86">
        <v>46134.0</v>
      </c>
      <c r="C100" s="84" t="s">
        <v>93</v>
      </c>
      <c r="D100" s="67" t="str">
        <f>IFERROR(VLOOKUP(C100,'Catálogo Productos'!$B$3:$E$200,2,0),"")</f>
        <v>Bases, Stand, Atriles</v>
      </c>
      <c r="E100" s="68">
        <f>IFERROR(VLOOKUP(C100,'Catálogo Productos'!$B$3:$E$200,3,0),"")</f>
        <v>0.5</v>
      </c>
      <c r="F100" s="69">
        <f>IFERROR(VLOOKUP(C100,'Catálogo Productos'!$B$3:$E$200,4,0),"")</f>
        <v>4.99</v>
      </c>
      <c r="G100" s="78">
        <f>IF(F100="","",IF(I100="SÍ",F100*'Configuración'!$C$5,0))</f>
        <v>0.5489</v>
      </c>
      <c r="H100" s="42" t="s">
        <v>88</v>
      </c>
      <c r="I100" s="43" t="s">
        <v>88</v>
      </c>
      <c r="J100" s="72">
        <f>IF(F100="","",IF(H100="SÍ",'Configuración'!$C$6,0))</f>
        <v>1.3</v>
      </c>
      <c r="K100" s="78">
        <f t="shared" si="1"/>
        <v>3.1411</v>
      </c>
      <c r="L100" s="78">
        <f t="shared" si="8"/>
        <v>2.6411</v>
      </c>
      <c r="M100" s="79">
        <f t="shared" si="9"/>
        <v>0.8408200949</v>
      </c>
      <c r="N100" s="46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0" customHeight="1">
      <c r="A101" s="65">
        <v>97.0</v>
      </c>
      <c r="B101" s="86">
        <v>46134.0</v>
      </c>
      <c r="C101" s="84" t="s">
        <v>93</v>
      </c>
      <c r="D101" s="67" t="str">
        <f>IFERROR(VLOOKUP(C101,'Catálogo Productos'!$B$3:$E$200,2,0),"")</f>
        <v>Bases, Stand, Atriles</v>
      </c>
      <c r="E101" s="68">
        <f>IFERROR(VLOOKUP(C101,'Catálogo Productos'!$B$3:$E$200,3,0),"")</f>
        <v>0.5</v>
      </c>
      <c r="F101" s="69">
        <f>IFERROR(VLOOKUP(C101,'Catálogo Productos'!$B$3:$E$200,4,0),"")</f>
        <v>4.99</v>
      </c>
      <c r="G101" s="78">
        <f>IF(F101="","",IF(I101="SÍ",F101*'Configuración'!$C$5,0))</f>
        <v>0.5489</v>
      </c>
      <c r="H101" s="80" t="s">
        <v>91</v>
      </c>
      <c r="I101" s="43" t="s">
        <v>88</v>
      </c>
      <c r="J101" s="72">
        <f>IF(F101="","",IF(H101="SÍ",'Configuración'!$C$6,0))</f>
        <v>0</v>
      </c>
      <c r="K101" s="78">
        <f t="shared" si="1"/>
        <v>4.4411</v>
      </c>
      <c r="L101" s="78">
        <f t="shared" si="8"/>
        <v>3.9411</v>
      </c>
      <c r="M101" s="79">
        <f t="shared" si="9"/>
        <v>0.88741528</v>
      </c>
      <c r="N101" s="46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0" customHeight="1">
      <c r="A102" s="65">
        <v>98.0</v>
      </c>
      <c r="B102" s="86">
        <v>46134.0</v>
      </c>
      <c r="C102" s="84" t="s">
        <v>95</v>
      </c>
      <c r="D102" s="67" t="str">
        <f>IFERROR(VLOOKUP(C102,'Catálogo Productos'!$B$3:$E$200,2,0),"")</f>
        <v>Guitarra Electrica</v>
      </c>
      <c r="E102" s="68">
        <f>IFERROR(VLOOKUP(C102,'Catálogo Productos'!$B$3:$E$200,3,0),"")</f>
        <v>1.21</v>
      </c>
      <c r="F102" s="69">
        <f>IFERROR(VLOOKUP(C102,'Catálogo Productos'!$B$3:$E$200,4,0),"")</f>
        <v>5.49</v>
      </c>
      <c r="G102" s="78">
        <f>IF(F102="","",IF(I102="SÍ",F102*'Configuración'!$C$5,0))</f>
        <v>0</v>
      </c>
      <c r="H102" s="80" t="s">
        <v>91</v>
      </c>
      <c r="I102" s="82" t="s">
        <v>98</v>
      </c>
      <c r="J102" s="72">
        <f>IF(F102="","",IF(H102="SÍ",'Configuración'!$C$6,0))</f>
        <v>0</v>
      </c>
      <c r="K102" s="78">
        <f t="shared" si="1"/>
        <v>5.49</v>
      </c>
      <c r="L102" s="78">
        <f t="shared" si="8"/>
        <v>4.28</v>
      </c>
      <c r="M102" s="79">
        <f t="shared" si="9"/>
        <v>0.7795992714</v>
      </c>
      <c r="N102" s="46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0" customHeight="1">
      <c r="A103" s="65">
        <v>100.0</v>
      </c>
      <c r="B103" s="86">
        <v>46134.0</v>
      </c>
      <c r="C103" s="84" t="s">
        <v>93</v>
      </c>
      <c r="D103" s="67" t="str">
        <f>IFERROR(VLOOKUP(C103,'Catálogo Productos'!$B$3:$E$200,2,0),"")</f>
        <v>Bases, Stand, Atriles</v>
      </c>
      <c r="E103" s="68">
        <f>IFERROR(VLOOKUP(C103,'Catálogo Productos'!$B$3:$E$200,3,0),"")</f>
        <v>0.5</v>
      </c>
      <c r="F103" s="69">
        <f>IFERROR(VLOOKUP(C103,'Catálogo Productos'!$B$3:$E$200,4,0),"")</f>
        <v>4.99</v>
      </c>
      <c r="G103" s="78">
        <f>IF(F103="","",IF(I103="SÍ",F103*'Configuración'!$C$5,0))</f>
        <v>0.5489</v>
      </c>
      <c r="H103" s="42" t="s">
        <v>88</v>
      </c>
      <c r="I103" s="43" t="s">
        <v>88</v>
      </c>
      <c r="J103" s="72">
        <f>IF(F103="","",IF(H103="SÍ",'Configuración'!$C$6,0))</f>
        <v>1.3</v>
      </c>
      <c r="K103" s="78">
        <f t="shared" si="1"/>
        <v>3.1411</v>
      </c>
      <c r="L103" s="78">
        <f t="shared" si="8"/>
        <v>2.6411</v>
      </c>
      <c r="M103" s="79">
        <f t="shared" si="9"/>
        <v>0.8408200949</v>
      </c>
      <c r="N103" s="46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0" customHeight="1">
      <c r="A104" s="65">
        <v>101.0</v>
      </c>
      <c r="B104" s="86">
        <v>46134.0</v>
      </c>
      <c r="C104" s="84" t="s">
        <v>93</v>
      </c>
      <c r="D104" s="67" t="str">
        <f>IFERROR(VLOOKUP(C104,'Catálogo Productos'!$B$3:$E$200,2,0),"")</f>
        <v>Bases, Stand, Atriles</v>
      </c>
      <c r="E104" s="68">
        <f>IFERROR(VLOOKUP(C104,'Catálogo Productos'!$B$3:$E$200,3,0),"")</f>
        <v>0.5</v>
      </c>
      <c r="F104" s="69">
        <f>IFERROR(VLOOKUP(C104,'Catálogo Productos'!$B$3:$E$200,4,0),"")</f>
        <v>4.99</v>
      </c>
      <c r="G104" s="78">
        <f>IF(F104="","",IF(I104="SÍ",F104*'Configuración'!$C$5,0))</f>
        <v>0</v>
      </c>
      <c r="H104" s="80" t="s">
        <v>91</v>
      </c>
      <c r="I104" s="82" t="s">
        <v>98</v>
      </c>
      <c r="J104" s="72">
        <f>IF(F104="","",IF(H104="SÍ",'Configuración'!$C$6,0))</f>
        <v>0</v>
      </c>
      <c r="K104" s="78">
        <f t="shared" si="1"/>
        <v>4.99</v>
      </c>
      <c r="L104" s="78">
        <f t="shared" si="8"/>
        <v>4.49</v>
      </c>
      <c r="M104" s="79">
        <f t="shared" si="9"/>
        <v>0.8997995992</v>
      </c>
      <c r="N104" s="46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0" customHeight="1">
      <c r="A105" s="65">
        <v>102.0</v>
      </c>
      <c r="B105" s="86">
        <v>46134.0</v>
      </c>
      <c r="C105" s="84" t="s">
        <v>93</v>
      </c>
      <c r="D105" s="67" t="str">
        <f>IFERROR(VLOOKUP(C105,'Catálogo Productos'!$B$3:$E$200,2,0),"")</f>
        <v>Bases, Stand, Atriles</v>
      </c>
      <c r="E105" s="68">
        <f>IFERROR(VLOOKUP(C105,'Catálogo Productos'!$B$3:$E$200,3,0),"")</f>
        <v>0.5</v>
      </c>
      <c r="F105" s="69">
        <f>IFERROR(VLOOKUP(C105,'Catálogo Productos'!$B$3:$E$200,4,0),"")</f>
        <v>4.99</v>
      </c>
      <c r="G105" s="78">
        <f>IF(F105="","",IF(I105="SÍ",F105*'Configuración'!$C$5,0))</f>
        <v>0</v>
      </c>
      <c r="H105" s="80" t="s">
        <v>91</v>
      </c>
      <c r="I105" s="82" t="s">
        <v>98</v>
      </c>
      <c r="J105" s="72">
        <f>IF(F105="","",IF(H105="SÍ",'Configuración'!$C$6,0))</f>
        <v>0</v>
      </c>
      <c r="K105" s="78">
        <f t="shared" si="1"/>
        <v>4.99</v>
      </c>
      <c r="L105" s="78">
        <f t="shared" si="8"/>
        <v>4.49</v>
      </c>
      <c r="M105" s="79">
        <f t="shared" si="9"/>
        <v>0.8997995992</v>
      </c>
      <c r="N105" s="46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0" customHeight="1">
      <c r="A106" s="65">
        <v>103.0</v>
      </c>
      <c r="B106" s="86">
        <v>46134.0</v>
      </c>
      <c r="C106" s="84" t="s">
        <v>93</v>
      </c>
      <c r="D106" s="67" t="str">
        <f>IFERROR(VLOOKUP(C106,'Catálogo Productos'!$B$3:$E$200,2,0),"")</f>
        <v>Bases, Stand, Atriles</v>
      </c>
      <c r="E106" s="68">
        <f>IFERROR(VLOOKUP(C106,'Catálogo Productos'!$B$3:$E$200,3,0),"")</f>
        <v>0.5</v>
      </c>
      <c r="F106" s="69">
        <f>IFERROR(VLOOKUP(C106,'Catálogo Productos'!$B$3:$E$200,4,0),"")</f>
        <v>4.99</v>
      </c>
      <c r="G106" s="78">
        <f>IF(F106="","",IF(I106="SÍ",F106*'Configuración'!$C$5,0))</f>
        <v>0</v>
      </c>
      <c r="H106" s="80" t="s">
        <v>91</v>
      </c>
      <c r="I106" s="82" t="s">
        <v>98</v>
      </c>
      <c r="J106" s="72">
        <f>IF(F106="","",IF(H106="SÍ",'Configuración'!$C$6,0))</f>
        <v>0</v>
      </c>
      <c r="K106" s="78">
        <f t="shared" si="1"/>
        <v>4.99</v>
      </c>
      <c r="L106" s="78">
        <f t="shared" si="8"/>
        <v>4.49</v>
      </c>
      <c r="M106" s="79">
        <f t="shared" si="9"/>
        <v>0.8997995992</v>
      </c>
      <c r="N106" s="46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0" customHeight="1">
      <c r="A107" s="65">
        <v>104.0</v>
      </c>
      <c r="B107" s="86">
        <v>46134.0</v>
      </c>
      <c r="C107" s="84" t="s">
        <v>89</v>
      </c>
      <c r="D107" s="67" t="str">
        <f>IFERROR(VLOOKUP(C107,'Catálogo Productos'!$B$3:$E$200,2,0),"")</f>
        <v>Guitarra Clasica</v>
      </c>
      <c r="E107" s="68">
        <f>IFERROR(VLOOKUP(C107,'Catálogo Productos'!$B$3:$E$200,3,0),"")</f>
        <v>1.21</v>
      </c>
      <c r="F107" s="69">
        <f>IFERROR(VLOOKUP(C107,'Catálogo Productos'!$B$3:$E$200,4,0),"")</f>
        <v>5.49</v>
      </c>
      <c r="G107" s="78">
        <f>IF(F107="","",IF(I107="SÍ",F107*'Configuración'!$C$5,0))</f>
        <v>0.6039</v>
      </c>
      <c r="H107" s="42" t="s">
        <v>88</v>
      </c>
      <c r="I107" s="43" t="s">
        <v>88</v>
      </c>
      <c r="J107" s="72">
        <f>IF(F107="","",IF(H107="SÍ",'Configuración'!$C$6,0))</f>
        <v>1.3</v>
      </c>
      <c r="K107" s="78">
        <f t="shared" si="1"/>
        <v>3.5861</v>
      </c>
      <c r="L107" s="78">
        <f t="shared" si="8"/>
        <v>2.3761</v>
      </c>
      <c r="M107" s="79">
        <f t="shared" si="9"/>
        <v>0.6625860963</v>
      </c>
      <c r="N107" s="46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0" customHeight="1">
      <c r="A108" s="65">
        <v>105.0</v>
      </c>
      <c r="B108" s="86">
        <v>46134.0</v>
      </c>
      <c r="C108" s="84" t="s">
        <v>105</v>
      </c>
      <c r="D108" s="67" t="str">
        <f>IFERROR(VLOOKUP(C108,'Catálogo Productos'!$B$3:$E$200,2,0),"")</f>
        <v>Guitarra Clasica</v>
      </c>
      <c r="E108" s="68">
        <f>IFERROR(VLOOKUP(C108,'Catálogo Productos'!$B$3:$E$200,3,0),"")</f>
        <v>0.01</v>
      </c>
      <c r="F108" s="69">
        <f>IFERROR(VLOOKUP(C108,'Catálogo Productos'!$B$3:$E$200,4,0),"")</f>
        <v>5</v>
      </c>
      <c r="G108" s="78">
        <f>IF(F108="","",IF(I108="SÍ",F108*'Configuración'!$C$5,0))</f>
        <v>0.55</v>
      </c>
      <c r="H108" s="42" t="s">
        <v>88</v>
      </c>
      <c r="I108" s="43" t="s">
        <v>88</v>
      </c>
      <c r="J108" s="72">
        <f>IF(F108="","",IF(H108="SÍ",'Configuración'!$C$6,0))</f>
        <v>1.3</v>
      </c>
      <c r="K108" s="78">
        <f t="shared" si="1"/>
        <v>3.15</v>
      </c>
      <c r="L108" s="78">
        <f t="shared" si="8"/>
        <v>3.14</v>
      </c>
      <c r="M108" s="79">
        <f t="shared" si="9"/>
        <v>0.9968253968</v>
      </c>
      <c r="N108" s="46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0" customHeight="1">
      <c r="A109" s="65">
        <v>106.0</v>
      </c>
      <c r="B109" s="86">
        <v>46134.0</v>
      </c>
      <c r="C109" s="84" t="s">
        <v>99</v>
      </c>
      <c r="D109" s="67" t="str">
        <f>IFERROR(VLOOKUP(C109,'Catálogo Productos'!$B$3:$E$200,2,0),"")</f>
        <v>Violin</v>
      </c>
      <c r="E109" s="68">
        <f>IFERROR(VLOOKUP(C109,'Catálogo Productos'!$B$3:$E$200,3,0),"")</f>
        <v>2.69</v>
      </c>
      <c r="F109" s="69">
        <f>IFERROR(VLOOKUP(C109,'Catálogo Productos'!$B$3:$E$200,4,0),"")</f>
        <v>11</v>
      </c>
      <c r="G109" s="78">
        <f>IF(F109="","",IF(I109="SÍ",F109*'Configuración'!$C$5,0))</f>
        <v>1.21</v>
      </c>
      <c r="H109" s="42" t="s">
        <v>88</v>
      </c>
      <c r="I109" s="43" t="s">
        <v>88</v>
      </c>
      <c r="J109" s="72">
        <f>IF(F109="","",IF(H109="SÍ",'Configuración'!$C$6,0))</f>
        <v>1.3</v>
      </c>
      <c r="K109" s="78">
        <f t="shared" si="1"/>
        <v>8.49</v>
      </c>
      <c r="L109" s="78">
        <f t="shared" si="8"/>
        <v>4.8</v>
      </c>
      <c r="M109" s="79">
        <f t="shared" si="9"/>
        <v>0.5653710247</v>
      </c>
      <c r="N109" s="60">
        <v>1.0</v>
      </c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0" customHeight="1">
      <c r="A110" s="65">
        <v>107.0</v>
      </c>
      <c r="B110" s="86">
        <v>46135.0</v>
      </c>
      <c r="C110" s="84" t="s">
        <v>89</v>
      </c>
      <c r="D110" s="67" t="str">
        <f>IFERROR(VLOOKUP(C110,'Catálogo Productos'!$B$3:$E$200,2,0),"")</f>
        <v>Guitarra Clasica</v>
      </c>
      <c r="E110" s="68">
        <f>IFERROR(VLOOKUP(C110,'Catálogo Productos'!$B$3:$E$200,3,0),"")</f>
        <v>1.21</v>
      </c>
      <c r="F110" s="69">
        <f>IFERROR(VLOOKUP(C110,'Catálogo Productos'!$B$3:$E$200,4,0),"")</f>
        <v>5.49</v>
      </c>
      <c r="G110" s="78">
        <f>IF(F110="","",IF(I110="SÍ",F110*'Configuración'!$C$5,0))</f>
        <v>0.6039</v>
      </c>
      <c r="H110" s="80" t="s">
        <v>91</v>
      </c>
      <c r="I110" s="43" t="s">
        <v>88</v>
      </c>
      <c r="J110" s="72">
        <f>IF(F110="","",IF(H110="SÍ",'Configuración'!$C$6,0))</f>
        <v>0</v>
      </c>
      <c r="K110" s="78">
        <f t="shared" si="1"/>
        <v>4.8861</v>
      </c>
      <c r="L110" s="78">
        <f t="shared" si="8"/>
        <v>3.6761</v>
      </c>
      <c r="M110" s="79">
        <f t="shared" si="9"/>
        <v>0.7523587319</v>
      </c>
      <c r="N110" s="46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0" customHeight="1">
      <c r="A111" s="65">
        <v>108.0</v>
      </c>
      <c r="B111" s="85">
        <v>46135.0</v>
      </c>
      <c r="C111" s="84" t="s">
        <v>107</v>
      </c>
      <c r="D111" s="67" t="str">
        <f>IFERROR(VLOOKUP(C111,'Catálogo Productos'!$B$3:$E$200,2,0),"")</f>
        <v>Bateria</v>
      </c>
      <c r="E111" s="68">
        <f>IFERROR(VLOOKUP(C111,'Catálogo Productos'!$B$3:$E$200,3,0),"")</f>
        <v>0.71</v>
      </c>
      <c r="F111" s="69">
        <f>IFERROR(VLOOKUP(C111,'Catálogo Productos'!$B$3:$E$200,4,0),"")</f>
        <v>5</v>
      </c>
      <c r="G111" s="78">
        <f>IF(F111="","",IF(I111="SÍ",F111*'Configuración'!$C$5,0))</f>
        <v>0.55</v>
      </c>
      <c r="H111" s="42" t="s">
        <v>88</v>
      </c>
      <c r="I111" s="43" t="s">
        <v>88</v>
      </c>
      <c r="J111" s="72">
        <f>IF(F111="","",IF(H111="SÍ",'Configuración'!$C$6,0))</f>
        <v>1.3</v>
      </c>
      <c r="K111" s="78">
        <f t="shared" si="1"/>
        <v>3.15</v>
      </c>
      <c r="L111" s="78">
        <f t="shared" si="8"/>
        <v>2.44</v>
      </c>
      <c r="M111" s="79">
        <f t="shared" si="9"/>
        <v>0.7746031746</v>
      </c>
      <c r="N111" s="46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0" customHeight="1">
      <c r="A112" s="65">
        <v>109.0</v>
      </c>
      <c r="B112" s="85">
        <v>46135.0</v>
      </c>
      <c r="C112" s="84" t="s">
        <v>108</v>
      </c>
      <c r="D112" s="67" t="str">
        <f>IFERROR(VLOOKUP(C112,'Catálogo Productos'!$B$3:$E$200,2,0),"")</f>
        <v>Bateria</v>
      </c>
      <c r="E112" s="68">
        <f>IFERROR(VLOOKUP(C112,'Catálogo Productos'!$B$3:$E$200,3,0),"")</f>
        <v>0.71</v>
      </c>
      <c r="F112" s="69">
        <f>IFERROR(VLOOKUP(C112,'Catálogo Productos'!$B$3:$E$200,4,0),"")</f>
        <v>5</v>
      </c>
      <c r="G112" s="78">
        <f>IF(F112="","",IF(I112="SÍ",F112*'Configuración'!$C$5,0))</f>
        <v>0.55</v>
      </c>
      <c r="H112" s="80" t="s">
        <v>91</v>
      </c>
      <c r="I112" s="43" t="s">
        <v>88</v>
      </c>
      <c r="J112" s="72">
        <f>IF(F112="","",IF(H112="SÍ",'Configuración'!$C$6,0))</f>
        <v>0</v>
      </c>
      <c r="K112" s="78">
        <f t="shared" si="1"/>
        <v>4.45</v>
      </c>
      <c r="L112" s="78">
        <f t="shared" si="8"/>
        <v>3.74</v>
      </c>
      <c r="M112" s="79">
        <f t="shared" si="9"/>
        <v>0.8404494382</v>
      </c>
      <c r="N112" s="46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0" customHeight="1">
      <c r="A113" s="65">
        <v>110.0</v>
      </c>
      <c r="B113" s="85">
        <v>46135.0</v>
      </c>
      <c r="C113" s="84" t="s">
        <v>99</v>
      </c>
      <c r="D113" s="67" t="str">
        <f>IFERROR(VLOOKUP(C113,'Catálogo Productos'!$B$3:$E$200,2,0),"")</f>
        <v>Violin</v>
      </c>
      <c r="E113" s="68">
        <f>IFERROR(VLOOKUP(C113,'Catálogo Productos'!$B$3:$E$200,3,0),"")</f>
        <v>2.69</v>
      </c>
      <c r="F113" s="69">
        <f>IFERROR(VLOOKUP(C113,'Catálogo Productos'!$B$3:$E$200,4,0),"")</f>
        <v>11</v>
      </c>
      <c r="G113" s="78">
        <f>IF(F113="","",IF(I113="SÍ",F113*'Configuración'!$C$5,0))</f>
        <v>1.21</v>
      </c>
      <c r="H113" s="42" t="s">
        <v>88</v>
      </c>
      <c r="I113" s="43" t="s">
        <v>88</v>
      </c>
      <c r="J113" s="72">
        <f>IF(F113="","",IF(H113="SÍ",'Configuración'!$C$6,0))</f>
        <v>1.3</v>
      </c>
      <c r="K113" s="78">
        <f t="shared" si="1"/>
        <v>8.49</v>
      </c>
      <c r="L113" s="78">
        <f t="shared" si="8"/>
        <v>4.8</v>
      </c>
      <c r="M113" s="79">
        <f t="shared" si="9"/>
        <v>0.5653710247</v>
      </c>
      <c r="N113" s="60">
        <v>1.0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0" customHeight="1">
      <c r="A114" s="65">
        <v>111.0</v>
      </c>
      <c r="B114" s="85">
        <v>46135.0</v>
      </c>
      <c r="C114" s="84" t="s">
        <v>87</v>
      </c>
      <c r="D114" s="67" t="str">
        <f>IFERROR(VLOOKUP(C114,'Catálogo Productos'!$B$3:$E$200,2,0),"")</f>
        <v>Violin</v>
      </c>
      <c r="E114" s="68">
        <f>IFERROR(VLOOKUP(C114,'Catálogo Productos'!$B$3:$E$200,3,0),"")</f>
        <v>1.06</v>
      </c>
      <c r="F114" s="69">
        <f>IFERROR(VLOOKUP(C114,'Catálogo Productos'!$B$3:$E$200,4,0),"")</f>
        <v>4.99</v>
      </c>
      <c r="G114" s="78">
        <f>IF(F114="","",IF(I114="SÍ",F114*'Configuración'!$C$5,0))</f>
        <v>0.5489</v>
      </c>
      <c r="H114" s="42" t="s">
        <v>88</v>
      </c>
      <c r="I114" s="43" t="s">
        <v>88</v>
      </c>
      <c r="J114" s="72">
        <f>IF(F114="","",IF(H114="SÍ",'Configuración'!$C$6,0))</f>
        <v>1.3</v>
      </c>
      <c r="K114" s="78">
        <f t="shared" si="1"/>
        <v>3.1411</v>
      </c>
      <c r="L114" s="78">
        <f t="shared" si="8"/>
        <v>2.0811</v>
      </c>
      <c r="M114" s="79">
        <f t="shared" si="9"/>
        <v>0.6625386011</v>
      </c>
      <c r="N114" s="46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0" customHeight="1">
      <c r="A115" s="65">
        <v>112.0</v>
      </c>
      <c r="B115" s="85">
        <v>46135.0</v>
      </c>
      <c r="C115" s="84" t="s">
        <v>109</v>
      </c>
      <c r="D115" s="67" t="str">
        <f>IFERROR(VLOOKUP(C115,'Catálogo Productos'!$B$3:$E$200,2,0),"")</f>
        <v>Viola</v>
      </c>
      <c r="E115" s="68">
        <f>IFERROR(VLOOKUP(C115,'Catálogo Productos'!$B$3:$E$200,3,0),"")</f>
        <v>1.48</v>
      </c>
      <c r="F115" s="69">
        <f>IFERROR(VLOOKUP(C115,'Catálogo Productos'!$B$3:$E$200,4,0),"")</f>
        <v>6</v>
      </c>
      <c r="G115" s="78">
        <f>IF(F115="","",IF(I115="SÍ",F115*'Configuración'!$C$5,0))</f>
        <v>0.66</v>
      </c>
      <c r="H115" s="42" t="s">
        <v>88</v>
      </c>
      <c r="I115" s="43" t="s">
        <v>88</v>
      </c>
      <c r="J115" s="72">
        <f>IF(F115="","",IF(H115="SÍ",'Configuración'!$C$6,0))</f>
        <v>1.3</v>
      </c>
      <c r="K115" s="78">
        <f t="shared" si="1"/>
        <v>4.04</v>
      </c>
      <c r="L115" s="78">
        <f t="shared" si="8"/>
        <v>2.56</v>
      </c>
      <c r="M115" s="79">
        <f t="shared" si="9"/>
        <v>0.6336633663</v>
      </c>
      <c r="N115" s="46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0" customHeight="1">
      <c r="A116" s="65">
        <v>113.0</v>
      </c>
      <c r="B116" s="85">
        <v>46136.0</v>
      </c>
      <c r="C116" s="84" t="s">
        <v>93</v>
      </c>
      <c r="D116" s="67" t="str">
        <f>IFERROR(VLOOKUP(C116,'Catálogo Productos'!$B$3:$E$200,2,0),"")</f>
        <v>Bases, Stand, Atriles</v>
      </c>
      <c r="E116" s="68">
        <f>IFERROR(VLOOKUP(C116,'Catálogo Productos'!$B$3:$E$200,3,0),"")</f>
        <v>0.5</v>
      </c>
      <c r="F116" s="69">
        <f>IFERROR(VLOOKUP(C116,'Catálogo Productos'!$B$3:$E$200,4,0),"")</f>
        <v>4.99</v>
      </c>
      <c r="G116" s="78">
        <f>IF(F116="","",IF(I116="SÍ",F116*'Configuración'!$C$5,0))</f>
        <v>0.5489</v>
      </c>
      <c r="H116" s="42" t="s">
        <v>88</v>
      </c>
      <c r="I116" s="43" t="s">
        <v>88</v>
      </c>
      <c r="J116" s="72">
        <f>IF(F116="","",IF(H116="SÍ",'Configuración'!$C$6,0))</f>
        <v>1.3</v>
      </c>
      <c r="K116" s="78">
        <f t="shared" si="1"/>
        <v>3.1411</v>
      </c>
      <c r="L116" s="78">
        <f t="shared" si="8"/>
        <v>2.6411</v>
      </c>
      <c r="M116" s="79">
        <f t="shared" si="9"/>
        <v>0.8408200949</v>
      </c>
      <c r="N116" s="46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0" customHeight="1">
      <c r="A117" s="65">
        <v>114.0</v>
      </c>
      <c r="B117" s="85">
        <v>46136.0</v>
      </c>
      <c r="C117" s="84" t="s">
        <v>93</v>
      </c>
      <c r="D117" s="67" t="str">
        <f>IFERROR(VLOOKUP(C117,'Catálogo Productos'!$B$3:$E$200,2,0),"")</f>
        <v>Bases, Stand, Atriles</v>
      </c>
      <c r="E117" s="68">
        <f>IFERROR(VLOOKUP(C117,'Catálogo Productos'!$B$3:$E$200,3,0),"")</f>
        <v>0.5</v>
      </c>
      <c r="F117" s="69">
        <f>IFERROR(VLOOKUP(C117,'Catálogo Productos'!$B$3:$E$200,4,0),"")</f>
        <v>4.99</v>
      </c>
      <c r="G117" s="78">
        <f>IF(F117="","",IF(I117="SÍ",F117*'Configuración'!$C$5,0))</f>
        <v>0</v>
      </c>
      <c r="H117" s="80" t="s">
        <v>91</v>
      </c>
      <c r="I117" s="82" t="s">
        <v>98</v>
      </c>
      <c r="J117" s="72">
        <f>IF(F117="","",IF(H117="SÍ",'Configuración'!$C$6,0))</f>
        <v>0</v>
      </c>
      <c r="K117" s="78">
        <f t="shared" si="1"/>
        <v>4.99</v>
      </c>
      <c r="L117" s="78">
        <f t="shared" si="8"/>
        <v>4.49</v>
      </c>
      <c r="M117" s="79">
        <f t="shared" si="9"/>
        <v>0.8997995992</v>
      </c>
      <c r="N117" s="46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0" customHeight="1">
      <c r="A118" s="65">
        <v>115.0</v>
      </c>
      <c r="B118" s="85">
        <v>46136.0</v>
      </c>
      <c r="C118" s="84" t="s">
        <v>93</v>
      </c>
      <c r="D118" s="67" t="str">
        <f>IFERROR(VLOOKUP(C118,'Catálogo Productos'!$B$3:$E$200,2,0),"")</f>
        <v>Bases, Stand, Atriles</v>
      </c>
      <c r="E118" s="68">
        <f>IFERROR(VLOOKUP(C118,'Catálogo Productos'!$B$3:$E$200,3,0),"")</f>
        <v>0.5</v>
      </c>
      <c r="F118" s="69">
        <f>IFERROR(VLOOKUP(C118,'Catálogo Productos'!$B$3:$E$200,4,0),"")</f>
        <v>4.99</v>
      </c>
      <c r="G118" s="78">
        <f>IF(F118="","",IF(I118="SÍ",F118*'Configuración'!$C$5,0))</f>
        <v>0</v>
      </c>
      <c r="H118" s="80" t="s">
        <v>91</v>
      </c>
      <c r="I118" s="82" t="s">
        <v>98</v>
      </c>
      <c r="J118" s="72">
        <f>IF(F118="","",IF(H118="SÍ",'Configuración'!$C$6,0))</f>
        <v>0</v>
      </c>
      <c r="K118" s="78">
        <f t="shared" si="1"/>
        <v>4.99</v>
      </c>
      <c r="L118" s="78">
        <f t="shared" si="8"/>
        <v>4.49</v>
      </c>
      <c r="M118" s="79">
        <f t="shared" si="9"/>
        <v>0.8997995992</v>
      </c>
      <c r="N118" s="46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0" customHeight="1">
      <c r="A119" s="65">
        <v>116.0</v>
      </c>
      <c r="B119" s="85">
        <v>46136.0</v>
      </c>
      <c r="C119" s="84" t="s">
        <v>93</v>
      </c>
      <c r="D119" s="67" t="str">
        <f>IFERROR(VLOOKUP(C119,'Catálogo Productos'!$B$3:$E$200,2,0),"")</f>
        <v>Bases, Stand, Atriles</v>
      </c>
      <c r="E119" s="68">
        <f>IFERROR(VLOOKUP(C119,'Catálogo Productos'!$B$3:$E$200,3,0),"")</f>
        <v>0.5</v>
      </c>
      <c r="F119" s="69">
        <f>IFERROR(VLOOKUP(C119,'Catálogo Productos'!$B$3:$E$200,4,0),"")</f>
        <v>4.99</v>
      </c>
      <c r="G119" s="78">
        <f>IF(F119="","",IF(I119="SÍ",F119*'Configuración'!$C$5,0))</f>
        <v>0</v>
      </c>
      <c r="H119" s="80" t="s">
        <v>91</v>
      </c>
      <c r="I119" s="82" t="s">
        <v>98</v>
      </c>
      <c r="J119" s="72">
        <f>IF(F119="","",IF(H119="SÍ",'Configuración'!$C$6,0))</f>
        <v>0</v>
      </c>
      <c r="K119" s="78">
        <f t="shared" si="1"/>
        <v>4.99</v>
      </c>
      <c r="L119" s="78">
        <f t="shared" si="8"/>
        <v>4.49</v>
      </c>
      <c r="M119" s="79">
        <f t="shared" si="9"/>
        <v>0.8997995992</v>
      </c>
      <c r="N119" s="46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0" customHeight="1">
      <c r="A120" s="65">
        <v>117.0</v>
      </c>
      <c r="B120" s="85">
        <v>46136.0</v>
      </c>
      <c r="C120" s="84" t="s">
        <v>92</v>
      </c>
      <c r="D120" s="67" t="str">
        <f>IFERROR(VLOOKUP(C120,'Catálogo Productos'!$B$3:$E$200,2,0),"")</f>
        <v>Cables</v>
      </c>
      <c r="E120" s="68">
        <f>IFERROR(VLOOKUP(C120,'Catálogo Productos'!$B$3:$E$200,3,0),"")</f>
        <v>1.91</v>
      </c>
      <c r="F120" s="69">
        <f>IFERROR(VLOOKUP(C120,'Catálogo Productos'!$B$3:$E$200,4,0),"")</f>
        <v>10</v>
      </c>
      <c r="G120" s="78">
        <f>IF(F120="","",IF(I120="SÍ",F120*'Configuración'!$C$5,0))</f>
        <v>1.1</v>
      </c>
      <c r="H120" s="80" t="s">
        <v>91</v>
      </c>
      <c r="I120" s="43" t="s">
        <v>88</v>
      </c>
      <c r="J120" s="72">
        <f>IF(F120="","",IF(H120="SÍ",'Configuración'!$C$6,0))</f>
        <v>0</v>
      </c>
      <c r="K120" s="78">
        <f t="shared" si="1"/>
        <v>8.9</v>
      </c>
      <c r="L120" s="78">
        <f t="shared" si="8"/>
        <v>6.99</v>
      </c>
      <c r="M120" s="79">
        <f t="shared" si="9"/>
        <v>0.7853932584</v>
      </c>
      <c r="N120" s="46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0" customHeight="1">
      <c r="A121" s="65">
        <v>118.0</v>
      </c>
      <c r="B121" s="85">
        <v>46136.0</v>
      </c>
      <c r="C121" s="84" t="s">
        <v>92</v>
      </c>
      <c r="D121" s="67" t="str">
        <f>IFERROR(VLOOKUP(C121,'Catálogo Productos'!$B$3:$E$200,2,0),"")</f>
        <v>Cables</v>
      </c>
      <c r="E121" s="68">
        <f>IFERROR(VLOOKUP(C121,'Catálogo Productos'!$B$3:$E$200,3,0),"")</f>
        <v>1.91</v>
      </c>
      <c r="F121" s="69">
        <f>IFERROR(VLOOKUP(C121,'Catálogo Productos'!$B$3:$E$200,4,0),"")</f>
        <v>10</v>
      </c>
      <c r="G121" s="78">
        <f>IF(F121="","",IF(I121="SÍ",F121*'Configuración'!$C$5,0))</f>
        <v>1.1</v>
      </c>
      <c r="H121" s="80" t="s">
        <v>91</v>
      </c>
      <c r="I121" s="43" t="s">
        <v>88</v>
      </c>
      <c r="J121" s="72">
        <f>IF(F121="","",IF(H121="SÍ",'Configuración'!$C$6,0))</f>
        <v>0</v>
      </c>
      <c r="K121" s="78">
        <f t="shared" si="1"/>
        <v>8.9</v>
      </c>
      <c r="L121" s="78">
        <f t="shared" si="8"/>
        <v>6.99</v>
      </c>
      <c r="M121" s="79">
        <f t="shared" si="9"/>
        <v>0.7853932584</v>
      </c>
      <c r="N121" s="46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0" customHeight="1">
      <c r="A122" s="65">
        <v>119.0</v>
      </c>
      <c r="B122" s="85">
        <v>46136.0</v>
      </c>
      <c r="C122" s="84" t="s">
        <v>92</v>
      </c>
      <c r="D122" s="67" t="str">
        <f>IFERROR(VLOOKUP(C122,'Catálogo Productos'!$B$3:$E$200,2,0),"")</f>
        <v>Cables</v>
      </c>
      <c r="E122" s="68">
        <f>IFERROR(VLOOKUP(C122,'Catálogo Productos'!$B$3:$E$200,3,0),"")</f>
        <v>1.91</v>
      </c>
      <c r="F122" s="69">
        <f>IFERROR(VLOOKUP(C122,'Catálogo Productos'!$B$3:$E$200,4,0),"")</f>
        <v>10</v>
      </c>
      <c r="G122" s="78">
        <f>IF(F122="","",IF(I122="SÍ",F122*'Configuración'!$C$5,0))</f>
        <v>1.1</v>
      </c>
      <c r="H122" s="80" t="s">
        <v>91</v>
      </c>
      <c r="I122" s="43" t="s">
        <v>88</v>
      </c>
      <c r="J122" s="72">
        <f>IF(F122="","",IF(H122="SÍ",'Configuración'!$C$6,0))</f>
        <v>0</v>
      </c>
      <c r="K122" s="78">
        <f t="shared" si="1"/>
        <v>8.9</v>
      </c>
      <c r="L122" s="78">
        <f t="shared" si="8"/>
        <v>6.99</v>
      </c>
      <c r="M122" s="79">
        <f t="shared" si="9"/>
        <v>0.7853932584</v>
      </c>
      <c r="N122" s="46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0" customHeight="1">
      <c r="A123" s="65">
        <v>120.0</v>
      </c>
      <c r="B123" s="85">
        <v>46136.0</v>
      </c>
      <c r="C123" s="84" t="s">
        <v>96</v>
      </c>
      <c r="D123" s="67" t="str">
        <f>IFERROR(VLOOKUP(C123,'Catálogo Productos'!$B$3:$E$200,2,0),"")</f>
        <v> Bajo Electrico</v>
      </c>
      <c r="E123" s="68">
        <f>IFERROR(VLOOKUP(C123,'Catálogo Productos'!$B$3:$E$200,3,0),"")</f>
        <v>3.03</v>
      </c>
      <c r="F123" s="69">
        <f>IFERROR(VLOOKUP(C123,'Catálogo Productos'!$B$3:$E$200,4,0),"")</f>
        <v>12.99</v>
      </c>
      <c r="G123" s="78">
        <f>IF(F123="","",IF(I123="SÍ",F123*'Configuración'!$C$5,0))</f>
        <v>1.4289</v>
      </c>
      <c r="H123" s="42" t="s">
        <v>88</v>
      </c>
      <c r="I123" s="43" t="s">
        <v>88</v>
      </c>
      <c r="J123" s="72">
        <f>IF(F123="","",IF(H123="SÍ",'Configuración'!$C$6,0))</f>
        <v>1.3</v>
      </c>
      <c r="K123" s="78">
        <f t="shared" si="1"/>
        <v>10.2611</v>
      </c>
      <c r="L123" s="78">
        <f t="shared" si="8"/>
        <v>7.2311</v>
      </c>
      <c r="M123" s="79">
        <f t="shared" si="9"/>
        <v>0.7047100213</v>
      </c>
      <c r="N123" s="46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0" customHeight="1">
      <c r="A124" s="65">
        <v>121.0</v>
      </c>
      <c r="B124" s="85">
        <v>46137.0</v>
      </c>
      <c r="C124" s="84" t="s">
        <v>106</v>
      </c>
      <c r="D124" s="67" t="str">
        <f>IFERROR(VLOOKUP(C124,'Catálogo Productos'!$B$3:$E$200,2,0),"")</f>
        <v>Guitarra Clasica</v>
      </c>
      <c r="E124" s="68">
        <f>IFERROR(VLOOKUP(C124,'Catálogo Productos'!$B$3:$E$200,3,0),"")</f>
        <v>2.5</v>
      </c>
      <c r="F124" s="69">
        <f>IFERROR(VLOOKUP(C124,'Catálogo Productos'!$B$3:$E$200,4,0),"")</f>
        <v>9.99</v>
      </c>
      <c r="G124" s="78">
        <f>IF(F124="","",IF(I124="SÍ",F124*'Configuración'!$C$5,0))</f>
        <v>1.0989</v>
      </c>
      <c r="H124" s="42" t="s">
        <v>88</v>
      </c>
      <c r="I124" s="43" t="s">
        <v>88</v>
      </c>
      <c r="J124" s="72">
        <f>IF(F124="","",IF(H124="SÍ",'Configuración'!$C$6,0))</f>
        <v>1.3</v>
      </c>
      <c r="K124" s="78">
        <f t="shared" si="1"/>
        <v>7.5911</v>
      </c>
      <c r="L124" s="78">
        <f t="shared" si="8"/>
        <v>5.0911</v>
      </c>
      <c r="M124" s="79">
        <f t="shared" si="9"/>
        <v>0.6706669653</v>
      </c>
      <c r="N124" s="46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0" customHeight="1">
      <c r="A125" s="65">
        <v>122.0</v>
      </c>
      <c r="B125" s="85">
        <v>46137.0</v>
      </c>
      <c r="C125" s="84" t="s">
        <v>90</v>
      </c>
      <c r="D125" s="67" t="str">
        <f>IFERROR(VLOOKUP(C125,'Catálogo Productos'!$B$3:$E$200,2,0),"")</f>
        <v>Guitarra Electrica</v>
      </c>
      <c r="E125" s="68">
        <f>IFERROR(VLOOKUP(C125,'Catálogo Productos'!$B$3:$E$200,3,0),"")</f>
        <v>1.21</v>
      </c>
      <c r="F125" s="69">
        <f>IFERROR(VLOOKUP(C125,'Catálogo Productos'!$B$3:$E$200,4,0),"")</f>
        <v>5.49</v>
      </c>
      <c r="G125" s="78">
        <f>IF(F125="","",IF(I125="SÍ",F125*'Configuración'!$C$5,0))</f>
        <v>0.6039</v>
      </c>
      <c r="H125" s="42" t="s">
        <v>88</v>
      </c>
      <c r="I125" s="43" t="s">
        <v>88</v>
      </c>
      <c r="J125" s="72">
        <f>IF(F125="","",IF(H125="SÍ",'Configuración'!$C$6,0))</f>
        <v>1.3</v>
      </c>
      <c r="K125" s="78">
        <f t="shared" si="1"/>
        <v>3.5861</v>
      </c>
      <c r="L125" s="78">
        <f t="shared" si="8"/>
        <v>2.3761</v>
      </c>
      <c r="M125" s="79">
        <f t="shared" si="9"/>
        <v>0.6625860963</v>
      </c>
      <c r="N125" s="46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0" customHeight="1">
      <c r="A126" s="65">
        <v>123.0</v>
      </c>
      <c r="B126" s="85">
        <v>46137.0</v>
      </c>
      <c r="C126" s="84" t="s">
        <v>90</v>
      </c>
      <c r="D126" s="67" t="str">
        <f>IFERROR(VLOOKUP(C126,'Catálogo Productos'!$B$3:$E$200,2,0),"")</f>
        <v>Guitarra Electrica</v>
      </c>
      <c r="E126" s="68">
        <f>IFERROR(VLOOKUP(C126,'Catálogo Productos'!$B$3:$E$200,3,0),"")</f>
        <v>1.21</v>
      </c>
      <c r="F126" s="69">
        <f>IFERROR(VLOOKUP(C126,'Catálogo Productos'!$B$3:$E$200,4,0),"")</f>
        <v>5.49</v>
      </c>
      <c r="G126" s="78">
        <f>IF(F126="","",IF(I126="SÍ",F126*'Configuración'!$C$5,0))</f>
        <v>0.6039</v>
      </c>
      <c r="H126" s="42" t="s">
        <v>88</v>
      </c>
      <c r="I126" s="43" t="s">
        <v>88</v>
      </c>
      <c r="J126" s="72">
        <f>IF(F126="","",IF(H126="SÍ",'Configuración'!$C$6,0))</f>
        <v>1.3</v>
      </c>
      <c r="K126" s="78">
        <f t="shared" si="1"/>
        <v>3.5861</v>
      </c>
      <c r="L126" s="78">
        <f t="shared" si="8"/>
        <v>2.3761</v>
      </c>
      <c r="M126" s="79">
        <f t="shared" si="9"/>
        <v>0.6625860963</v>
      </c>
      <c r="N126" s="46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0" customHeight="1">
      <c r="A127" s="65">
        <v>124.0</v>
      </c>
      <c r="B127" s="85">
        <v>46137.0</v>
      </c>
      <c r="C127" s="84" t="s">
        <v>90</v>
      </c>
      <c r="D127" s="67" t="str">
        <f>IFERROR(VLOOKUP(C127,'Catálogo Productos'!$B$3:$E$200,2,0),"")</f>
        <v>Guitarra Electrica</v>
      </c>
      <c r="E127" s="68">
        <f>IFERROR(VLOOKUP(C127,'Catálogo Productos'!$B$3:$E$200,3,0),"")</f>
        <v>1.21</v>
      </c>
      <c r="F127" s="69">
        <f>IFERROR(VLOOKUP(C127,'Catálogo Productos'!$B$3:$E$200,4,0),"")</f>
        <v>5.49</v>
      </c>
      <c r="G127" s="78">
        <f>IF(F127="","",IF(I127="SÍ",F127*'Configuración'!$C$5,0))</f>
        <v>0.6039</v>
      </c>
      <c r="H127" s="42" t="s">
        <v>88</v>
      </c>
      <c r="I127" s="43" t="s">
        <v>88</v>
      </c>
      <c r="J127" s="72">
        <f>IF(F127="","",IF(H127="SÍ",'Configuración'!$C$6,0))</f>
        <v>1.3</v>
      </c>
      <c r="K127" s="78">
        <f t="shared" si="1"/>
        <v>3.5861</v>
      </c>
      <c r="L127" s="78">
        <f t="shared" si="8"/>
        <v>2.3761</v>
      </c>
      <c r="M127" s="79">
        <f t="shared" si="9"/>
        <v>0.6625860963</v>
      </c>
      <c r="N127" s="46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0" customHeight="1">
      <c r="A128" s="65">
        <v>125.0</v>
      </c>
      <c r="B128" s="85">
        <v>46138.0</v>
      </c>
      <c r="C128" s="84" t="s">
        <v>92</v>
      </c>
      <c r="D128" s="67" t="str">
        <f>IFERROR(VLOOKUP(C128,'Catálogo Productos'!$B$3:$E$200,2,0),"")</f>
        <v>Cables</v>
      </c>
      <c r="E128" s="68">
        <f>IFERROR(VLOOKUP(C128,'Catálogo Productos'!$B$3:$E$200,3,0),"")</f>
        <v>1.91</v>
      </c>
      <c r="F128" s="69">
        <f>IFERROR(VLOOKUP(C128,'Catálogo Productos'!$B$3:$E$200,4,0),"")</f>
        <v>10</v>
      </c>
      <c r="G128" s="78">
        <f>IF(F128="","",IF(I128="SÍ",F128*'Configuración'!$C$5,0))</f>
        <v>1.1</v>
      </c>
      <c r="H128" s="42" t="s">
        <v>88</v>
      </c>
      <c r="I128" s="43" t="s">
        <v>88</v>
      </c>
      <c r="J128" s="72">
        <f>IF(F128="","",IF(H128="SÍ",'Configuración'!$C$6,0))</f>
        <v>1.3</v>
      </c>
      <c r="K128" s="78">
        <f t="shared" si="1"/>
        <v>7.6</v>
      </c>
      <c r="L128" s="78">
        <f t="shared" si="8"/>
        <v>5.69</v>
      </c>
      <c r="M128" s="79">
        <f t="shared" si="9"/>
        <v>0.7486842105</v>
      </c>
      <c r="N128" s="46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0" customHeight="1">
      <c r="A129" s="65">
        <v>126.0</v>
      </c>
      <c r="B129" s="85">
        <v>46138.0</v>
      </c>
      <c r="C129" s="84" t="s">
        <v>92</v>
      </c>
      <c r="D129" s="67" t="str">
        <f>IFERROR(VLOOKUP(C129,'Catálogo Productos'!$B$3:$E$200,2,0),"")</f>
        <v>Cables</v>
      </c>
      <c r="E129" s="68">
        <f>IFERROR(VLOOKUP(C129,'Catálogo Productos'!$B$3:$E$200,3,0),"")</f>
        <v>1.91</v>
      </c>
      <c r="F129" s="69">
        <f>IFERROR(VLOOKUP(C129,'Catálogo Productos'!$B$3:$E$200,4,0),"")</f>
        <v>10</v>
      </c>
      <c r="G129" s="78">
        <f>IF(F129="","",IF(I129="SÍ",F129*'Configuración'!$C$5,0))</f>
        <v>1.1</v>
      </c>
      <c r="H129" s="80" t="s">
        <v>91</v>
      </c>
      <c r="I129" s="43" t="s">
        <v>88</v>
      </c>
      <c r="J129" s="72">
        <f>IF(F129="","",IF(H129="SÍ",'Configuración'!$C$6,0))</f>
        <v>0</v>
      </c>
      <c r="K129" s="78">
        <f t="shared" si="1"/>
        <v>8.9</v>
      </c>
      <c r="L129" s="78">
        <f t="shared" si="8"/>
        <v>6.99</v>
      </c>
      <c r="M129" s="79">
        <f t="shared" si="9"/>
        <v>0.7853932584</v>
      </c>
      <c r="N129" s="46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0" customHeight="1">
      <c r="A130" s="65">
        <v>127.0</v>
      </c>
      <c r="B130" s="85">
        <v>46138.0</v>
      </c>
      <c r="C130" s="84" t="s">
        <v>89</v>
      </c>
      <c r="D130" s="67" t="str">
        <f>IFERROR(VLOOKUP(C130,'Catálogo Productos'!$B$3:$E$200,2,0),"")</f>
        <v>Guitarra Clasica</v>
      </c>
      <c r="E130" s="68">
        <f>IFERROR(VLOOKUP(C130,'Catálogo Productos'!$B$3:$E$200,3,0),"")</f>
        <v>1.21</v>
      </c>
      <c r="F130" s="69">
        <f>IFERROR(VLOOKUP(C130,'Catálogo Productos'!$B$3:$E$200,4,0),"")</f>
        <v>5.49</v>
      </c>
      <c r="G130" s="78">
        <f>IF(F130="","",IF(I130="SÍ",F130*'Configuración'!$C$5,0))</f>
        <v>0.6039</v>
      </c>
      <c r="H130" s="42" t="s">
        <v>88</v>
      </c>
      <c r="I130" s="43" t="s">
        <v>88</v>
      </c>
      <c r="J130" s="72">
        <f>IF(F130="","",IF(H130="SÍ",'Configuración'!$C$6,0))</f>
        <v>1.3</v>
      </c>
      <c r="K130" s="78">
        <f t="shared" si="1"/>
        <v>3.5861</v>
      </c>
      <c r="L130" s="78">
        <f t="shared" si="8"/>
        <v>2.3761</v>
      </c>
      <c r="M130" s="79">
        <f t="shared" si="9"/>
        <v>0.6625860963</v>
      </c>
      <c r="N130" s="46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0" customHeight="1">
      <c r="A131" s="65">
        <v>128.0</v>
      </c>
      <c r="B131" s="85">
        <v>46138.0</v>
      </c>
      <c r="C131" s="84" t="s">
        <v>93</v>
      </c>
      <c r="D131" s="67" t="str">
        <f>IFERROR(VLOOKUP(C131,'Catálogo Productos'!$B$3:$E$200,2,0),"")</f>
        <v>Bases, Stand, Atriles</v>
      </c>
      <c r="E131" s="68">
        <f>IFERROR(VLOOKUP(C131,'Catálogo Productos'!$B$3:$E$200,3,0),"")</f>
        <v>0.5</v>
      </c>
      <c r="F131" s="69">
        <f>IFERROR(VLOOKUP(C131,'Catálogo Productos'!$B$3:$E$200,4,0),"")</f>
        <v>4.99</v>
      </c>
      <c r="G131" s="78">
        <f>IF(F131="","",IF(I131="SÍ",F131*'Configuración'!$C$5,0))</f>
        <v>0.5489</v>
      </c>
      <c r="H131" s="42" t="s">
        <v>88</v>
      </c>
      <c r="I131" s="43" t="s">
        <v>88</v>
      </c>
      <c r="J131" s="72">
        <f>IF(F131="","",IF(H131="SÍ",'Configuración'!$C$6,0))</f>
        <v>1.3</v>
      </c>
      <c r="K131" s="78">
        <f t="shared" si="1"/>
        <v>3.1411</v>
      </c>
      <c r="L131" s="78">
        <f t="shared" si="8"/>
        <v>2.6411</v>
      </c>
      <c r="M131" s="79">
        <f t="shared" si="9"/>
        <v>0.8408200949</v>
      </c>
      <c r="N131" s="46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0" customHeight="1">
      <c r="A132" s="65">
        <v>129.0</v>
      </c>
      <c r="B132" s="85">
        <v>46138.0</v>
      </c>
      <c r="C132" s="84" t="s">
        <v>93</v>
      </c>
      <c r="D132" s="67" t="str">
        <f>IFERROR(VLOOKUP(C132,'Catálogo Productos'!$B$3:$E$200,2,0),"")</f>
        <v>Bases, Stand, Atriles</v>
      </c>
      <c r="E132" s="68">
        <f>IFERROR(VLOOKUP(C132,'Catálogo Productos'!$B$3:$E$200,3,0),"")</f>
        <v>0.5</v>
      </c>
      <c r="F132" s="69">
        <f>IFERROR(VLOOKUP(C132,'Catálogo Productos'!$B$3:$E$200,4,0),"")</f>
        <v>4.99</v>
      </c>
      <c r="G132" s="78">
        <f>IF(F132="","",IF(I132="SÍ",F132*'Configuración'!$C$5,0))</f>
        <v>0.5489</v>
      </c>
      <c r="H132" s="80" t="s">
        <v>91</v>
      </c>
      <c r="I132" s="43" t="s">
        <v>88</v>
      </c>
      <c r="J132" s="72">
        <f>IF(F132="","",IF(H132="SÍ",'Configuración'!$C$6,0))</f>
        <v>0</v>
      </c>
      <c r="K132" s="78">
        <f t="shared" si="1"/>
        <v>4.4411</v>
      </c>
      <c r="L132" s="78">
        <f t="shared" si="8"/>
        <v>3.9411</v>
      </c>
      <c r="M132" s="79">
        <f t="shared" si="9"/>
        <v>0.88741528</v>
      </c>
      <c r="N132" s="46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0" customHeight="1">
      <c r="A133" s="65">
        <v>130.0</v>
      </c>
      <c r="B133" s="85">
        <v>46139.0</v>
      </c>
      <c r="C133" s="84" t="s">
        <v>96</v>
      </c>
      <c r="D133" s="67" t="str">
        <f>IFERROR(VLOOKUP(C133,'Catálogo Productos'!$B$3:$E$200,2,0),"")</f>
        <v> Bajo Electrico</v>
      </c>
      <c r="E133" s="68">
        <f>IFERROR(VLOOKUP(C133,'Catálogo Productos'!$B$3:$E$200,3,0),"")</f>
        <v>3.03</v>
      </c>
      <c r="F133" s="69">
        <f>IFERROR(VLOOKUP(C133,'Catálogo Productos'!$B$3:$E$200,4,0),"")</f>
        <v>12.99</v>
      </c>
      <c r="G133" s="78">
        <f>IF(F133="","",IF(I133="SÍ",F133*'Configuración'!$C$5,0))</f>
        <v>1.4289</v>
      </c>
      <c r="H133" s="42" t="s">
        <v>88</v>
      </c>
      <c r="I133" s="43" t="s">
        <v>88</v>
      </c>
      <c r="J133" s="72">
        <f>IF(F133="","",IF(H133="SÍ",'Configuración'!$C$6,0))</f>
        <v>1.3</v>
      </c>
      <c r="K133" s="78">
        <f t="shared" si="1"/>
        <v>10.2611</v>
      </c>
      <c r="L133" s="78">
        <f t="shared" si="8"/>
        <v>7.2311</v>
      </c>
      <c r="M133" s="79">
        <f t="shared" si="9"/>
        <v>0.7047100213</v>
      </c>
      <c r="N133" s="46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0" customHeight="1">
      <c r="A134" s="65">
        <v>131.0</v>
      </c>
      <c r="B134" s="85">
        <v>46139.0</v>
      </c>
      <c r="C134" s="84" t="s">
        <v>102</v>
      </c>
      <c r="D134" s="67" t="str">
        <f>IFERROR(VLOOKUP(C134,'Catálogo Productos'!$B$3:$E$200,2,0),"")</f>
        <v>Guitarra Acustica</v>
      </c>
      <c r="E134" s="68">
        <f>IFERROR(VLOOKUP(C134,'Catálogo Productos'!$B$3:$E$200,3,0),"")</f>
        <v>1.21</v>
      </c>
      <c r="F134" s="69">
        <f>IFERROR(VLOOKUP(C134,'Catálogo Productos'!$B$3:$E$200,4,0),"")</f>
        <v>5.49</v>
      </c>
      <c r="G134" s="78">
        <f>IF(F134="","",IF(I134="SÍ",F134*'Configuración'!$C$5,0))</f>
        <v>0.6039</v>
      </c>
      <c r="H134" s="42" t="s">
        <v>88</v>
      </c>
      <c r="I134" s="43" t="s">
        <v>88</v>
      </c>
      <c r="J134" s="72">
        <f>IF(F134="","",IF(H134="SÍ",'Configuración'!$C$6,0))</f>
        <v>1.3</v>
      </c>
      <c r="K134" s="78">
        <f t="shared" si="1"/>
        <v>3.5861</v>
      </c>
      <c r="L134" s="78">
        <f t="shared" si="8"/>
        <v>2.3761</v>
      </c>
      <c r="M134" s="79">
        <f t="shared" si="9"/>
        <v>0.6625860963</v>
      </c>
      <c r="N134" s="46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0" customHeight="1">
      <c r="A135" s="65">
        <v>132.0</v>
      </c>
      <c r="B135" s="85">
        <v>46139.0</v>
      </c>
      <c r="C135" s="84" t="s">
        <v>96</v>
      </c>
      <c r="D135" s="67" t="str">
        <f>IFERROR(VLOOKUP(C135,'Catálogo Productos'!$B$3:$E$200,2,0),"")</f>
        <v> Bajo Electrico</v>
      </c>
      <c r="E135" s="68">
        <f>IFERROR(VLOOKUP(C135,'Catálogo Productos'!$B$3:$E$200,3,0),"")</f>
        <v>3.03</v>
      </c>
      <c r="F135" s="69">
        <f>IFERROR(VLOOKUP(C135,'Catálogo Productos'!$B$3:$E$200,4,0),"")</f>
        <v>12.99</v>
      </c>
      <c r="G135" s="78">
        <f>IF(F135="","",IF(I135="SÍ",F135*'Configuración'!$C$5,0))</f>
        <v>1.4289</v>
      </c>
      <c r="H135" s="42" t="s">
        <v>88</v>
      </c>
      <c r="I135" s="43" t="s">
        <v>88</v>
      </c>
      <c r="J135" s="72">
        <f>IF(F135="","",IF(H135="SÍ",'Configuración'!$C$6,0))</f>
        <v>1.3</v>
      </c>
      <c r="K135" s="78">
        <f t="shared" si="1"/>
        <v>10.2611</v>
      </c>
      <c r="L135" s="78">
        <f t="shared" si="8"/>
        <v>7.2311</v>
      </c>
      <c r="M135" s="79">
        <f t="shared" si="9"/>
        <v>0.7047100213</v>
      </c>
      <c r="N135" s="46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0" customHeight="1">
      <c r="A136" s="65">
        <v>133.0</v>
      </c>
      <c r="B136" s="85">
        <v>46139.0</v>
      </c>
      <c r="C136" s="84" t="s">
        <v>102</v>
      </c>
      <c r="D136" s="67" t="str">
        <f>IFERROR(VLOOKUP(C136,'Catálogo Productos'!$B$3:$E$200,2,0),"")</f>
        <v>Guitarra Acustica</v>
      </c>
      <c r="E136" s="68">
        <f>IFERROR(VLOOKUP(C136,'Catálogo Productos'!$B$3:$E$200,3,0),"")</f>
        <v>1.21</v>
      </c>
      <c r="F136" s="69">
        <f>IFERROR(VLOOKUP(C136,'Catálogo Productos'!$B$3:$E$200,4,0),"")</f>
        <v>5.49</v>
      </c>
      <c r="G136" s="78">
        <f>IF(F136="","",IF(I136="SÍ",F136*'Configuración'!$C$5,0))</f>
        <v>0.6039</v>
      </c>
      <c r="H136" s="42" t="s">
        <v>88</v>
      </c>
      <c r="I136" s="43" t="s">
        <v>88</v>
      </c>
      <c r="J136" s="72">
        <f>IF(F136="","",IF(H136="SÍ",'Configuración'!$C$6,0))</f>
        <v>1.3</v>
      </c>
      <c r="K136" s="78">
        <f t="shared" si="1"/>
        <v>3.5861</v>
      </c>
      <c r="L136" s="78">
        <f t="shared" si="8"/>
        <v>2.3761</v>
      </c>
      <c r="M136" s="79">
        <f t="shared" si="9"/>
        <v>0.6625860963</v>
      </c>
      <c r="N136" s="46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0" customHeight="1">
      <c r="A137" s="65">
        <v>134.0</v>
      </c>
      <c r="B137" s="85">
        <v>46139.0</v>
      </c>
      <c r="C137" s="84" t="s">
        <v>96</v>
      </c>
      <c r="D137" s="67" t="str">
        <f>IFERROR(VLOOKUP(C137,'Catálogo Productos'!$B$3:$E$200,2,0),"")</f>
        <v> Bajo Electrico</v>
      </c>
      <c r="E137" s="68">
        <f>IFERROR(VLOOKUP(C137,'Catálogo Productos'!$B$3:$E$200,3,0),"")</f>
        <v>3.03</v>
      </c>
      <c r="F137" s="69">
        <f>IFERROR(VLOOKUP(C137,'Catálogo Productos'!$B$3:$E$200,4,0),"")</f>
        <v>12.99</v>
      </c>
      <c r="G137" s="78">
        <f>IF(F137="","",IF(I137="SÍ",F137*'Configuración'!$C$5,0))</f>
        <v>1.4289</v>
      </c>
      <c r="H137" s="42" t="s">
        <v>88</v>
      </c>
      <c r="I137" s="43" t="s">
        <v>88</v>
      </c>
      <c r="J137" s="72">
        <f>IF(F137="","",IF(H137="SÍ",'Configuración'!$C$6,0))</f>
        <v>1.3</v>
      </c>
      <c r="K137" s="78">
        <f t="shared" si="1"/>
        <v>10.2611</v>
      </c>
      <c r="L137" s="78">
        <f t="shared" si="8"/>
        <v>7.2311</v>
      </c>
      <c r="M137" s="79">
        <f t="shared" si="9"/>
        <v>0.7047100213</v>
      </c>
      <c r="N137" s="46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0" customHeight="1">
      <c r="A138" s="65">
        <v>135.0</v>
      </c>
      <c r="B138" s="85">
        <v>46139.0</v>
      </c>
      <c r="C138" s="84" t="s">
        <v>102</v>
      </c>
      <c r="D138" s="67" t="str">
        <f>IFERROR(VLOOKUP(C138,'Catálogo Productos'!$B$3:$E$200,2,0),"")</f>
        <v>Guitarra Acustica</v>
      </c>
      <c r="E138" s="68">
        <f>IFERROR(VLOOKUP(C138,'Catálogo Productos'!$B$3:$E$200,3,0),"")</f>
        <v>1.21</v>
      </c>
      <c r="F138" s="69">
        <f>IFERROR(VLOOKUP(C138,'Catálogo Productos'!$B$3:$E$200,4,0),"")</f>
        <v>5.49</v>
      </c>
      <c r="G138" s="78">
        <f>IF(F138="","",IF(I138="SÍ",F138*'Configuración'!$C$5,0))</f>
        <v>0.6039</v>
      </c>
      <c r="H138" s="42" t="s">
        <v>88</v>
      </c>
      <c r="I138" s="43" t="s">
        <v>88</v>
      </c>
      <c r="J138" s="72">
        <f>IF(F138="","",IF(H138="SÍ",'Configuración'!$C$6,0))</f>
        <v>1.3</v>
      </c>
      <c r="K138" s="78">
        <f t="shared" si="1"/>
        <v>3.5861</v>
      </c>
      <c r="L138" s="78">
        <f t="shared" si="8"/>
        <v>2.3761</v>
      </c>
      <c r="M138" s="79">
        <f t="shared" si="9"/>
        <v>0.6625860963</v>
      </c>
      <c r="N138" s="46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0" customHeight="1">
      <c r="A139" s="65">
        <v>136.0</v>
      </c>
      <c r="B139" s="85">
        <v>46139.0</v>
      </c>
      <c r="C139" s="84" t="s">
        <v>102</v>
      </c>
      <c r="D139" s="67" t="str">
        <f>IFERROR(VLOOKUP(C139,'Catálogo Productos'!$B$3:$E$200,2,0),"")</f>
        <v>Guitarra Acustica</v>
      </c>
      <c r="E139" s="68">
        <f>IFERROR(VLOOKUP(C139,'Catálogo Productos'!$B$3:$E$200,3,0),"")</f>
        <v>1.21</v>
      </c>
      <c r="F139" s="69">
        <f>IFERROR(VLOOKUP(C139,'Catálogo Productos'!$B$3:$E$200,4,0),"")</f>
        <v>5.49</v>
      </c>
      <c r="G139" s="78">
        <f>IF(F139="","",IF(I139="SÍ",F139*'Configuración'!$C$5,0))</f>
        <v>0.6039</v>
      </c>
      <c r="H139" s="80" t="s">
        <v>91</v>
      </c>
      <c r="I139" s="43" t="s">
        <v>88</v>
      </c>
      <c r="J139" s="72">
        <f>IF(F139="","",IF(H139="SÍ",'Configuración'!$C$6,0))</f>
        <v>0</v>
      </c>
      <c r="K139" s="78">
        <f t="shared" si="1"/>
        <v>4.8861</v>
      </c>
      <c r="L139" s="78">
        <f t="shared" si="8"/>
        <v>3.6761</v>
      </c>
      <c r="M139" s="79">
        <f t="shared" si="9"/>
        <v>0.7523587319</v>
      </c>
      <c r="N139" s="46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0" customHeight="1">
      <c r="A140" s="65">
        <v>137.0</v>
      </c>
      <c r="B140" s="85">
        <v>46139.0</v>
      </c>
      <c r="C140" s="84" t="s">
        <v>106</v>
      </c>
      <c r="D140" s="67" t="str">
        <f>IFERROR(VLOOKUP(C140,'Catálogo Productos'!$B$3:$E$200,2,0),"")</f>
        <v>Guitarra Clasica</v>
      </c>
      <c r="E140" s="68">
        <f>IFERROR(VLOOKUP(C140,'Catálogo Productos'!$B$3:$E$200,3,0),"")</f>
        <v>2.5</v>
      </c>
      <c r="F140" s="69">
        <f>IFERROR(VLOOKUP(C140,'Catálogo Productos'!$B$3:$E$200,4,0),"")</f>
        <v>9.99</v>
      </c>
      <c r="G140" s="78">
        <f>IF(F140="","",IF(I140="SÍ",F140*'Configuración'!$C$5,0))</f>
        <v>1.0989</v>
      </c>
      <c r="H140" s="42" t="s">
        <v>88</v>
      </c>
      <c r="I140" s="43" t="s">
        <v>88</v>
      </c>
      <c r="J140" s="72">
        <f>IF(F140="","",IF(H140="SÍ",'Configuración'!$C$6,0))</f>
        <v>1.3</v>
      </c>
      <c r="K140" s="78">
        <f t="shared" si="1"/>
        <v>7.5911</v>
      </c>
      <c r="L140" s="78">
        <f t="shared" si="8"/>
        <v>5.0911</v>
      </c>
      <c r="M140" s="79">
        <f t="shared" si="9"/>
        <v>0.6706669653</v>
      </c>
      <c r="N140" s="46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0" customHeight="1">
      <c r="A141" s="65">
        <v>138.0</v>
      </c>
      <c r="B141" s="85">
        <v>46140.0</v>
      </c>
      <c r="C141" s="84" t="s">
        <v>103</v>
      </c>
      <c r="D141" s="67" t="str">
        <f>IFERROR(VLOOKUP(C141,'Catálogo Productos'!$B$3:$E$200,2,0),"")</f>
        <v>Correas</v>
      </c>
      <c r="E141" s="68">
        <f>IFERROR(VLOOKUP(C141,'Catálogo Productos'!$B$3:$E$200,3,0),"")</f>
        <v>0.2</v>
      </c>
      <c r="F141" s="69">
        <f>IFERROR(VLOOKUP(C141,'Catálogo Productos'!$B$3:$E$200,4,0),"")</f>
        <v>5.49</v>
      </c>
      <c r="G141" s="78">
        <f>IF(F141="","",IF(I141="SÍ",F141*'Configuración'!$C$5,0))</f>
        <v>0.6039</v>
      </c>
      <c r="H141" s="80" t="s">
        <v>91</v>
      </c>
      <c r="I141" s="43" t="s">
        <v>88</v>
      </c>
      <c r="J141" s="72">
        <f>IF(F141="","",IF(H141="SÍ",'Configuración'!$C$6,0))</f>
        <v>0</v>
      </c>
      <c r="K141" s="78">
        <f t="shared" si="1"/>
        <v>4.8861</v>
      </c>
      <c r="L141" s="78">
        <f t="shared" si="8"/>
        <v>4.6861</v>
      </c>
      <c r="M141" s="79">
        <f t="shared" si="9"/>
        <v>0.959067559</v>
      </c>
      <c r="N141" s="46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0" customHeight="1">
      <c r="A142" s="65">
        <v>139.0</v>
      </c>
      <c r="B142" s="85">
        <v>46140.0</v>
      </c>
      <c r="C142" s="84" t="s">
        <v>101</v>
      </c>
      <c r="D142" s="67" t="str">
        <f>IFERROR(VLOOKUP(C142,'Catálogo Productos'!$B$3:$E$200,2,0),"")</f>
        <v>Guitarra Acustica</v>
      </c>
      <c r="E142" s="68">
        <f>IFERROR(VLOOKUP(C142,'Catálogo Productos'!$B$3:$E$200,3,0),"")</f>
        <v>0.01</v>
      </c>
      <c r="F142" s="69">
        <f>IFERROR(VLOOKUP(C142,'Catálogo Productos'!$B$3:$E$200,4,0),"")</f>
        <v>5</v>
      </c>
      <c r="G142" s="78">
        <f>IF(F142="","",IF(I142="SÍ",F142*'Configuración'!$C$5,0))</f>
        <v>0</v>
      </c>
      <c r="H142" s="80" t="s">
        <v>91</v>
      </c>
      <c r="I142" s="82" t="s">
        <v>98</v>
      </c>
      <c r="J142" s="72">
        <f>IF(F142="","",IF(H142="SÍ",'Configuración'!$C$6,0))</f>
        <v>0</v>
      </c>
      <c r="K142" s="78">
        <f t="shared" si="1"/>
        <v>5</v>
      </c>
      <c r="L142" s="78">
        <f t="shared" si="8"/>
        <v>4.99</v>
      </c>
      <c r="M142" s="79">
        <f t="shared" si="9"/>
        <v>0.998</v>
      </c>
      <c r="N142" s="46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0" customHeight="1">
      <c r="A143" s="65">
        <v>140.0</v>
      </c>
      <c r="B143" s="85">
        <v>46141.0</v>
      </c>
      <c r="C143" s="84" t="s">
        <v>101</v>
      </c>
      <c r="D143" s="67" t="str">
        <f>IFERROR(VLOOKUP(C143,'Catálogo Productos'!$B$3:$E$200,2,0),"")</f>
        <v>Guitarra Acustica</v>
      </c>
      <c r="E143" s="68">
        <f>IFERROR(VLOOKUP(C143,'Catálogo Productos'!$B$3:$E$200,3,0),"")</f>
        <v>0.01</v>
      </c>
      <c r="F143" s="69">
        <f>IFERROR(VLOOKUP(C143,'Catálogo Productos'!$B$3:$E$200,4,0),"")</f>
        <v>5</v>
      </c>
      <c r="G143" s="78">
        <f>IF(F143="","",IF(I143="SÍ",F143*'Configuración'!$C$5,0))</f>
        <v>0.55</v>
      </c>
      <c r="H143" s="42" t="s">
        <v>88</v>
      </c>
      <c r="I143" s="43" t="s">
        <v>88</v>
      </c>
      <c r="J143" s="72">
        <f>IF(F143="","",IF(H143="SÍ",'Configuración'!$C$6,0))</f>
        <v>1.3</v>
      </c>
      <c r="K143" s="78">
        <f t="shared" si="1"/>
        <v>3.15</v>
      </c>
      <c r="L143" s="78">
        <f t="shared" si="8"/>
        <v>3.14</v>
      </c>
      <c r="M143" s="79">
        <f t="shared" si="9"/>
        <v>0.9968253968</v>
      </c>
      <c r="N143" s="46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0" customHeight="1">
      <c r="A144" s="65">
        <v>141.0</v>
      </c>
      <c r="B144" s="85">
        <v>46141.0</v>
      </c>
      <c r="C144" s="84" t="s">
        <v>106</v>
      </c>
      <c r="D144" s="67" t="str">
        <f>IFERROR(VLOOKUP(C144,'Catálogo Productos'!$B$3:$E$200,2,0),"")</f>
        <v>Guitarra Clasica</v>
      </c>
      <c r="E144" s="68">
        <f>IFERROR(VLOOKUP(C144,'Catálogo Productos'!$B$3:$E$200,3,0),"")</f>
        <v>2.5</v>
      </c>
      <c r="F144" s="69">
        <f>IFERROR(VLOOKUP(C144,'Catálogo Productos'!$B$3:$E$200,4,0),"")</f>
        <v>9.99</v>
      </c>
      <c r="G144" s="78">
        <f>IF(F144="","",IF(I144="SÍ",F144*'Configuración'!$C$5,0))</f>
        <v>1.0989</v>
      </c>
      <c r="H144" s="42" t="s">
        <v>88</v>
      </c>
      <c r="I144" s="43" t="s">
        <v>88</v>
      </c>
      <c r="J144" s="72">
        <f>IF(F144="","",IF(H144="SÍ",'Configuración'!$C$6,0))</f>
        <v>1.3</v>
      </c>
      <c r="K144" s="78">
        <f t="shared" si="1"/>
        <v>7.5911</v>
      </c>
      <c r="L144" s="78">
        <f t="shared" si="8"/>
        <v>5.0911</v>
      </c>
      <c r="M144" s="79">
        <f t="shared" si="9"/>
        <v>0.6706669653</v>
      </c>
      <c r="N144" s="46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0" customHeight="1">
      <c r="A145" s="65">
        <v>142.0</v>
      </c>
      <c r="B145" s="85">
        <v>46141.0</v>
      </c>
      <c r="C145" s="84" t="s">
        <v>106</v>
      </c>
      <c r="D145" s="67" t="str">
        <f>IFERROR(VLOOKUP(C145,'Catálogo Productos'!$B$3:$E$200,2,0),"")</f>
        <v>Guitarra Clasica</v>
      </c>
      <c r="E145" s="68">
        <f>IFERROR(VLOOKUP(C145,'Catálogo Productos'!$B$3:$E$200,3,0),"")</f>
        <v>2.5</v>
      </c>
      <c r="F145" s="69">
        <f>IFERROR(VLOOKUP(C145,'Catálogo Productos'!$B$3:$E$200,4,0),"")</f>
        <v>9.99</v>
      </c>
      <c r="G145" s="78">
        <f>IF(F145="","",IF(I145="SÍ",F145*'Configuración'!$C$5,0))</f>
        <v>1.0989</v>
      </c>
      <c r="H145" s="42" t="s">
        <v>88</v>
      </c>
      <c r="I145" s="43" t="s">
        <v>88</v>
      </c>
      <c r="J145" s="72">
        <f>IF(F145="","",IF(H145="SÍ",'Configuración'!$C$6,0))</f>
        <v>1.3</v>
      </c>
      <c r="K145" s="78">
        <f t="shared" si="1"/>
        <v>7.5911</v>
      </c>
      <c r="L145" s="78">
        <f t="shared" si="8"/>
        <v>5.0911</v>
      </c>
      <c r="M145" s="79">
        <f t="shared" si="9"/>
        <v>0.6706669653</v>
      </c>
      <c r="N145" s="46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0" customHeight="1">
      <c r="A146" s="65">
        <v>143.0</v>
      </c>
      <c r="B146" s="85">
        <v>46141.0</v>
      </c>
      <c r="C146" s="84" t="s">
        <v>104</v>
      </c>
      <c r="D146" s="67" t="str">
        <f>IFERROR(VLOOKUP(C146,'Catálogo Productos'!$B$3:$E$200,2,0),"")</f>
        <v>Guitarra Clasica</v>
      </c>
      <c r="E146" s="68">
        <f>IFERROR(VLOOKUP(C146,'Catálogo Productos'!$B$3:$E$200,3,0),"")</f>
        <v>2.5</v>
      </c>
      <c r="F146" s="69">
        <f>IFERROR(VLOOKUP(C146,'Catálogo Productos'!$B$3:$E$200,4,0),"")</f>
        <v>12.99</v>
      </c>
      <c r="G146" s="78">
        <f>IF(F146="","",IF(I146="SÍ",F146*'Configuración'!$C$5,0))</f>
        <v>1.4289</v>
      </c>
      <c r="H146" s="42" t="s">
        <v>88</v>
      </c>
      <c r="I146" s="43" t="s">
        <v>88</v>
      </c>
      <c r="J146" s="72">
        <f>IF(F146="","",IF(H146="SÍ",'Configuración'!$C$6,0))</f>
        <v>1.3</v>
      </c>
      <c r="K146" s="78">
        <f t="shared" si="1"/>
        <v>10.2611</v>
      </c>
      <c r="L146" s="78">
        <f t="shared" si="8"/>
        <v>7.7611</v>
      </c>
      <c r="M146" s="79">
        <f t="shared" si="9"/>
        <v>0.7563614037</v>
      </c>
      <c r="N146" s="46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0" customHeight="1">
      <c r="A147" s="65">
        <v>144.0</v>
      </c>
      <c r="B147" s="85">
        <v>46141.0</v>
      </c>
      <c r="C147" s="84" t="s">
        <v>89</v>
      </c>
      <c r="D147" s="67" t="str">
        <f>IFERROR(VLOOKUP(C147,'Catálogo Productos'!$B$3:$E$200,2,0),"")</f>
        <v>Guitarra Clasica</v>
      </c>
      <c r="E147" s="68">
        <f>IFERROR(VLOOKUP(C147,'Catálogo Productos'!$B$3:$E$200,3,0),"")</f>
        <v>1.21</v>
      </c>
      <c r="F147" s="69">
        <f>IFERROR(VLOOKUP(C147,'Catálogo Productos'!$B$3:$E$200,4,0),"")</f>
        <v>5.49</v>
      </c>
      <c r="G147" s="78">
        <f>IF(F147="","",IF(I147="SÍ",F147*'Configuración'!$C$5,0))</f>
        <v>0.6039</v>
      </c>
      <c r="H147" s="42" t="s">
        <v>88</v>
      </c>
      <c r="I147" s="43" t="s">
        <v>88</v>
      </c>
      <c r="J147" s="72">
        <f>IF(F147="","",IF(H147="SÍ",'Configuración'!$C$6,0))</f>
        <v>1.3</v>
      </c>
      <c r="K147" s="78">
        <f t="shared" si="1"/>
        <v>3.5861</v>
      </c>
      <c r="L147" s="78">
        <f t="shared" si="8"/>
        <v>2.3761</v>
      </c>
      <c r="M147" s="79">
        <f t="shared" si="9"/>
        <v>0.6625860963</v>
      </c>
      <c r="N147" s="46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0" customHeight="1">
      <c r="A148" s="65">
        <v>145.0</v>
      </c>
      <c r="B148" s="85">
        <v>46142.0</v>
      </c>
      <c r="C148" s="84" t="s">
        <v>89</v>
      </c>
      <c r="D148" s="67" t="str">
        <f>IFERROR(VLOOKUP(C148,'Catálogo Productos'!$B$3:$E$200,2,0),"")</f>
        <v>Guitarra Clasica</v>
      </c>
      <c r="E148" s="68">
        <f>IFERROR(VLOOKUP(C148,'Catálogo Productos'!$B$3:$E$200,3,0),"")</f>
        <v>1.21</v>
      </c>
      <c r="F148" s="69">
        <f>IFERROR(VLOOKUP(C148,'Catálogo Productos'!$B$3:$E$200,4,0),"")</f>
        <v>5.49</v>
      </c>
      <c r="G148" s="78">
        <f>IF(F148="","",IF(I148="SÍ",F148*'Configuración'!$C$5,0))</f>
        <v>0.6039</v>
      </c>
      <c r="H148" s="42" t="s">
        <v>88</v>
      </c>
      <c r="I148" s="43" t="s">
        <v>88</v>
      </c>
      <c r="J148" s="72">
        <f>IF(F148="","",IF(H148="SÍ",'Configuración'!$C$6,0))</f>
        <v>1.3</v>
      </c>
      <c r="K148" s="78">
        <f t="shared" si="1"/>
        <v>3.5861</v>
      </c>
      <c r="L148" s="78">
        <f t="shared" si="8"/>
        <v>2.3761</v>
      </c>
      <c r="M148" s="79">
        <f t="shared" si="9"/>
        <v>0.6625860963</v>
      </c>
      <c r="N148" s="46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0" customHeight="1">
      <c r="A149" s="65">
        <v>146.0</v>
      </c>
      <c r="B149" s="85">
        <v>46142.0</v>
      </c>
      <c r="C149" s="84" t="s">
        <v>89</v>
      </c>
      <c r="D149" s="67" t="str">
        <f>IFERROR(VLOOKUP(C149,'Catálogo Productos'!$B$3:$E$200,2,0),"")</f>
        <v>Guitarra Clasica</v>
      </c>
      <c r="E149" s="68">
        <f>IFERROR(VLOOKUP(C149,'Catálogo Productos'!$B$3:$E$200,3,0),"")</f>
        <v>1.21</v>
      </c>
      <c r="F149" s="69">
        <f>IFERROR(VLOOKUP(C149,'Catálogo Productos'!$B$3:$E$200,4,0),"")</f>
        <v>5.49</v>
      </c>
      <c r="G149" s="78">
        <f>IF(F149="","",IF(I149="SÍ",F149*'Configuración'!$C$5,0))</f>
        <v>0.6039</v>
      </c>
      <c r="H149" s="42" t="s">
        <v>88</v>
      </c>
      <c r="I149" s="43" t="s">
        <v>88</v>
      </c>
      <c r="J149" s="72">
        <f>IF(F149="","",IF(H149="SÍ",'Configuración'!$C$6,0))</f>
        <v>1.3</v>
      </c>
      <c r="K149" s="78">
        <f t="shared" si="1"/>
        <v>3.5861</v>
      </c>
      <c r="L149" s="78">
        <f t="shared" si="8"/>
        <v>2.3761</v>
      </c>
      <c r="M149" s="79">
        <f t="shared" si="9"/>
        <v>0.6625860963</v>
      </c>
      <c r="N149" s="46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0" customHeight="1">
      <c r="A150" s="65">
        <v>147.0</v>
      </c>
      <c r="B150" s="85">
        <v>46142.0</v>
      </c>
      <c r="C150" s="84" t="s">
        <v>94</v>
      </c>
      <c r="D150" s="67" t="str">
        <f>IFERROR(VLOOKUP(C150,'Catálogo Productos'!$B$3:$E$200,2,0),"")</f>
        <v>Capostraste</v>
      </c>
      <c r="E150" s="68">
        <f>IFERROR(VLOOKUP(C150,'Catálogo Productos'!$B$3:$E$200,3,0),"")</f>
        <v>0.65</v>
      </c>
      <c r="F150" s="69">
        <f>IFERROR(VLOOKUP(C150,'Catálogo Productos'!$B$3:$E$200,4,0),"")</f>
        <v>6.99</v>
      </c>
      <c r="G150" s="78">
        <f>IF(F150="","",IF(I150="SÍ",F150*'Configuración'!$C$5,0))</f>
        <v>0.7689</v>
      </c>
      <c r="H150" s="42" t="s">
        <v>88</v>
      </c>
      <c r="I150" s="43" t="s">
        <v>88</v>
      </c>
      <c r="J150" s="72">
        <f>IF(F150="","",IF(H150="SÍ",'Configuración'!$C$6,0))</f>
        <v>1.3</v>
      </c>
      <c r="K150" s="78">
        <f t="shared" si="1"/>
        <v>4.9211</v>
      </c>
      <c r="L150" s="78">
        <f t="shared" si="8"/>
        <v>4.2711</v>
      </c>
      <c r="M150" s="79">
        <f t="shared" si="9"/>
        <v>0.8679157099</v>
      </c>
      <c r="N150" s="46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0" customHeight="1">
      <c r="A151" s="65">
        <v>148.0</v>
      </c>
      <c r="B151" s="85">
        <v>46142.0</v>
      </c>
      <c r="C151" s="84" t="s">
        <v>95</v>
      </c>
      <c r="D151" s="67" t="str">
        <f>IFERROR(VLOOKUP(C151,'Catálogo Productos'!$B$3:$E$200,2,0),"")</f>
        <v>Guitarra Electrica</v>
      </c>
      <c r="E151" s="68">
        <f>IFERROR(VLOOKUP(C151,'Catálogo Productos'!$B$3:$E$200,3,0),"")</f>
        <v>1.21</v>
      </c>
      <c r="F151" s="69">
        <f>IFERROR(VLOOKUP(C151,'Catálogo Productos'!$B$3:$E$200,4,0),"")</f>
        <v>5.49</v>
      </c>
      <c r="G151" s="78">
        <f>IF(F151="","",IF(I151="SÍ",F151*'Configuración'!$C$5,0))</f>
        <v>0.6039</v>
      </c>
      <c r="H151" s="42" t="s">
        <v>88</v>
      </c>
      <c r="I151" s="43" t="s">
        <v>88</v>
      </c>
      <c r="J151" s="72">
        <f>IF(F151="","",IF(H151="SÍ",'Configuración'!$C$6,0))</f>
        <v>1.3</v>
      </c>
      <c r="K151" s="78">
        <f t="shared" si="1"/>
        <v>3.5861</v>
      </c>
      <c r="L151" s="78">
        <f t="shared" si="8"/>
        <v>2.3761</v>
      </c>
      <c r="M151" s="79">
        <f t="shared" si="9"/>
        <v>0.6625860963</v>
      </c>
      <c r="N151" s="46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0" customHeight="1">
      <c r="A152" s="65">
        <v>149.0</v>
      </c>
      <c r="B152" s="85">
        <v>46142.0</v>
      </c>
      <c r="C152" s="84" t="s">
        <v>110</v>
      </c>
      <c r="D152" s="67" t="str">
        <f>IFERROR(VLOOKUP(C152,'Catálogo Productos'!$B$3:$E$200,2,0),"")</f>
        <v>Violin</v>
      </c>
      <c r="E152" s="68">
        <f>IFERROR(VLOOKUP(C152,'Catálogo Productos'!$B$3:$E$200,3,0),"")</f>
        <v>1</v>
      </c>
      <c r="F152" s="69">
        <f>IFERROR(VLOOKUP(C152,'Catálogo Productos'!$B$3:$E$200,4,0),"")</f>
        <v>5</v>
      </c>
      <c r="G152" s="78">
        <f>IF(F152="","",IF(I152="SÍ",F152*'Configuración'!$C$5,0))</f>
        <v>0.55</v>
      </c>
      <c r="H152" s="42" t="s">
        <v>88</v>
      </c>
      <c r="I152" s="43" t="s">
        <v>88</v>
      </c>
      <c r="J152" s="72">
        <f>IF(F152="","",IF(H152="SÍ",'Configuración'!$C$6,0))</f>
        <v>1.3</v>
      </c>
      <c r="K152" s="78">
        <f t="shared" si="1"/>
        <v>3.15</v>
      </c>
      <c r="L152" s="78">
        <f t="shared" si="8"/>
        <v>2.15</v>
      </c>
      <c r="M152" s="79">
        <f t="shared" si="9"/>
        <v>0.6825396825</v>
      </c>
      <c r="N152" s="46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0" customHeight="1">
      <c r="A153" s="65">
        <v>150.0</v>
      </c>
      <c r="B153" s="85">
        <v>46142.0</v>
      </c>
      <c r="C153" s="84" t="s">
        <v>111</v>
      </c>
      <c r="D153" s="67" t="str">
        <f>IFERROR(VLOOKUP(C153,'Catálogo Productos'!$B$3:$E$200,2,0),"")</f>
        <v>Violin</v>
      </c>
      <c r="E153" s="68">
        <f>IFERROR(VLOOKUP(C153,'Catálogo Productos'!$B$3:$E$200,3,0),"")</f>
        <v>1</v>
      </c>
      <c r="F153" s="69">
        <f>IFERROR(VLOOKUP(C153,'Catálogo Productos'!$B$3:$E$200,4,0),"")</f>
        <v>5</v>
      </c>
      <c r="G153" s="78">
        <f>IF(F153="","",IF(I153="SÍ",F153*'Configuración'!$C$5,0))</f>
        <v>0.55</v>
      </c>
      <c r="H153" s="80" t="s">
        <v>91</v>
      </c>
      <c r="I153" s="43" t="s">
        <v>88</v>
      </c>
      <c r="J153" s="72">
        <f>IF(F153="","",IF(H153="SÍ",'Configuración'!$C$6,0))</f>
        <v>0</v>
      </c>
      <c r="K153" s="78">
        <f t="shared" si="1"/>
        <v>4.45</v>
      </c>
      <c r="L153" s="78">
        <f t="shared" si="8"/>
        <v>3.45</v>
      </c>
      <c r="M153" s="79">
        <f t="shared" si="9"/>
        <v>0.7752808989</v>
      </c>
      <c r="N153" s="46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0" customHeight="1">
      <c r="A154" s="65">
        <v>151.0</v>
      </c>
      <c r="B154" s="85">
        <v>46142.0</v>
      </c>
      <c r="C154" s="84" t="s">
        <v>108</v>
      </c>
      <c r="D154" s="67" t="str">
        <f>IFERROR(VLOOKUP(C154,'Catálogo Productos'!$B$3:$E$200,2,0),"")</f>
        <v>Bateria</v>
      </c>
      <c r="E154" s="68">
        <f>IFERROR(VLOOKUP(C154,'Catálogo Productos'!$B$3:$E$200,3,0),"")</f>
        <v>0.71</v>
      </c>
      <c r="F154" s="69">
        <f>IFERROR(VLOOKUP(C154,'Catálogo Productos'!$B$3:$E$200,4,0),"")</f>
        <v>5</v>
      </c>
      <c r="G154" s="78">
        <f>IF(F154="","",IF(I154="SÍ",F154*'Configuración'!$C$5,0))</f>
        <v>0.55</v>
      </c>
      <c r="H154" s="42" t="s">
        <v>88</v>
      </c>
      <c r="I154" s="43" t="s">
        <v>88</v>
      </c>
      <c r="J154" s="72">
        <f>IF(F154="","",IF(H154="SÍ",'Configuración'!$C$6,0))</f>
        <v>1.3</v>
      </c>
      <c r="K154" s="78">
        <f t="shared" si="1"/>
        <v>3.15</v>
      </c>
      <c r="L154" s="78">
        <f t="shared" si="8"/>
        <v>2.44</v>
      </c>
      <c r="M154" s="79">
        <f t="shared" si="9"/>
        <v>0.7746031746</v>
      </c>
      <c r="N154" s="46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0" customHeight="1">
      <c r="A155" s="65">
        <v>152.0</v>
      </c>
      <c r="B155" s="85">
        <v>46142.0</v>
      </c>
      <c r="C155" s="84" t="s">
        <v>103</v>
      </c>
      <c r="D155" s="67" t="str">
        <f>IFERROR(VLOOKUP(C155,'Catálogo Productos'!$B$3:$E$200,2,0),"")</f>
        <v>Correas</v>
      </c>
      <c r="E155" s="68">
        <f>IFERROR(VLOOKUP(C155,'Catálogo Productos'!$B$3:$E$200,3,0),"")</f>
        <v>0.2</v>
      </c>
      <c r="F155" s="69">
        <f>IFERROR(VLOOKUP(C155,'Catálogo Productos'!$B$3:$E$200,4,0),"")</f>
        <v>5.49</v>
      </c>
      <c r="G155" s="78">
        <f>IF(F155="","",IF(I155="SÍ",F155*'Configuración'!$C$5,0))</f>
        <v>0.6039</v>
      </c>
      <c r="H155" s="42" t="s">
        <v>88</v>
      </c>
      <c r="I155" s="43" t="s">
        <v>88</v>
      </c>
      <c r="J155" s="72">
        <f>IF(F155="","",IF(H155="SÍ",'Configuración'!$C$6,0))</f>
        <v>1.3</v>
      </c>
      <c r="K155" s="78">
        <f t="shared" si="1"/>
        <v>3.5861</v>
      </c>
      <c r="L155" s="78">
        <f t="shared" si="8"/>
        <v>3.3861</v>
      </c>
      <c r="M155" s="79">
        <f t="shared" si="9"/>
        <v>0.9442291068</v>
      </c>
      <c r="N155" s="46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0" customHeight="1">
      <c r="A156" s="65"/>
      <c r="B156" s="74"/>
      <c r="C156" s="62"/>
      <c r="D156" s="53"/>
      <c r="E156" s="54"/>
      <c r="F156" s="55"/>
      <c r="G156" s="56"/>
      <c r="H156" s="42"/>
      <c r="I156" s="43"/>
      <c r="J156" s="18"/>
      <c r="K156" s="56"/>
      <c r="L156" s="56"/>
      <c r="M156" s="57"/>
      <c r="N156" s="46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0" customHeight="1">
      <c r="A157" s="65">
        <v>153.0</v>
      </c>
      <c r="B157" s="74"/>
      <c r="C157" s="62"/>
      <c r="D157" s="53"/>
      <c r="E157" s="54"/>
      <c r="F157" s="55"/>
      <c r="G157" s="56"/>
      <c r="H157" s="42"/>
      <c r="I157" s="43"/>
      <c r="J157" s="18"/>
      <c r="K157" s="56"/>
      <c r="L157" s="56"/>
      <c r="M157" s="57"/>
      <c r="N157" s="46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0" customHeight="1">
      <c r="A158" s="87" t="s">
        <v>112</v>
      </c>
      <c r="B158" s="9"/>
      <c r="C158" s="9"/>
      <c r="D158" s="10"/>
      <c r="E158" s="88">
        <f t="shared" ref="E158:G158" si="10">SUM(E5:E157)</f>
        <v>206.65</v>
      </c>
      <c r="F158" s="89">
        <f t="shared" si="10"/>
        <v>1120.87</v>
      </c>
      <c r="G158" s="88">
        <f t="shared" si="10"/>
        <v>101.3738</v>
      </c>
      <c r="H158" s="88"/>
      <c r="I158" s="90"/>
      <c r="J158" s="91">
        <f t="shared" ref="J158:L158" si="11">SUM(J5:J157)</f>
        <v>136.5</v>
      </c>
      <c r="K158" s="88">
        <f t="shared" si="11"/>
        <v>882.9962</v>
      </c>
      <c r="L158" s="88">
        <f t="shared" si="11"/>
        <v>666.3462</v>
      </c>
      <c r="M158" s="88">
        <f>IF(K158=0,0,L158/K158)</f>
        <v>0.7546422057</v>
      </c>
      <c r="N158" s="92">
        <f>SUM(N5:N157)</f>
        <v>10</v>
      </c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23.25" customHeight="1">
      <c r="A160" s="2"/>
      <c r="B160" s="15" t="s">
        <v>113</v>
      </c>
      <c r="C160" s="93">
        <f>COUNTA(B5:B305)</f>
        <v>155</v>
      </c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2">
        <v>57.0</v>
      </c>
      <c r="B162" s="2"/>
      <c r="C162" s="2"/>
      <c r="D162" s="2" t="str">
        <f>IFERROR(VLOOKUP(C162,'Catálogo Productos'!$B$3:$E$200,2,0),"")</f>
        <v/>
      </c>
      <c r="E162" s="2" t="str">
        <f>IFERROR(VLOOKUP(C162,'Catálogo Productos'!$B$3:$E$200,3,0),"")</f>
        <v/>
      </c>
      <c r="F162" s="2" t="str">
        <f>IFERROR(VLOOKUP(C162,'Catálogo Productos'!$B$3:$E$200,4,0),"")</f>
        <v/>
      </c>
      <c r="G162" s="2" t="str">
        <f>IF(F162="","",IF(I162="SÍ",F162*'Configuración'!$C$5,0))</f>
        <v/>
      </c>
      <c r="H162" s="2"/>
      <c r="I162" s="2"/>
      <c r="J162" s="2" t="str">
        <f>IF(F162="","",IF(H162="SÍ",'Configuración'!$C$6,0))</f>
        <v/>
      </c>
      <c r="K162" s="2" t="str">
        <f t="shared" ref="K162:K305" si="12">IF(F162="","",F162-G162-J162)</f>
        <v/>
      </c>
      <c r="L162" s="2" t="str">
        <f t="shared" ref="L162:L173" si="13">IF(F162="","",K162-E162-IF(N162="",0,N162))</f>
        <v/>
      </c>
      <c r="M162" s="2" t="str">
        <f t="shared" ref="M162:M173" si="14">IF(F162="","",IF(K162=0,0,L162/K162))</f>
        <v/>
      </c>
      <c r="N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2">
        <v>58.0</v>
      </c>
      <c r="B163" s="2"/>
      <c r="C163" s="2"/>
      <c r="D163" s="2" t="str">
        <f>IFERROR(VLOOKUP(C163,'Catálogo Productos'!$B$3:$E$200,2,0),"")</f>
        <v/>
      </c>
      <c r="E163" s="2" t="str">
        <f>IFERROR(VLOOKUP(C163,'Catálogo Productos'!$B$3:$E$200,3,0),"")</f>
        <v/>
      </c>
      <c r="F163" s="2" t="str">
        <f>IFERROR(VLOOKUP(C163,'Catálogo Productos'!$B$3:$E$200,4,0),"")</f>
        <v/>
      </c>
      <c r="G163" s="2" t="str">
        <f>IF(F163="","",IF(I163="SÍ",F163*'Configuración'!$C$5,0))</f>
        <v/>
      </c>
      <c r="H163" s="2"/>
      <c r="I163" s="2"/>
      <c r="J163" s="2" t="str">
        <f>IF(F163="","",IF(H163="SÍ",'Configuración'!$C$6,0))</f>
        <v/>
      </c>
      <c r="K163" s="2" t="str">
        <f t="shared" si="12"/>
        <v/>
      </c>
      <c r="L163" s="2" t="str">
        <f t="shared" si="13"/>
        <v/>
      </c>
      <c r="M163" s="2" t="str">
        <f t="shared" si="14"/>
        <v/>
      </c>
      <c r="N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>
      <c r="A164" s="2">
        <v>59.0</v>
      </c>
      <c r="B164" s="2"/>
      <c r="C164" s="2"/>
      <c r="D164" s="2" t="str">
        <f>IFERROR(VLOOKUP(C164,'Catálogo Productos'!$B$3:$E$200,2,0),"")</f>
        <v/>
      </c>
      <c r="E164" s="2" t="str">
        <f>IFERROR(VLOOKUP(C164,'Catálogo Productos'!$B$3:$E$200,3,0),"")</f>
        <v/>
      </c>
      <c r="F164" s="2" t="str">
        <f>IFERROR(VLOOKUP(C164,'Catálogo Productos'!$B$3:$E$200,4,0),"")</f>
        <v/>
      </c>
      <c r="G164" s="2" t="str">
        <f>IF(F164="","",IF(I164="SÍ",F164*'Configuración'!$C$5,0))</f>
        <v/>
      </c>
      <c r="H164" s="2"/>
      <c r="I164" s="2"/>
      <c r="J164" s="2" t="str">
        <f>IF(F164="","",IF(H164="SÍ",'Configuración'!$C$6,0))</f>
        <v/>
      </c>
      <c r="K164" s="2" t="str">
        <f t="shared" si="12"/>
        <v/>
      </c>
      <c r="L164" s="2" t="str">
        <f t="shared" si="13"/>
        <v/>
      </c>
      <c r="M164" s="2" t="str">
        <f t="shared" si="14"/>
        <v/>
      </c>
      <c r="N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>
      <c r="A165" s="2">
        <v>60.0</v>
      </c>
      <c r="B165" s="2"/>
      <c r="C165" s="2"/>
      <c r="D165" s="2" t="str">
        <f>IFERROR(VLOOKUP(C165,'Catálogo Productos'!$B$3:$E$200,2,0),"")</f>
        <v/>
      </c>
      <c r="E165" s="2" t="str">
        <f>IFERROR(VLOOKUP(C165,'Catálogo Productos'!$B$3:$E$200,3,0),"")</f>
        <v/>
      </c>
      <c r="F165" s="2" t="str">
        <f>IFERROR(VLOOKUP(C165,'Catálogo Productos'!$B$3:$E$200,4,0),"")</f>
        <v/>
      </c>
      <c r="G165" s="2" t="str">
        <f>IF(F165="","",IF(I165="SÍ",F165*'Configuración'!$C$5,0))</f>
        <v/>
      </c>
      <c r="H165" s="2"/>
      <c r="I165" s="2"/>
      <c r="J165" s="2" t="str">
        <f>IF(F165="","",IF(H165="SÍ",'Configuración'!$C$6,0))</f>
        <v/>
      </c>
      <c r="K165" s="2" t="str">
        <f t="shared" si="12"/>
        <v/>
      </c>
      <c r="L165" s="2" t="str">
        <f t="shared" si="13"/>
        <v/>
      </c>
      <c r="M165" s="2" t="str">
        <f t="shared" si="14"/>
        <v/>
      </c>
      <c r="N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2">
        <v>61.0</v>
      </c>
      <c r="B166" s="2"/>
      <c r="C166" s="2"/>
      <c r="D166" s="2" t="str">
        <f>IFERROR(VLOOKUP(C166,'Catálogo Productos'!$B$3:$E$200,2,0),"")</f>
        <v/>
      </c>
      <c r="E166" s="2" t="str">
        <f>IFERROR(VLOOKUP(C166,'Catálogo Productos'!$B$3:$E$200,3,0),"")</f>
        <v/>
      </c>
      <c r="F166" s="2" t="str">
        <f>IFERROR(VLOOKUP(C166,'Catálogo Productos'!$B$3:$E$200,4,0),"")</f>
        <v/>
      </c>
      <c r="G166" s="2" t="str">
        <f>IF(F166="","",IF(I166="SÍ",F166*'Configuración'!$C$5,0))</f>
        <v/>
      </c>
      <c r="H166" s="2"/>
      <c r="I166" s="2"/>
      <c r="J166" s="2" t="str">
        <f>IF(F166="","",IF(H166="SÍ",'Configuración'!$C$6,0))</f>
        <v/>
      </c>
      <c r="K166" s="2" t="str">
        <f t="shared" si="12"/>
        <v/>
      </c>
      <c r="L166" s="2" t="str">
        <f t="shared" si="13"/>
        <v/>
      </c>
      <c r="M166" s="2" t="str">
        <f t="shared" si="14"/>
        <v/>
      </c>
      <c r="N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>
      <c r="A167" s="2">
        <v>62.0</v>
      </c>
      <c r="B167" s="2"/>
      <c r="C167" s="2"/>
      <c r="D167" s="2" t="str">
        <f>IFERROR(VLOOKUP(C167,'Catálogo Productos'!$B$3:$E$200,2,0),"")</f>
        <v/>
      </c>
      <c r="E167" s="2" t="str">
        <f>IFERROR(VLOOKUP(C167,'Catálogo Productos'!$B$3:$E$200,3,0),"")</f>
        <v/>
      </c>
      <c r="F167" s="2" t="str">
        <f>IFERROR(VLOOKUP(C167,'Catálogo Productos'!$B$3:$E$200,4,0),"")</f>
        <v/>
      </c>
      <c r="G167" s="2" t="str">
        <f>IF(F167="","",IF(I167="SÍ",F167*'Configuración'!$C$5,0))</f>
        <v/>
      </c>
      <c r="H167" s="2"/>
      <c r="I167" s="2"/>
      <c r="J167" s="2" t="str">
        <f>IF(F167="","",IF(H167="SÍ",'Configuración'!$C$6,0))</f>
        <v/>
      </c>
      <c r="K167" s="2" t="str">
        <f t="shared" si="12"/>
        <v/>
      </c>
      <c r="L167" s="2" t="str">
        <f t="shared" si="13"/>
        <v/>
      </c>
      <c r="M167" s="2" t="str">
        <f t="shared" si="14"/>
        <v/>
      </c>
      <c r="N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2">
        <v>63.0</v>
      </c>
      <c r="B168" s="2"/>
      <c r="C168" s="2"/>
      <c r="D168" s="2" t="str">
        <f>IFERROR(VLOOKUP(C168,'Catálogo Productos'!$B$3:$E$200,2,0),"")</f>
        <v/>
      </c>
      <c r="E168" s="2" t="str">
        <f>IFERROR(VLOOKUP(C168,'Catálogo Productos'!$B$3:$E$200,3,0),"")</f>
        <v/>
      </c>
      <c r="F168" s="2" t="str">
        <f>IFERROR(VLOOKUP(C168,'Catálogo Productos'!$B$3:$E$200,4,0),"")</f>
        <v/>
      </c>
      <c r="G168" s="2" t="str">
        <f>IF(F168="","",IF(I168="SÍ",F168*'Configuración'!$C$5,0))</f>
        <v/>
      </c>
      <c r="H168" s="2"/>
      <c r="I168" s="2"/>
      <c r="J168" s="2" t="str">
        <f>IF(F168="","",IF(H168="SÍ",'Configuración'!$C$6,0))</f>
        <v/>
      </c>
      <c r="K168" s="2" t="str">
        <f t="shared" si="12"/>
        <v/>
      </c>
      <c r="L168" s="2" t="str">
        <f t="shared" si="13"/>
        <v/>
      </c>
      <c r="M168" s="2" t="str">
        <f t="shared" si="14"/>
        <v/>
      </c>
      <c r="N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2">
        <v>64.0</v>
      </c>
      <c r="B169" s="2"/>
      <c r="C169" s="2"/>
      <c r="D169" s="2" t="str">
        <f>IFERROR(VLOOKUP(C169,'Catálogo Productos'!$B$3:$E$200,2,0),"")</f>
        <v/>
      </c>
      <c r="E169" s="2" t="str">
        <f>IFERROR(VLOOKUP(C169,'Catálogo Productos'!$B$3:$E$200,3,0),"")</f>
        <v/>
      </c>
      <c r="F169" s="2" t="str">
        <f>IFERROR(VLOOKUP(C169,'Catálogo Productos'!$B$3:$E$200,4,0),"")</f>
        <v/>
      </c>
      <c r="G169" s="2" t="str">
        <f>IF(F169="","",IF(I169="SÍ",F169*'Configuración'!$C$5,0))</f>
        <v/>
      </c>
      <c r="H169" s="2"/>
      <c r="I169" s="2"/>
      <c r="J169" s="2" t="str">
        <f>IF(F169="","",IF(H169="SÍ",'Configuración'!$C$6,0))</f>
        <v/>
      </c>
      <c r="K169" s="2" t="str">
        <f t="shared" si="12"/>
        <v/>
      </c>
      <c r="L169" s="2" t="str">
        <f t="shared" si="13"/>
        <v/>
      </c>
      <c r="M169" s="2" t="str">
        <f t="shared" si="14"/>
        <v/>
      </c>
      <c r="N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>
      <c r="A170" s="2">
        <v>65.0</v>
      </c>
      <c r="B170" s="2"/>
      <c r="C170" s="2"/>
      <c r="D170" s="2" t="str">
        <f>IFERROR(VLOOKUP(C170,'Catálogo Productos'!$B$3:$E$200,2,0),"")</f>
        <v/>
      </c>
      <c r="E170" s="2" t="str">
        <f>IFERROR(VLOOKUP(C170,'Catálogo Productos'!$B$3:$E$200,3,0),"")</f>
        <v/>
      </c>
      <c r="F170" s="2" t="str">
        <f>IFERROR(VLOOKUP(C170,'Catálogo Productos'!$B$3:$E$200,4,0),"")</f>
        <v/>
      </c>
      <c r="G170" s="2" t="str">
        <f>IF(F170="","",IF(I170="SÍ",F170*'Configuración'!$C$5,0))</f>
        <v/>
      </c>
      <c r="H170" s="2"/>
      <c r="I170" s="2"/>
      <c r="J170" s="2" t="str">
        <f>IF(F170="","",IF(H170="SÍ",'Configuración'!$C$6,0))</f>
        <v/>
      </c>
      <c r="K170" s="2" t="str">
        <f t="shared" si="12"/>
        <v/>
      </c>
      <c r="L170" s="2" t="str">
        <f t="shared" si="13"/>
        <v/>
      </c>
      <c r="M170" s="2" t="str">
        <f t="shared" si="14"/>
        <v/>
      </c>
      <c r="N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>
      <c r="A171" s="2">
        <v>66.0</v>
      </c>
      <c r="B171" s="2"/>
      <c r="C171" s="2"/>
      <c r="D171" s="2" t="str">
        <f>IFERROR(VLOOKUP(C171,'Catálogo Productos'!$B$3:$E$200,2,0),"")</f>
        <v/>
      </c>
      <c r="E171" s="2" t="str">
        <f>IFERROR(VLOOKUP(C171,'Catálogo Productos'!$B$3:$E$200,3,0),"")</f>
        <v/>
      </c>
      <c r="F171" s="2" t="str">
        <f>IFERROR(VLOOKUP(C171,'Catálogo Productos'!$B$3:$E$200,4,0),"")</f>
        <v/>
      </c>
      <c r="G171" s="2" t="str">
        <f>IF(F171="","",IF(I171="SÍ",F171*'Configuración'!$C$5,0))</f>
        <v/>
      </c>
      <c r="H171" s="2"/>
      <c r="I171" s="2"/>
      <c r="J171" s="2" t="str">
        <f>IF(F171="","",IF(H171="SÍ",'Configuración'!$C$6,0))</f>
        <v/>
      </c>
      <c r="K171" s="2" t="str">
        <f t="shared" si="12"/>
        <v/>
      </c>
      <c r="L171" s="2" t="str">
        <f t="shared" si="13"/>
        <v/>
      </c>
      <c r="M171" s="2" t="str">
        <f t="shared" si="14"/>
        <v/>
      </c>
      <c r="N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>
      <c r="A172" s="2">
        <v>67.0</v>
      </c>
      <c r="B172" s="2"/>
      <c r="C172" s="2"/>
      <c r="D172" s="2" t="str">
        <f>IFERROR(VLOOKUP(C172,'Catálogo Productos'!$B$3:$E$200,2,0),"")</f>
        <v/>
      </c>
      <c r="E172" s="2" t="str">
        <f>IFERROR(VLOOKUP(C172,'Catálogo Productos'!$B$3:$E$200,3,0),"")</f>
        <v/>
      </c>
      <c r="F172" s="2" t="str">
        <f>IFERROR(VLOOKUP(C172,'Catálogo Productos'!$B$3:$E$200,4,0),"")</f>
        <v/>
      </c>
      <c r="G172" s="2" t="str">
        <f>IF(F172="","",IF(I172="SÍ",F172*'Configuración'!$C$5,0))</f>
        <v/>
      </c>
      <c r="H172" s="2"/>
      <c r="I172" s="2"/>
      <c r="J172" s="2" t="str">
        <f>IF(F172="","",IF(H172="SÍ",'Configuración'!$C$6,0))</f>
        <v/>
      </c>
      <c r="K172" s="2" t="str">
        <f t="shared" si="12"/>
        <v/>
      </c>
      <c r="L172" s="2" t="str">
        <f t="shared" si="13"/>
        <v/>
      </c>
      <c r="M172" s="2" t="str">
        <f t="shared" si="14"/>
        <v/>
      </c>
      <c r="N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2">
        <v>68.0</v>
      </c>
      <c r="B173" s="2"/>
      <c r="C173" s="2"/>
      <c r="D173" s="2" t="str">
        <f>IFERROR(VLOOKUP(C173,'Catálogo Productos'!$B$3:$E$200,2,0),"")</f>
        <v/>
      </c>
      <c r="E173" s="2" t="str">
        <f>IFERROR(VLOOKUP(C173,'Catálogo Productos'!$B$3:$E$200,3,0),"")</f>
        <v/>
      </c>
      <c r="F173" s="2" t="str">
        <f>IFERROR(VLOOKUP(C173,'Catálogo Productos'!$B$3:$E$200,4,0),"")</f>
        <v/>
      </c>
      <c r="G173" s="2" t="str">
        <f>IF(F173="","",IF(I173="SÍ",F173*'Configuración'!$C$5,0))</f>
        <v/>
      </c>
      <c r="H173" s="2"/>
      <c r="I173" s="2"/>
      <c r="J173" s="2" t="str">
        <f>IF(F173="","",IF(H173="SÍ",'Configuración'!$C$6,0))</f>
        <v/>
      </c>
      <c r="K173" s="2" t="str">
        <f t="shared" si="12"/>
        <v/>
      </c>
      <c r="L173" s="2" t="str">
        <f t="shared" si="13"/>
        <v/>
      </c>
      <c r="M173" s="2" t="str">
        <f t="shared" si="14"/>
        <v/>
      </c>
      <c r="N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2">
        <v>69.0</v>
      </c>
      <c r="B174" s="83">
        <v>46128.0</v>
      </c>
      <c r="C174" s="94" t="s">
        <v>76</v>
      </c>
      <c r="D174" s="67" t="str">
        <f>IFERROR(VLOOKUP(C174,'Catálogo Productos'!$B$3:$E$200,2,0),"")</f>
        <v>Categoría</v>
      </c>
      <c r="E174" s="68" t="str">
        <f>IFERROR(VLOOKUP(C174,'Catálogo Productos'!$B$3:$E$200,3,0),"")</f>
        <v>Costo USD</v>
      </c>
      <c r="F174" s="69" t="str">
        <f>IFERROR(VLOOKUP(C174,'Catálogo Productos'!$B$3:$E$200,4,0),"")</f>
        <v>Precio Venta
USD</v>
      </c>
      <c r="G174" s="78" t="str">
        <f>IF(F174="","",IF(I174="SÍ",F174*'Configuración'!$C$5,0))</f>
        <v>#VALUE!</v>
      </c>
      <c r="H174" s="42" t="s">
        <v>88</v>
      </c>
      <c r="I174" s="43" t="s">
        <v>88</v>
      </c>
      <c r="J174" s="72">
        <f>IF(F174="","",IF(H174="SÍ",'Configuración'!$C$6,0))</f>
        <v>1.3</v>
      </c>
      <c r="K174" s="78" t="str">
        <f t="shared" si="12"/>
        <v>#VALUE!</v>
      </c>
      <c r="L174" s="78" t="str">
        <f t="shared" ref="L174:L176" si="15">IF(F174="","",K174-E174-IF(N174="",0,N174))</f>
        <v>#VALUE!</v>
      </c>
      <c r="M174" s="79" t="str">
        <f t="shared" ref="M174:M176" si="16">IF(F174="","",IF(K174=0,0,L174/K174))</f>
        <v>#VALUE!</v>
      </c>
      <c r="N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2">
        <v>70.0</v>
      </c>
      <c r="B175" s="83">
        <v>46128.0</v>
      </c>
      <c r="C175" s="94" t="s">
        <v>76</v>
      </c>
      <c r="D175" s="67" t="str">
        <f>IFERROR(VLOOKUP(C175,'Catálogo Productos'!$B$3:$E$200,2,0),"")</f>
        <v>Categoría</v>
      </c>
      <c r="E175" s="68" t="str">
        <f>IFERROR(VLOOKUP(C175,'Catálogo Productos'!$B$3:$E$200,3,0),"")</f>
        <v>Costo USD</v>
      </c>
      <c r="F175" s="69" t="str">
        <f>IFERROR(VLOOKUP(C175,'Catálogo Productos'!$B$3:$E$200,4,0),"")</f>
        <v>Precio Venta
USD</v>
      </c>
      <c r="G175" s="78" t="str">
        <f>IF(F175="","",IF(I175="SÍ",F175*'Configuración'!$C$5,0))</f>
        <v>#VALUE!</v>
      </c>
      <c r="H175" s="42" t="s">
        <v>88</v>
      </c>
      <c r="I175" s="43" t="s">
        <v>88</v>
      </c>
      <c r="J175" s="72">
        <f>IF(F175="","",IF(H175="SÍ",'Configuración'!$C$6,0))</f>
        <v>1.3</v>
      </c>
      <c r="K175" s="78" t="str">
        <f t="shared" si="12"/>
        <v>#VALUE!</v>
      </c>
      <c r="L175" s="78" t="str">
        <f t="shared" si="15"/>
        <v>#VALUE!</v>
      </c>
      <c r="M175" s="79" t="str">
        <f t="shared" si="16"/>
        <v>#VALUE!</v>
      </c>
      <c r="N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2">
        <v>71.0</v>
      </c>
      <c r="B176" s="83">
        <v>46128.0</v>
      </c>
      <c r="C176" s="94" t="s">
        <v>76</v>
      </c>
      <c r="D176" s="67" t="str">
        <f>IFERROR(VLOOKUP(C176,'Catálogo Productos'!$B$3:$E$200,2,0),"")</f>
        <v>Categoría</v>
      </c>
      <c r="E176" s="68" t="str">
        <f>IFERROR(VLOOKUP(C176,'Catálogo Productos'!$B$3:$E$200,3,0),"")</f>
        <v>Costo USD</v>
      </c>
      <c r="F176" s="69" t="str">
        <f>IFERROR(VLOOKUP(C176,'Catálogo Productos'!$B$3:$E$200,4,0),"")</f>
        <v>Precio Venta
USD</v>
      </c>
      <c r="G176" s="78" t="str">
        <f>IF(F176="","",IF(I176="SÍ",F176*'Configuración'!$C$5,0))</f>
        <v>#VALUE!</v>
      </c>
      <c r="H176" s="42" t="s">
        <v>88</v>
      </c>
      <c r="I176" s="43" t="s">
        <v>88</v>
      </c>
      <c r="J176" s="72">
        <f>IF(F176="","",IF(H176="SÍ",'Configuración'!$C$6,0))</f>
        <v>1.3</v>
      </c>
      <c r="K176" s="78" t="str">
        <f t="shared" si="12"/>
        <v>#VALUE!</v>
      </c>
      <c r="L176" s="78" t="str">
        <f t="shared" si="15"/>
        <v>#VALUE!</v>
      </c>
      <c r="M176" s="79" t="str">
        <f t="shared" si="16"/>
        <v>#VALUE!</v>
      </c>
      <c r="N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2">
        <v>72.0</v>
      </c>
      <c r="B177" s="2"/>
      <c r="C177" s="2"/>
      <c r="D177" s="2" t="str">
        <f>IFERROR(VLOOKUP(C177,'Catálogo Productos'!$B$3:$E$200,2,0),"")</f>
        <v/>
      </c>
      <c r="E177" s="2" t="str">
        <f>IFERROR(VLOOKUP(C177,'Catálogo Productos'!$B$3:$E$200,3,0),"")</f>
        <v/>
      </c>
      <c r="F177" s="2" t="str">
        <f>IFERROR(VLOOKUP(C177,'Catálogo Productos'!$B$3:$E$200,4,0),"")</f>
        <v/>
      </c>
      <c r="G177" s="2" t="str">
        <f>IF(F177="","",IF(I177="SÍ",F177*'Configuración'!$C$5,0))</f>
        <v/>
      </c>
      <c r="H177" s="2"/>
      <c r="I177" s="2"/>
      <c r="J177" s="2" t="str">
        <f>IF(F177="","",IF(H177="SÍ",'Configuración'!$C$6,0))</f>
        <v/>
      </c>
      <c r="K177" s="2" t="str">
        <f t="shared" si="12"/>
        <v/>
      </c>
      <c r="L177" s="2" t="str">
        <f t="shared" ref="L177:L305" si="17">IF(F177="","",K177-E177-IF(N177="",0,N177))</f>
        <v/>
      </c>
      <c r="M177" s="2" t="str">
        <f t="shared" ref="M177:M305" si="18">IF(F177="","",IF(K177=0,0,L177/K177))</f>
        <v/>
      </c>
      <c r="N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2">
        <v>73.0</v>
      </c>
      <c r="B178" s="2"/>
      <c r="C178" s="2"/>
      <c r="D178" s="2" t="str">
        <f>IFERROR(VLOOKUP(C178,'Catálogo Productos'!$B$3:$E$200,2,0),"")</f>
        <v/>
      </c>
      <c r="E178" s="2" t="str">
        <f>IFERROR(VLOOKUP(C178,'Catálogo Productos'!$B$3:$E$200,3,0),"")</f>
        <v/>
      </c>
      <c r="F178" s="2" t="str">
        <f>IFERROR(VLOOKUP(C178,'Catálogo Productos'!$B$3:$E$200,4,0),"")</f>
        <v/>
      </c>
      <c r="G178" s="2" t="str">
        <f>IF(F178="","",IF(I178="SÍ",F178*'Configuración'!$C$5,0))</f>
        <v/>
      </c>
      <c r="H178" s="2"/>
      <c r="I178" s="2"/>
      <c r="J178" s="2" t="str">
        <f>IF(F178="","",IF(H178="SÍ",'Configuración'!$C$6,0))</f>
        <v/>
      </c>
      <c r="K178" s="2" t="str">
        <f t="shared" si="12"/>
        <v/>
      </c>
      <c r="L178" s="2" t="str">
        <f t="shared" si="17"/>
        <v/>
      </c>
      <c r="M178" s="2" t="str">
        <f t="shared" si="18"/>
        <v/>
      </c>
      <c r="N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2">
        <v>74.0</v>
      </c>
      <c r="B179" s="2"/>
      <c r="C179" s="2"/>
      <c r="D179" s="2" t="str">
        <f>IFERROR(VLOOKUP(C179,'Catálogo Productos'!$B$3:$E$200,2,0),"")</f>
        <v/>
      </c>
      <c r="E179" s="2" t="str">
        <f>IFERROR(VLOOKUP(C179,'Catálogo Productos'!$B$3:$E$200,3,0),"")</f>
        <v/>
      </c>
      <c r="F179" s="2" t="str">
        <f>IFERROR(VLOOKUP(C179,'Catálogo Productos'!$B$3:$E$200,4,0),"")</f>
        <v/>
      </c>
      <c r="G179" s="2" t="str">
        <f>IF(F179="","",IF(I179="SÍ",F179*'Configuración'!$C$5,0))</f>
        <v/>
      </c>
      <c r="H179" s="2"/>
      <c r="I179" s="2"/>
      <c r="J179" s="2" t="str">
        <f>IF(F179="","",IF(H179="SÍ",'Configuración'!$C$6,0))</f>
        <v/>
      </c>
      <c r="K179" s="2" t="str">
        <f t="shared" si="12"/>
        <v/>
      </c>
      <c r="L179" s="2" t="str">
        <f t="shared" si="17"/>
        <v/>
      </c>
      <c r="M179" s="2" t="str">
        <f t="shared" si="18"/>
        <v/>
      </c>
      <c r="N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2">
        <v>75.0</v>
      </c>
      <c r="B180" s="2"/>
      <c r="C180" s="2"/>
      <c r="D180" s="2" t="str">
        <f>IFERROR(VLOOKUP(C180,'Catálogo Productos'!$B$3:$E$200,2,0),"")</f>
        <v/>
      </c>
      <c r="E180" s="2" t="str">
        <f>IFERROR(VLOOKUP(C180,'Catálogo Productos'!$B$3:$E$200,3,0),"")</f>
        <v/>
      </c>
      <c r="F180" s="2" t="str">
        <f>IFERROR(VLOOKUP(C180,'Catálogo Productos'!$B$3:$E$200,4,0),"")</f>
        <v/>
      </c>
      <c r="G180" s="2" t="str">
        <f>IF(F180="","",IF(I180="SÍ",F180*'Configuración'!$C$5,0))</f>
        <v/>
      </c>
      <c r="H180" s="2"/>
      <c r="I180" s="2"/>
      <c r="J180" s="2" t="str">
        <f>IF(F180="","",IF(H180="SÍ",'Configuración'!$C$6,0))</f>
        <v/>
      </c>
      <c r="K180" s="2" t="str">
        <f t="shared" si="12"/>
        <v/>
      </c>
      <c r="L180" s="2" t="str">
        <f t="shared" si="17"/>
        <v/>
      </c>
      <c r="M180" s="2" t="str">
        <f t="shared" si="18"/>
        <v/>
      </c>
      <c r="N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2">
        <v>76.0</v>
      </c>
      <c r="B181" s="2"/>
      <c r="C181" s="2"/>
      <c r="D181" s="2" t="str">
        <f>IFERROR(VLOOKUP(C181,'Catálogo Productos'!$B$3:$E$200,2,0),"")</f>
        <v/>
      </c>
      <c r="E181" s="2" t="str">
        <f>IFERROR(VLOOKUP(C181,'Catálogo Productos'!$B$3:$E$200,3,0),"")</f>
        <v/>
      </c>
      <c r="F181" s="2" t="str">
        <f>IFERROR(VLOOKUP(C181,'Catálogo Productos'!$B$3:$E$200,4,0),"")</f>
        <v/>
      </c>
      <c r="G181" s="2" t="str">
        <f>IF(F181="","",IF(I181="SÍ",F181*'Configuración'!$C$5,0))</f>
        <v/>
      </c>
      <c r="H181" s="2"/>
      <c r="I181" s="2"/>
      <c r="J181" s="2" t="str">
        <f>IF(F181="","",IF(H181="SÍ",'Configuración'!$C$6,0))</f>
        <v/>
      </c>
      <c r="K181" s="2" t="str">
        <f t="shared" si="12"/>
        <v/>
      </c>
      <c r="L181" s="2" t="str">
        <f t="shared" si="17"/>
        <v/>
      </c>
      <c r="M181" s="2" t="str">
        <f t="shared" si="18"/>
        <v/>
      </c>
      <c r="N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2">
        <v>77.0</v>
      </c>
      <c r="B182" s="2"/>
      <c r="C182" s="2"/>
      <c r="D182" s="2" t="str">
        <f>IFERROR(VLOOKUP(C182,'Catálogo Productos'!$B$3:$E$200,2,0),"")</f>
        <v/>
      </c>
      <c r="E182" s="2" t="str">
        <f>IFERROR(VLOOKUP(C182,'Catálogo Productos'!$B$3:$E$200,3,0),"")</f>
        <v/>
      </c>
      <c r="F182" s="2" t="str">
        <f>IFERROR(VLOOKUP(C182,'Catálogo Productos'!$B$3:$E$200,4,0),"")</f>
        <v/>
      </c>
      <c r="G182" s="2" t="str">
        <f>IF(F182="","",IF(I182="SÍ",F182*'Configuración'!$C$5,0))</f>
        <v/>
      </c>
      <c r="H182" s="2"/>
      <c r="I182" s="2"/>
      <c r="J182" s="2" t="str">
        <f>IF(F182="","",IF(H182="SÍ",'Configuración'!$C$6,0))</f>
        <v/>
      </c>
      <c r="K182" s="2" t="str">
        <f t="shared" si="12"/>
        <v/>
      </c>
      <c r="L182" s="2" t="str">
        <f t="shared" si="17"/>
        <v/>
      </c>
      <c r="M182" s="2" t="str">
        <f t="shared" si="18"/>
        <v/>
      </c>
      <c r="N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2">
        <v>78.0</v>
      </c>
      <c r="B183" s="2"/>
      <c r="C183" s="2"/>
      <c r="D183" s="2" t="str">
        <f>IFERROR(VLOOKUP(C183,'Catálogo Productos'!$B$3:$E$200,2,0),"")</f>
        <v/>
      </c>
      <c r="E183" s="2" t="str">
        <f>IFERROR(VLOOKUP(C183,'Catálogo Productos'!$B$3:$E$200,3,0),"")</f>
        <v/>
      </c>
      <c r="F183" s="2" t="str">
        <f>IFERROR(VLOOKUP(C183,'Catálogo Productos'!$B$3:$E$200,4,0),"")</f>
        <v/>
      </c>
      <c r="G183" s="2" t="str">
        <f>IF(F183="","",IF(I183="SÍ",F183*'Configuración'!$C$5,0))</f>
        <v/>
      </c>
      <c r="H183" s="2"/>
      <c r="I183" s="2"/>
      <c r="J183" s="2" t="str">
        <f>IF(F183="","",IF(H183="SÍ",'Configuración'!$C$6,0))</f>
        <v/>
      </c>
      <c r="K183" s="2" t="str">
        <f t="shared" si="12"/>
        <v/>
      </c>
      <c r="L183" s="2" t="str">
        <f t="shared" si="17"/>
        <v/>
      </c>
      <c r="M183" s="2" t="str">
        <f t="shared" si="18"/>
        <v/>
      </c>
      <c r="N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2">
        <v>79.0</v>
      </c>
      <c r="B184" s="2"/>
      <c r="C184" s="2"/>
      <c r="D184" s="2" t="str">
        <f>IFERROR(VLOOKUP(C184,'Catálogo Productos'!$B$3:$E$200,2,0),"")</f>
        <v/>
      </c>
      <c r="E184" s="2" t="str">
        <f>IFERROR(VLOOKUP(C184,'Catálogo Productos'!$B$3:$E$200,3,0),"")</f>
        <v/>
      </c>
      <c r="F184" s="2" t="str">
        <f>IFERROR(VLOOKUP(C184,'Catálogo Productos'!$B$3:$E$200,4,0),"")</f>
        <v/>
      </c>
      <c r="G184" s="2" t="str">
        <f>IF(F184="","",IF(I184="SÍ",F184*'Configuración'!$C$5,0))</f>
        <v/>
      </c>
      <c r="H184" s="2"/>
      <c r="I184" s="2"/>
      <c r="J184" s="2" t="str">
        <f>IF(F184="","",IF(H184="SÍ",'Configuración'!$C$6,0))</f>
        <v/>
      </c>
      <c r="K184" s="2" t="str">
        <f t="shared" si="12"/>
        <v/>
      </c>
      <c r="L184" s="2" t="str">
        <f t="shared" si="17"/>
        <v/>
      </c>
      <c r="M184" s="2" t="str">
        <f t="shared" si="18"/>
        <v/>
      </c>
      <c r="N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2">
        <v>80.0</v>
      </c>
      <c r="B185" s="2"/>
      <c r="C185" s="2"/>
      <c r="D185" s="2" t="str">
        <f>IFERROR(VLOOKUP(C185,'Catálogo Productos'!$B$3:$E$200,2,0),"")</f>
        <v/>
      </c>
      <c r="E185" s="2" t="str">
        <f>IFERROR(VLOOKUP(C185,'Catálogo Productos'!$B$3:$E$200,3,0),"")</f>
        <v/>
      </c>
      <c r="F185" s="2" t="str">
        <f>IFERROR(VLOOKUP(C185,'Catálogo Productos'!$B$3:$E$200,4,0),"")</f>
        <v/>
      </c>
      <c r="G185" s="2" t="str">
        <f>IF(F185="","",IF(I185="SÍ",F185*'Configuración'!$C$5,0))</f>
        <v/>
      </c>
      <c r="H185" s="2"/>
      <c r="I185" s="2"/>
      <c r="J185" s="2" t="str">
        <f>IF(F185="","",IF(H185="SÍ",'Configuración'!$C$6,0))</f>
        <v/>
      </c>
      <c r="K185" s="2" t="str">
        <f t="shared" si="12"/>
        <v/>
      </c>
      <c r="L185" s="2" t="str">
        <f t="shared" si="17"/>
        <v/>
      </c>
      <c r="M185" s="2" t="str">
        <f t="shared" si="18"/>
        <v/>
      </c>
      <c r="N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2">
        <v>81.0</v>
      </c>
      <c r="B186" s="2"/>
      <c r="C186" s="2"/>
      <c r="D186" s="2" t="str">
        <f>IFERROR(VLOOKUP(C186,'Catálogo Productos'!$B$3:$E$200,2,0),"")</f>
        <v/>
      </c>
      <c r="E186" s="2" t="str">
        <f>IFERROR(VLOOKUP(C186,'Catálogo Productos'!$B$3:$E$200,3,0),"")</f>
        <v/>
      </c>
      <c r="F186" s="2" t="str">
        <f>IFERROR(VLOOKUP(C186,'Catálogo Productos'!$B$3:$E$200,4,0),"")</f>
        <v/>
      </c>
      <c r="G186" s="2" t="str">
        <f>IF(F186="","",IF(I186="SÍ",F186*'Configuración'!$C$5,0))</f>
        <v/>
      </c>
      <c r="H186" s="2"/>
      <c r="I186" s="2"/>
      <c r="J186" s="2" t="str">
        <f>IF(F186="","",IF(H186="SÍ",'Configuración'!$C$6,0))</f>
        <v/>
      </c>
      <c r="K186" s="2" t="str">
        <f t="shared" si="12"/>
        <v/>
      </c>
      <c r="L186" s="2" t="str">
        <f t="shared" si="17"/>
        <v/>
      </c>
      <c r="M186" s="2" t="str">
        <f t="shared" si="18"/>
        <v/>
      </c>
      <c r="N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2">
        <v>82.0</v>
      </c>
      <c r="B187" s="2"/>
      <c r="C187" s="2"/>
      <c r="D187" s="2" t="str">
        <f>IFERROR(VLOOKUP(C187,'Catálogo Productos'!$B$3:$E$200,2,0),"")</f>
        <v/>
      </c>
      <c r="E187" s="2" t="str">
        <f>IFERROR(VLOOKUP(C187,'Catálogo Productos'!$B$3:$E$200,3,0),"")</f>
        <v/>
      </c>
      <c r="F187" s="2" t="str">
        <f>IFERROR(VLOOKUP(C187,'Catálogo Productos'!$B$3:$E$200,4,0),"")</f>
        <v/>
      </c>
      <c r="G187" s="2" t="str">
        <f>IF(F187="","",IF(I187="SÍ",F187*'Configuración'!$C$5,0))</f>
        <v/>
      </c>
      <c r="H187" s="2"/>
      <c r="I187" s="2"/>
      <c r="J187" s="2" t="str">
        <f>IF(F187="","",IF(H187="SÍ",'Configuración'!$C$6,0))</f>
        <v/>
      </c>
      <c r="K187" s="2" t="str">
        <f t="shared" si="12"/>
        <v/>
      </c>
      <c r="L187" s="2" t="str">
        <f t="shared" si="17"/>
        <v/>
      </c>
      <c r="M187" s="2" t="str">
        <f t="shared" si="18"/>
        <v/>
      </c>
      <c r="N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2">
        <v>83.0</v>
      </c>
      <c r="B188" s="2"/>
      <c r="C188" s="2"/>
      <c r="D188" s="2" t="str">
        <f>IFERROR(VLOOKUP(C188,'Catálogo Productos'!$B$3:$E$200,2,0),"")</f>
        <v/>
      </c>
      <c r="E188" s="2" t="str">
        <f>IFERROR(VLOOKUP(C188,'Catálogo Productos'!$B$3:$E$200,3,0),"")</f>
        <v/>
      </c>
      <c r="F188" s="2" t="str">
        <f>IFERROR(VLOOKUP(C188,'Catálogo Productos'!$B$3:$E$200,4,0),"")</f>
        <v/>
      </c>
      <c r="G188" s="2" t="str">
        <f>IF(F188="","",IF(I188="SÍ",F188*'Configuración'!$C$5,0))</f>
        <v/>
      </c>
      <c r="H188" s="2"/>
      <c r="I188" s="2"/>
      <c r="J188" s="2" t="str">
        <f>IF(F188="","",IF(H188="SÍ",'Configuración'!$C$6,0))</f>
        <v/>
      </c>
      <c r="K188" s="2" t="str">
        <f t="shared" si="12"/>
        <v/>
      </c>
      <c r="L188" s="2" t="str">
        <f t="shared" si="17"/>
        <v/>
      </c>
      <c r="M188" s="2" t="str">
        <f t="shared" si="18"/>
        <v/>
      </c>
      <c r="N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2">
        <v>84.0</v>
      </c>
      <c r="B189" s="2"/>
      <c r="C189" s="2"/>
      <c r="D189" s="2" t="str">
        <f>IFERROR(VLOOKUP(C189,'Catálogo Productos'!$B$3:$E$200,2,0),"")</f>
        <v/>
      </c>
      <c r="E189" s="2" t="str">
        <f>IFERROR(VLOOKUP(C189,'Catálogo Productos'!$B$3:$E$200,3,0),"")</f>
        <v/>
      </c>
      <c r="F189" s="2" t="str">
        <f>IFERROR(VLOOKUP(C189,'Catálogo Productos'!$B$3:$E$200,4,0),"")</f>
        <v/>
      </c>
      <c r="G189" s="2" t="str">
        <f>IF(F189="","",IF(I189="SÍ",F189*'Configuración'!$C$5,0))</f>
        <v/>
      </c>
      <c r="H189" s="2"/>
      <c r="I189" s="2"/>
      <c r="J189" s="2" t="str">
        <f>IF(F189="","",IF(H189="SÍ",'Configuración'!$C$6,0))</f>
        <v/>
      </c>
      <c r="K189" s="2" t="str">
        <f t="shared" si="12"/>
        <v/>
      </c>
      <c r="L189" s="2" t="str">
        <f t="shared" si="17"/>
        <v/>
      </c>
      <c r="M189" s="2" t="str">
        <f t="shared" si="18"/>
        <v/>
      </c>
      <c r="N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2">
        <v>85.0</v>
      </c>
      <c r="B190" s="2"/>
      <c r="C190" s="2"/>
      <c r="D190" s="2" t="str">
        <f>IFERROR(VLOOKUP(C190,'Catálogo Productos'!$B$3:$E$200,2,0),"")</f>
        <v/>
      </c>
      <c r="E190" s="2" t="str">
        <f>IFERROR(VLOOKUP(C190,'Catálogo Productos'!$B$3:$E$200,3,0),"")</f>
        <v/>
      </c>
      <c r="F190" s="2" t="str">
        <f>IFERROR(VLOOKUP(C190,'Catálogo Productos'!$B$3:$E$200,4,0),"")</f>
        <v/>
      </c>
      <c r="G190" s="2" t="str">
        <f>IF(F190="","",IF(I190="SÍ",F190*'Configuración'!$C$5,0))</f>
        <v/>
      </c>
      <c r="H190" s="2"/>
      <c r="I190" s="2"/>
      <c r="J190" s="2" t="str">
        <f>IF(F190="","",IF(H190="SÍ",'Configuración'!$C$6,0))</f>
        <v/>
      </c>
      <c r="K190" s="2" t="str">
        <f t="shared" si="12"/>
        <v/>
      </c>
      <c r="L190" s="2" t="str">
        <f t="shared" si="17"/>
        <v/>
      </c>
      <c r="M190" s="2" t="str">
        <f t="shared" si="18"/>
        <v/>
      </c>
      <c r="N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2">
        <v>86.0</v>
      </c>
      <c r="B191" s="2"/>
      <c r="C191" s="2"/>
      <c r="D191" s="2" t="str">
        <f>IFERROR(VLOOKUP(C191,'Catálogo Productos'!$B$3:$E$200,2,0),"")</f>
        <v/>
      </c>
      <c r="E191" s="2" t="str">
        <f>IFERROR(VLOOKUP(C191,'Catálogo Productos'!$B$3:$E$200,3,0),"")</f>
        <v/>
      </c>
      <c r="F191" s="2" t="str">
        <f>IFERROR(VLOOKUP(C191,'Catálogo Productos'!$B$3:$E$200,4,0),"")</f>
        <v/>
      </c>
      <c r="G191" s="2" t="str">
        <f>IF(F191="","",IF(I191="SÍ",F191*'Configuración'!$C$5,0))</f>
        <v/>
      </c>
      <c r="H191" s="2"/>
      <c r="I191" s="2"/>
      <c r="J191" s="2" t="str">
        <f>IF(F191="","",IF(H191="SÍ",'Configuración'!$C$6,0))</f>
        <v/>
      </c>
      <c r="K191" s="2" t="str">
        <f t="shared" si="12"/>
        <v/>
      </c>
      <c r="L191" s="2" t="str">
        <f t="shared" si="17"/>
        <v/>
      </c>
      <c r="M191" s="2" t="str">
        <f t="shared" si="18"/>
        <v/>
      </c>
      <c r="N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2">
        <v>87.0</v>
      </c>
      <c r="B192" s="2"/>
      <c r="C192" s="2"/>
      <c r="D192" s="2" t="str">
        <f>IFERROR(VLOOKUP(C192,'Catálogo Productos'!$B$3:$E$200,2,0),"")</f>
        <v/>
      </c>
      <c r="E192" s="2" t="str">
        <f>IFERROR(VLOOKUP(C192,'Catálogo Productos'!$B$3:$E$200,3,0),"")</f>
        <v/>
      </c>
      <c r="F192" s="2" t="str">
        <f>IFERROR(VLOOKUP(C192,'Catálogo Productos'!$B$3:$E$200,4,0),"")</f>
        <v/>
      </c>
      <c r="G192" s="2" t="str">
        <f>IF(F192="","",IF(I192="SÍ",F192*'Configuración'!$C$5,0))</f>
        <v/>
      </c>
      <c r="H192" s="2"/>
      <c r="I192" s="2"/>
      <c r="J192" s="2" t="str">
        <f>IF(F192="","",IF(H192="SÍ",'Configuración'!$C$6,0))</f>
        <v/>
      </c>
      <c r="K192" s="2" t="str">
        <f t="shared" si="12"/>
        <v/>
      </c>
      <c r="L192" s="2" t="str">
        <f t="shared" si="17"/>
        <v/>
      </c>
      <c r="M192" s="2" t="str">
        <f t="shared" si="18"/>
        <v/>
      </c>
      <c r="N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2">
        <v>88.0</v>
      </c>
      <c r="B193" s="2"/>
      <c r="C193" s="2"/>
      <c r="D193" s="2" t="str">
        <f>IFERROR(VLOOKUP(C193,'Catálogo Productos'!$B$3:$E$200,2,0),"")</f>
        <v/>
      </c>
      <c r="E193" s="2" t="str">
        <f>IFERROR(VLOOKUP(C193,'Catálogo Productos'!$B$3:$E$200,3,0),"")</f>
        <v/>
      </c>
      <c r="F193" s="2" t="str">
        <f>IFERROR(VLOOKUP(C193,'Catálogo Productos'!$B$3:$E$200,4,0),"")</f>
        <v/>
      </c>
      <c r="G193" s="2" t="str">
        <f>IF(F193="","",IF(I193="SÍ",F193*'Configuración'!$C$5,0))</f>
        <v/>
      </c>
      <c r="H193" s="2"/>
      <c r="I193" s="2"/>
      <c r="J193" s="2" t="str">
        <f>IF(F193="","",IF(H193="SÍ",'Configuración'!$C$6,0))</f>
        <v/>
      </c>
      <c r="K193" s="2" t="str">
        <f t="shared" si="12"/>
        <v/>
      </c>
      <c r="L193" s="2" t="str">
        <f t="shared" si="17"/>
        <v/>
      </c>
      <c r="M193" s="2" t="str">
        <f t="shared" si="18"/>
        <v/>
      </c>
      <c r="N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2">
        <v>89.0</v>
      </c>
      <c r="B194" s="2"/>
      <c r="C194" s="2"/>
      <c r="D194" s="2" t="str">
        <f>IFERROR(VLOOKUP(C194,'Catálogo Productos'!$B$3:$E$200,2,0),"")</f>
        <v/>
      </c>
      <c r="E194" s="2" t="str">
        <f>IFERROR(VLOOKUP(C194,'Catálogo Productos'!$B$3:$E$200,3,0),"")</f>
        <v/>
      </c>
      <c r="F194" s="2" t="str">
        <f>IFERROR(VLOOKUP(C194,'Catálogo Productos'!$B$3:$E$200,4,0),"")</f>
        <v/>
      </c>
      <c r="G194" s="2" t="str">
        <f>IF(F194="","",IF(I194="SÍ",F194*'Configuración'!$C$5,0))</f>
        <v/>
      </c>
      <c r="H194" s="2"/>
      <c r="I194" s="2"/>
      <c r="J194" s="2" t="str">
        <f>IF(F194="","",IF(H194="SÍ",'Configuración'!$C$6,0))</f>
        <v/>
      </c>
      <c r="K194" s="2" t="str">
        <f t="shared" si="12"/>
        <v/>
      </c>
      <c r="L194" s="2" t="str">
        <f t="shared" si="17"/>
        <v/>
      </c>
      <c r="M194" s="2" t="str">
        <f t="shared" si="18"/>
        <v/>
      </c>
      <c r="N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2">
        <v>90.0</v>
      </c>
      <c r="B195" s="2"/>
      <c r="C195" s="2"/>
      <c r="D195" s="2" t="str">
        <f>IFERROR(VLOOKUP(C195,'Catálogo Productos'!$B$3:$E$200,2,0),"")</f>
        <v/>
      </c>
      <c r="E195" s="2" t="str">
        <f>IFERROR(VLOOKUP(C195,'Catálogo Productos'!$B$3:$E$200,3,0),"")</f>
        <v/>
      </c>
      <c r="F195" s="2" t="str">
        <f>IFERROR(VLOOKUP(C195,'Catálogo Productos'!$B$3:$E$200,4,0),"")</f>
        <v/>
      </c>
      <c r="G195" s="2" t="str">
        <f>IF(F195="","",IF(I195="SÍ",F195*'Configuración'!$C$5,0))</f>
        <v/>
      </c>
      <c r="H195" s="2"/>
      <c r="I195" s="2"/>
      <c r="J195" s="2" t="str">
        <f>IF(F195="","",IF(H195="SÍ",'Configuración'!$C$6,0))</f>
        <v/>
      </c>
      <c r="K195" s="2" t="str">
        <f t="shared" si="12"/>
        <v/>
      </c>
      <c r="L195" s="2" t="str">
        <f t="shared" si="17"/>
        <v/>
      </c>
      <c r="M195" s="2" t="str">
        <f t="shared" si="18"/>
        <v/>
      </c>
      <c r="N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2">
        <v>91.0</v>
      </c>
      <c r="B196" s="2"/>
      <c r="C196" s="2"/>
      <c r="D196" s="2" t="str">
        <f>IFERROR(VLOOKUP(C196,'Catálogo Productos'!$B$3:$E$200,2,0),"")</f>
        <v/>
      </c>
      <c r="E196" s="2" t="str">
        <f>IFERROR(VLOOKUP(C196,'Catálogo Productos'!$B$3:$E$200,3,0),"")</f>
        <v/>
      </c>
      <c r="F196" s="2" t="str">
        <f>IFERROR(VLOOKUP(C196,'Catálogo Productos'!$B$3:$E$200,4,0),"")</f>
        <v/>
      </c>
      <c r="G196" s="2" t="str">
        <f>IF(F196="","",IF(I196="SÍ",F196*'Configuración'!$C$5,0))</f>
        <v/>
      </c>
      <c r="H196" s="2"/>
      <c r="I196" s="2"/>
      <c r="J196" s="2" t="str">
        <f>IF(F196="","",IF(H196="SÍ",'Configuración'!$C$6,0))</f>
        <v/>
      </c>
      <c r="K196" s="2" t="str">
        <f t="shared" si="12"/>
        <v/>
      </c>
      <c r="L196" s="2" t="str">
        <f t="shared" si="17"/>
        <v/>
      </c>
      <c r="M196" s="2" t="str">
        <f t="shared" si="18"/>
        <v/>
      </c>
      <c r="N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2">
        <v>92.0</v>
      </c>
      <c r="B197" s="2"/>
      <c r="C197" s="2"/>
      <c r="D197" s="2" t="str">
        <f>IFERROR(VLOOKUP(C197,'Catálogo Productos'!$B$3:$E$200,2,0),"")</f>
        <v/>
      </c>
      <c r="E197" s="2" t="str">
        <f>IFERROR(VLOOKUP(C197,'Catálogo Productos'!$B$3:$E$200,3,0),"")</f>
        <v/>
      </c>
      <c r="F197" s="2" t="str">
        <f>IFERROR(VLOOKUP(C197,'Catálogo Productos'!$B$3:$E$200,4,0),"")</f>
        <v/>
      </c>
      <c r="G197" s="2" t="str">
        <f>IF(F197="","",IF(I197="SÍ",F197*'Configuración'!$C$5,0))</f>
        <v/>
      </c>
      <c r="H197" s="2"/>
      <c r="I197" s="2"/>
      <c r="J197" s="2" t="str">
        <f>IF(F197="","",IF(H197="SÍ",'Configuración'!$C$6,0))</f>
        <v/>
      </c>
      <c r="K197" s="2" t="str">
        <f t="shared" si="12"/>
        <v/>
      </c>
      <c r="L197" s="2" t="str">
        <f t="shared" si="17"/>
        <v/>
      </c>
      <c r="M197" s="2" t="str">
        <f t="shared" si="18"/>
        <v/>
      </c>
      <c r="N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2">
        <v>93.0</v>
      </c>
      <c r="B198" s="2"/>
      <c r="C198" s="2"/>
      <c r="D198" s="2" t="str">
        <f>IFERROR(VLOOKUP(C198,'Catálogo Productos'!$B$3:$E$200,2,0),"")</f>
        <v/>
      </c>
      <c r="E198" s="2" t="str">
        <f>IFERROR(VLOOKUP(C198,'Catálogo Productos'!$B$3:$E$200,3,0),"")</f>
        <v/>
      </c>
      <c r="F198" s="2" t="str">
        <f>IFERROR(VLOOKUP(C198,'Catálogo Productos'!$B$3:$E$200,4,0),"")</f>
        <v/>
      </c>
      <c r="G198" s="2" t="str">
        <f>IF(F198="","",IF(I198="SÍ",F198*'Configuración'!$C$5,0))</f>
        <v/>
      </c>
      <c r="H198" s="2"/>
      <c r="I198" s="2"/>
      <c r="J198" s="2" t="str">
        <f>IF(F198="","",IF(H198="SÍ",'Configuración'!$C$6,0))</f>
        <v/>
      </c>
      <c r="K198" s="2" t="str">
        <f t="shared" si="12"/>
        <v/>
      </c>
      <c r="L198" s="2" t="str">
        <f t="shared" si="17"/>
        <v/>
      </c>
      <c r="M198" s="2" t="str">
        <f t="shared" si="18"/>
        <v/>
      </c>
      <c r="N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2">
        <v>94.0</v>
      </c>
      <c r="B199" s="2"/>
      <c r="C199" s="2"/>
      <c r="D199" s="2" t="str">
        <f>IFERROR(VLOOKUP(C199,'Catálogo Productos'!$B$3:$E$200,2,0),"")</f>
        <v/>
      </c>
      <c r="E199" s="2" t="str">
        <f>IFERROR(VLOOKUP(C199,'Catálogo Productos'!$B$3:$E$200,3,0),"")</f>
        <v/>
      </c>
      <c r="F199" s="2" t="str">
        <f>IFERROR(VLOOKUP(C199,'Catálogo Productos'!$B$3:$E$200,4,0),"")</f>
        <v/>
      </c>
      <c r="G199" s="2" t="str">
        <f>IF(F199="","",IF(I199="SÍ",F199*'Configuración'!$C$5,0))</f>
        <v/>
      </c>
      <c r="H199" s="2"/>
      <c r="I199" s="2"/>
      <c r="J199" s="2" t="str">
        <f>IF(F199="","",IF(H199="SÍ",'Configuración'!$C$6,0))</f>
        <v/>
      </c>
      <c r="K199" s="2" t="str">
        <f t="shared" si="12"/>
        <v/>
      </c>
      <c r="L199" s="2" t="str">
        <f t="shared" si="17"/>
        <v/>
      </c>
      <c r="M199" s="2" t="str">
        <f t="shared" si="18"/>
        <v/>
      </c>
      <c r="N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2">
        <v>95.0</v>
      </c>
      <c r="B200" s="2"/>
      <c r="C200" s="2"/>
      <c r="D200" s="2" t="str">
        <f>IFERROR(VLOOKUP(C200,'Catálogo Productos'!$B$3:$E$200,2,0),"")</f>
        <v/>
      </c>
      <c r="E200" s="2" t="str">
        <f>IFERROR(VLOOKUP(C200,'Catálogo Productos'!$B$3:$E$200,3,0),"")</f>
        <v/>
      </c>
      <c r="F200" s="2" t="str">
        <f>IFERROR(VLOOKUP(C200,'Catálogo Productos'!$B$3:$E$200,4,0),"")</f>
        <v/>
      </c>
      <c r="G200" s="2" t="str">
        <f>IF(F200="","",IF(I200="SÍ",F200*'Configuración'!$C$5,0))</f>
        <v/>
      </c>
      <c r="H200" s="2"/>
      <c r="I200" s="2"/>
      <c r="J200" s="2" t="str">
        <f>IF(F200="","",IF(H200="SÍ",'Configuración'!$C$6,0))</f>
        <v/>
      </c>
      <c r="K200" s="2" t="str">
        <f t="shared" si="12"/>
        <v/>
      </c>
      <c r="L200" s="2" t="str">
        <f t="shared" si="17"/>
        <v/>
      </c>
      <c r="M200" s="2" t="str">
        <f t="shared" si="18"/>
        <v/>
      </c>
      <c r="N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2">
        <v>96.0</v>
      </c>
      <c r="B201" s="2"/>
      <c r="C201" s="2"/>
      <c r="D201" s="2" t="str">
        <f>IFERROR(VLOOKUP(C201,'Catálogo Productos'!$B$3:$E$200,2,0),"")</f>
        <v/>
      </c>
      <c r="E201" s="2" t="str">
        <f>IFERROR(VLOOKUP(C201,'Catálogo Productos'!$B$3:$E$200,3,0),"")</f>
        <v/>
      </c>
      <c r="F201" s="2" t="str">
        <f>IFERROR(VLOOKUP(C201,'Catálogo Productos'!$B$3:$E$200,4,0),"")</f>
        <v/>
      </c>
      <c r="G201" s="2" t="str">
        <f>IF(F201="","",IF(I201="SÍ",F201*'Configuración'!$C$5,0))</f>
        <v/>
      </c>
      <c r="H201" s="2"/>
      <c r="I201" s="2"/>
      <c r="J201" s="2" t="str">
        <f>IF(F201="","",IF(H201="SÍ",'Configuración'!$C$6,0))</f>
        <v/>
      </c>
      <c r="K201" s="2" t="str">
        <f t="shared" si="12"/>
        <v/>
      </c>
      <c r="L201" s="2" t="str">
        <f t="shared" si="17"/>
        <v/>
      </c>
      <c r="M201" s="2" t="str">
        <f t="shared" si="18"/>
        <v/>
      </c>
      <c r="N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2">
        <v>97.0</v>
      </c>
      <c r="B202" s="2"/>
      <c r="C202" s="2"/>
      <c r="D202" s="2" t="str">
        <f>IFERROR(VLOOKUP(C202,'Catálogo Productos'!$B$3:$E$200,2,0),"")</f>
        <v/>
      </c>
      <c r="E202" s="2" t="str">
        <f>IFERROR(VLOOKUP(C202,'Catálogo Productos'!$B$3:$E$200,3,0),"")</f>
        <v/>
      </c>
      <c r="F202" s="2" t="str">
        <f>IFERROR(VLOOKUP(C202,'Catálogo Productos'!$B$3:$E$200,4,0),"")</f>
        <v/>
      </c>
      <c r="G202" s="2" t="str">
        <f>IF(F202="","",IF(I202="SÍ",F202*'Configuración'!$C$5,0))</f>
        <v/>
      </c>
      <c r="H202" s="2"/>
      <c r="I202" s="2"/>
      <c r="J202" s="2" t="str">
        <f>IF(F202="","",IF(H202="SÍ",'Configuración'!$C$6,0))</f>
        <v/>
      </c>
      <c r="K202" s="2" t="str">
        <f t="shared" si="12"/>
        <v/>
      </c>
      <c r="L202" s="2" t="str">
        <f t="shared" si="17"/>
        <v/>
      </c>
      <c r="M202" s="2" t="str">
        <f t="shared" si="18"/>
        <v/>
      </c>
      <c r="N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2">
        <v>98.0</v>
      </c>
      <c r="B203" s="2"/>
      <c r="C203" s="2"/>
      <c r="D203" s="2" t="str">
        <f>IFERROR(VLOOKUP(C203,'Catálogo Productos'!$B$3:$E$200,2,0),"")</f>
        <v/>
      </c>
      <c r="E203" s="2" t="str">
        <f>IFERROR(VLOOKUP(C203,'Catálogo Productos'!$B$3:$E$200,3,0),"")</f>
        <v/>
      </c>
      <c r="F203" s="2" t="str">
        <f>IFERROR(VLOOKUP(C203,'Catálogo Productos'!$B$3:$E$200,4,0),"")</f>
        <v/>
      </c>
      <c r="G203" s="2" t="str">
        <f>IF(F203="","",IF(I203="SÍ",F203*'Configuración'!$C$5,0))</f>
        <v/>
      </c>
      <c r="H203" s="2"/>
      <c r="I203" s="2"/>
      <c r="J203" s="2" t="str">
        <f>IF(F203="","",IF(H203="SÍ",'Configuración'!$C$6,0))</f>
        <v/>
      </c>
      <c r="K203" s="2" t="str">
        <f t="shared" si="12"/>
        <v/>
      </c>
      <c r="L203" s="2" t="str">
        <f t="shared" si="17"/>
        <v/>
      </c>
      <c r="M203" s="2" t="str">
        <f t="shared" si="18"/>
        <v/>
      </c>
      <c r="N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2">
        <v>99.0</v>
      </c>
      <c r="B204" s="2"/>
      <c r="C204" s="2"/>
      <c r="D204" s="2" t="str">
        <f>IFERROR(VLOOKUP(C204,'Catálogo Productos'!$B$3:$E$200,2,0),"")</f>
        <v/>
      </c>
      <c r="E204" s="2" t="str">
        <f>IFERROR(VLOOKUP(C204,'Catálogo Productos'!$B$3:$E$200,3,0),"")</f>
        <v/>
      </c>
      <c r="F204" s="2" t="str">
        <f>IFERROR(VLOOKUP(C204,'Catálogo Productos'!$B$3:$E$200,4,0),"")</f>
        <v/>
      </c>
      <c r="G204" s="2" t="str">
        <f>IF(F204="","",IF(I204="SÍ",F204*'Configuración'!$C$5,0))</f>
        <v/>
      </c>
      <c r="H204" s="2"/>
      <c r="I204" s="2"/>
      <c r="J204" s="2" t="str">
        <f>IF(F204="","",IF(H204="SÍ",'Configuración'!$C$6,0))</f>
        <v/>
      </c>
      <c r="K204" s="2" t="str">
        <f t="shared" si="12"/>
        <v/>
      </c>
      <c r="L204" s="2" t="str">
        <f t="shared" si="17"/>
        <v/>
      </c>
      <c r="M204" s="2" t="str">
        <f t="shared" si="18"/>
        <v/>
      </c>
      <c r="N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2">
        <v>100.0</v>
      </c>
      <c r="B205" s="2"/>
      <c r="C205" s="2"/>
      <c r="D205" s="2" t="str">
        <f>IFERROR(VLOOKUP(C205,'Catálogo Productos'!$B$3:$E$200,2,0),"")</f>
        <v/>
      </c>
      <c r="E205" s="2" t="str">
        <f>IFERROR(VLOOKUP(C205,'Catálogo Productos'!$B$3:$E$200,3,0),"")</f>
        <v/>
      </c>
      <c r="F205" s="2" t="str">
        <f>IFERROR(VLOOKUP(C205,'Catálogo Productos'!$B$3:$E$200,4,0),"")</f>
        <v/>
      </c>
      <c r="G205" s="2" t="str">
        <f>IF(F205="","",IF(I205="SÍ",F205*'Configuración'!$C$5,0))</f>
        <v/>
      </c>
      <c r="H205" s="2"/>
      <c r="I205" s="2"/>
      <c r="J205" s="2" t="str">
        <f>IF(F205="","",IF(H205="SÍ",'Configuración'!$C$6,0))</f>
        <v/>
      </c>
      <c r="K205" s="2" t="str">
        <f t="shared" si="12"/>
        <v/>
      </c>
      <c r="L205" s="2" t="str">
        <f t="shared" si="17"/>
        <v/>
      </c>
      <c r="M205" s="2" t="str">
        <f t="shared" si="18"/>
        <v/>
      </c>
      <c r="N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2">
        <v>101.0</v>
      </c>
      <c r="B206" s="2"/>
      <c r="C206" s="2"/>
      <c r="D206" s="2" t="str">
        <f>IFERROR(VLOOKUP(C206,'Catálogo Productos'!$B$3:$E$200,2,0),"")</f>
        <v/>
      </c>
      <c r="E206" s="2" t="str">
        <f>IFERROR(VLOOKUP(C206,'Catálogo Productos'!$B$3:$E$200,3,0),"")</f>
        <v/>
      </c>
      <c r="F206" s="2" t="str">
        <f>IFERROR(VLOOKUP(C206,'Catálogo Productos'!$B$3:$E$200,4,0),"")</f>
        <v/>
      </c>
      <c r="G206" s="2" t="str">
        <f>IF(F206="","",IF(I206="SÍ",F206*'Configuración'!$C$5,0))</f>
        <v/>
      </c>
      <c r="H206" s="2"/>
      <c r="I206" s="2"/>
      <c r="J206" s="2" t="str">
        <f>IF(F206="","",IF(H206="SÍ",'Configuración'!$C$6,0))</f>
        <v/>
      </c>
      <c r="K206" s="2" t="str">
        <f t="shared" si="12"/>
        <v/>
      </c>
      <c r="L206" s="2" t="str">
        <f t="shared" si="17"/>
        <v/>
      </c>
      <c r="M206" s="2" t="str">
        <f t="shared" si="18"/>
        <v/>
      </c>
      <c r="N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2">
        <v>102.0</v>
      </c>
      <c r="B207" s="2"/>
      <c r="C207" s="2"/>
      <c r="D207" s="2" t="str">
        <f>IFERROR(VLOOKUP(C207,'Catálogo Productos'!$B$3:$E$200,2,0),"")</f>
        <v/>
      </c>
      <c r="E207" s="2" t="str">
        <f>IFERROR(VLOOKUP(C207,'Catálogo Productos'!$B$3:$E$200,3,0),"")</f>
        <v/>
      </c>
      <c r="F207" s="2" t="str">
        <f>IFERROR(VLOOKUP(C207,'Catálogo Productos'!$B$3:$E$200,4,0),"")</f>
        <v/>
      </c>
      <c r="G207" s="2" t="str">
        <f>IF(F207="","",IF(I207="SÍ",F207*'Configuración'!$C$5,0))</f>
        <v/>
      </c>
      <c r="H207" s="2"/>
      <c r="I207" s="2"/>
      <c r="J207" s="2" t="str">
        <f>IF(F207="","",IF(H207="SÍ",'Configuración'!$C$6,0))</f>
        <v/>
      </c>
      <c r="K207" s="2" t="str">
        <f t="shared" si="12"/>
        <v/>
      </c>
      <c r="L207" s="2" t="str">
        <f t="shared" si="17"/>
        <v/>
      </c>
      <c r="M207" s="2" t="str">
        <f t="shared" si="18"/>
        <v/>
      </c>
      <c r="N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2">
        <v>103.0</v>
      </c>
      <c r="B208" s="2"/>
      <c r="C208" s="2"/>
      <c r="D208" s="2" t="str">
        <f>IFERROR(VLOOKUP(C208,'Catálogo Productos'!$B$3:$E$200,2,0),"")</f>
        <v/>
      </c>
      <c r="E208" s="2" t="str">
        <f>IFERROR(VLOOKUP(C208,'Catálogo Productos'!$B$3:$E$200,3,0),"")</f>
        <v/>
      </c>
      <c r="F208" s="2" t="str">
        <f>IFERROR(VLOOKUP(C208,'Catálogo Productos'!$B$3:$E$200,4,0),"")</f>
        <v/>
      </c>
      <c r="G208" s="2" t="str">
        <f>IF(F208="","",IF(I208="SÍ",F208*'Configuración'!$C$5,0))</f>
        <v/>
      </c>
      <c r="H208" s="2"/>
      <c r="I208" s="2"/>
      <c r="J208" s="2" t="str">
        <f>IF(F208="","",IF(H208="SÍ",'Configuración'!$C$6,0))</f>
        <v/>
      </c>
      <c r="K208" s="2" t="str">
        <f t="shared" si="12"/>
        <v/>
      </c>
      <c r="L208" s="2" t="str">
        <f t="shared" si="17"/>
        <v/>
      </c>
      <c r="M208" s="2" t="str">
        <f t="shared" si="18"/>
        <v/>
      </c>
      <c r="N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2">
        <v>104.0</v>
      </c>
      <c r="B209" s="2"/>
      <c r="C209" s="2"/>
      <c r="D209" s="2" t="str">
        <f>IFERROR(VLOOKUP(C209,'Catálogo Productos'!$B$3:$E$200,2,0),"")</f>
        <v/>
      </c>
      <c r="E209" s="2" t="str">
        <f>IFERROR(VLOOKUP(C209,'Catálogo Productos'!$B$3:$E$200,3,0),"")</f>
        <v/>
      </c>
      <c r="F209" s="2" t="str">
        <f>IFERROR(VLOOKUP(C209,'Catálogo Productos'!$B$3:$E$200,4,0),"")</f>
        <v/>
      </c>
      <c r="G209" s="2" t="str">
        <f>IF(F209="","",IF(I209="SÍ",F209*'Configuración'!$C$5,0))</f>
        <v/>
      </c>
      <c r="H209" s="2"/>
      <c r="I209" s="2"/>
      <c r="J209" s="2" t="str">
        <f>IF(F209="","",IF(H209="SÍ",'Configuración'!$C$6,0))</f>
        <v/>
      </c>
      <c r="K209" s="2" t="str">
        <f t="shared" si="12"/>
        <v/>
      </c>
      <c r="L209" s="2" t="str">
        <f t="shared" si="17"/>
        <v/>
      </c>
      <c r="M209" s="2" t="str">
        <f t="shared" si="18"/>
        <v/>
      </c>
      <c r="N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2">
        <v>105.0</v>
      </c>
      <c r="B210" s="2"/>
      <c r="C210" s="2"/>
      <c r="D210" s="2" t="str">
        <f>IFERROR(VLOOKUP(C210,'Catálogo Productos'!$B$3:$E$200,2,0),"")</f>
        <v/>
      </c>
      <c r="E210" s="2" t="str">
        <f>IFERROR(VLOOKUP(C210,'Catálogo Productos'!$B$3:$E$200,3,0),"")</f>
        <v/>
      </c>
      <c r="F210" s="2" t="str">
        <f>IFERROR(VLOOKUP(C210,'Catálogo Productos'!$B$3:$E$200,4,0),"")</f>
        <v/>
      </c>
      <c r="G210" s="2" t="str">
        <f>IF(F210="","",IF(I210="SÍ",F210*'Configuración'!$C$5,0))</f>
        <v/>
      </c>
      <c r="H210" s="2"/>
      <c r="I210" s="2"/>
      <c r="J210" s="2" t="str">
        <f>IF(F210="","",IF(H210="SÍ",'Configuración'!$C$6,0))</f>
        <v/>
      </c>
      <c r="K210" s="2" t="str">
        <f t="shared" si="12"/>
        <v/>
      </c>
      <c r="L210" s="2" t="str">
        <f t="shared" si="17"/>
        <v/>
      </c>
      <c r="M210" s="2" t="str">
        <f t="shared" si="18"/>
        <v/>
      </c>
      <c r="N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2">
        <v>106.0</v>
      </c>
      <c r="B211" s="2"/>
      <c r="C211" s="2"/>
      <c r="D211" s="2" t="str">
        <f>IFERROR(VLOOKUP(C211,'Catálogo Productos'!$B$3:$E$200,2,0),"")</f>
        <v/>
      </c>
      <c r="E211" s="2" t="str">
        <f>IFERROR(VLOOKUP(C211,'Catálogo Productos'!$B$3:$E$200,3,0),"")</f>
        <v/>
      </c>
      <c r="F211" s="2" t="str">
        <f>IFERROR(VLOOKUP(C211,'Catálogo Productos'!$B$3:$E$200,4,0),"")</f>
        <v/>
      </c>
      <c r="G211" s="2" t="str">
        <f>IF(F211="","",IF(I211="SÍ",F211*'Configuración'!$C$5,0))</f>
        <v/>
      </c>
      <c r="H211" s="2"/>
      <c r="I211" s="2"/>
      <c r="J211" s="2" t="str">
        <f>IF(F211="","",IF(H211="SÍ",'Configuración'!$C$6,0))</f>
        <v/>
      </c>
      <c r="K211" s="2" t="str">
        <f t="shared" si="12"/>
        <v/>
      </c>
      <c r="L211" s="2" t="str">
        <f t="shared" si="17"/>
        <v/>
      </c>
      <c r="M211" s="2" t="str">
        <f t="shared" si="18"/>
        <v/>
      </c>
      <c r="N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2">
        <v>107.0</v>
      </c>
      <c r="B212" s="2"/>
      <c r="C212" s="2"/>
      <c r="D212" s="2" t="str">
        <f>IFERROR(VLOOKUP(C212,'Catálogo Productos'!$B$3:$E$200,2,0),"")</f>
        <v/>
      </c>
      <c r="E212" s="2" t="str">
        <f>IFERROR(VLOOKUP(C212,'Catálogo Productos'!$B$3:$E$200,3,0),"")</f>
        <v/>
      </c>
      <c r="F212" s="2" t="str">
        <f>IFERROR(VLOOKUP(C212,'Catálogo Productos'!$B$3:$E$200,4,0),"")</f>
        <v/>
      </c>
      <c r="G212" s="2" t="str">
        <f>IF(F212="","",IF(I212="SÍ",F212*'Configuración'!$C$5,0))</f>
        <v/>
      </c>
      <c r="H212" s="2"/>
      <c r="I212" s="2"/>
      <c r="J212" s="2" t="str">
        <f>IF(F212="","",IF(H212="SÍ",'Configuración'!$C$6,0))</f>
        <v/>
      </c>
      <c r="K212" s="2" t="str">
        <f t="shared" si="12"/>
        <v/>
      </c>
      <c r="L212" s="2" t="str">
        <f t="shared" si="17"/>
        <v/>
      </c>
      <c r="M212" s="2" t="str">
        <f t="shared" si="18"/>
        <v/>
      </c>
      <c r="N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2">
        <v>108.0</v>
      </c>
      <c r="B213" s="2"/>
      <c r="C213" s="2"/>
      <c r="D213" s="2" t="str">
        <f>IFERROR(VLOOKUP(C213,'Catálogo Productos'!$B$3:$E$200,2,0),"")</f>
        <v/>
      </c>
      <c r="E213" s="2" t="str">
        <f>IFERROR(VLOOKUP(C213,'Catálogo Productos'!$B$3:$E$200,3,0),"")</f>
        <v/>
      </c>
      <c r="F213" s="2" t="str">
        <f>IFERROR(VLOOKUP(C213,'Catálogo Productos'!$B$3:$E$200,4,0),"")</f>
        <v/>
      </c>
      <c r="G213" s="2" t="str">
        <f>IF(F213="","",IF(I213="SÍ",F213*'Configuración'!$C$5,0))</f>
        <v/>
      </c>
      <c r="H213" s="2"/>
      <c r="I213" s="2"/>
      <c r="J213" s="2" t="str">
        <f>IF(F213="","",IF(H213="SÍ",'Configuración'!$C$6,0))</f>
        <v/>
      </c>
      <c r="K213" s="2" t="str">
        <f t="shared" si="12"/>
        <v/>
      </c>
      <c r="L213" s="2" t="str">
        <f t="shared" si="17"/>
        <v/>
      </c>
      <c r="M213" s="2" t="str">
        <f t="shared" si="18"/>
        <v/>
      </c>
      <c r="N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2">
        <v>109.0</v>
      </c>
      <c r="B214" s="2"/>
      <c r="C214" s="2"/>
      <c r="D214" s="2" t="str">
        <f>IFERROR(VLOOKUP(C214,'Catálogo Productos'!$B$3:$E$200,2,0),"")</f>
        <v/>
      </c>
      <c r="E214" s="2" t="str">
        <f>IFERROR(VLOOKUP(C214,'Catálogo Productos'!$B$3:$E$200,3,0),"")</f>
        <v/>
      </c>
      <c r="F214" s="2" t="str">
        <f>IFERROR(VLOOKUP(C214,'Catálogo Productos'!$B$3:$E$200,4,0),"")</f>
        <v/>
      </c>
      <c r="G214" s="2" t="str">
        <f>IF(F214="","",IF(I214="SÍ",F214*'Configuración'!$C$5,0))</f>
        <v/>
      </c>
      <c r="H214" s="2"/>
      <c r="I214" s="2"/>
      <c r="J214" s="2" t="str">
        <f>IF(F214="","",IF(H214="SÍ",'Configuración'!$C$6,0))</f>
        <v/>
      </c>
      <c r="K214" s="2" t="str">
        <f t="shared" si="12"/>
        <v/>
      </c>
      <c r="L214" s="2" t="str">
        <f t="shared" si="17"/>
        <v/>
      </c>
      <c r="M214" s="2" t="str">
        <f t="shared" si="18"/>
        <v/>
      </c>
      <c r="N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2">
        <v>110.0</v>
      </c>
      <c r="B215" s="2"/>
      <c r="C215" s="2"/>
      <c r="D215" s="2" t="str">
        <f>IFERROR(VLOOKUP(C215,'Catálogo Productos'!$B$3:$E$200,2,0),"")</f>
        <v/>
      </c>
      <c r="E215" s="2" t="str">
        <f>IFERROR(VLOOKUP(C215,'Catálogo Productos'!$B$3:$E$200,3,0),"")</f>
        <v/>
      </c>
      <c r="F215" s="2" t="str">
        <f>IFERROR(VLOOKUP(C215,'Catálogo Productos'!$B$3:$E$200,4,0),"")</f>
        <v/>
      </c>
      <c r="G215" s="2" t="str">
        <f>IF(F215="","",IF(I215="SÍ",F215*'Configuración'!$C$5,0))</f>
        <v/>
      </c>
      <c r="H215" s="2"/>
      <c r="I215" s="2"/>
      <c r="J215" s="2" t="str">
        <f>IF(F215="","",IF(H215="SÍ",'Configuración'!$C$6,0))</f>
        <v/>
      </c>
      <c r="K215" s="2" t="str">
        <f t="shared" si="12"/>
        <v/>
      </c>
      <c r="L215" s="2" t="str">
        <f t="shared" si="17"/>
        <v/>
      </c>
      <c r="M215" s="2" t="str">
        <f t="shared" si="18"/>
        <v/>
      </c>
      <c r="N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2">
        <v>111.0</v>
      </c>
      <c r="B216" s="2"/>
      <c r="C216" s="2"/>
      <c r="D216" s="2" t="str">
        <f>IFERROR(VLOOKUP(C216,'Catálogo Productos'!$B$3:$E$200,2,0),"")</f>
        <v/>
      </c>
      <c r="E216" s="2" t="str">
        <f>IFERROR(VLOOKUP(C216,'Catálogo Productos'!$B$3:$E$200,3,0),"")</f>
        <v/>
      </c>
      <c r="F216" s="2" t="str">
        <f>IFERROR(VLOOKUP(C216,'Catálogo Productos'!$B$3:$E$200,4,0),"")</f>
        <v/>
      </c>
      <c r="G216" s="2" t="str">
        <f>IF(F216="","",IF(I216="SÍ",F216*'Configuración'!$C$5,0))</f>
        <v/>
      </c>
      <c r="H216" s="2"/>
      <c r="I216" s="2"/>
      <c r="J216" s="2" t="str">
        <f>IF(F216="","",IF(H216="SÍ",'Configuración'!$C$6,0))</f>
        <v/>
      </c>
      <c r="K216" s="2" t="str">
        <f t="shared" si="12"/>
        <v/>
      </c>
      <c r="L216" s="2" t="str">
        <f t="shared" si="17"/>
        <v/>
      </c>
      <c r="M216" s="2" t="str">
        <f t="shared" si="18"/>
        <v/>
      </c>
      <c r="N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2">
        <v>112.0</v>
      </c>
      <c r="B217" s="2"/>
      <c r="C217" s="2"/>
      <c r="D217" s="2" t="str">
        <f>IFERROR(VLOOKUP(C217,'Catálogo Productos'!$B$3:$E$200,2,0),"")</f>
        <v/>
      </c>
      <c r="E217" s="2" t="str">
        <f>IFERROR(VLOOKUP(C217,'Catálogo Productos'!$B$3:$E$200,3,0),"")</f>
        <v/>
      </c>
      <c r="F217" s="2" t="str">
        <f>IFERROR(VLOOKUP(C217,'Catálogo Productos'!$B$3:$E$200,4,0),"")</f>
        <v/>
      </c>
      <c r="G217" s="2" t="str">
        <f>IF(F217="","",IF(I217="SÍ",F217*'Configuración'!$C$5,0))</f>
        <v/>
      </c>
      <c r="H217" s="2"/>
      <c r="I217" s="2"/>
      <c r="J217" s="2" t="str">
        <f>IF(F217="","",IF(H217="SÍ",'Configuración'!$C$6,0))</f>
        <v/>
      </c>
      <c r="K217" s="2" t="str">
        <f t="shared" si="12"/>
        <v/>
      </c>
      <c r="L217" s="2" t="str">
        <f t="shared" si="17"/>
        <v/>
      </c>
      <c r="M217" s="2" t="str">
        <f t="shared" si="18"/>
        <v/>
      </c>
      <c r="N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2">
        <v>113.0</v>
      </c>
      <c r="B218" s="2"/>
      <c r="C218" s="2"/>
      <c r="D218" s="2" t="str">
        <f>IFERROR(VLOOKUP(C218,'Catálogo Productos'!$B$3:$E$200,2,0),"")</f>
        <v/>
      </c>
      <c r="E218" s="2" t="str">
        <f>IFERROR(VLOOKUP(C218,'Catálogo Productos'!$B$3:$E$200,3,0),"")</f>
        <v/>
      </c>
      <c r="F218" s="2" t="str">
        <f>IFERROR(VLOOKUP(C218,'Catálogo Productos'!$B$3:$E$200,4,0),"")</f>
        <v/>
      </c>
      <c r="G218" s="2" t="str">
        <f>IF(F218="","",IF(I218="SÍ",F218*'Configuración'!$C$5,0))</f>
        <v/>
      </c>
      <c r="H218" s="2"/>
      <c r="I218" s="2"/>
      <c r="J218" s="2" t="str">
        <f>IF(F218="","",IF(H218="SÍ",'Configuración'!$C$6,0))</f>
        <v/>
      </c>
      <c r="K218" s="2" t="str">
        <f t="shared" si="12"/>
        <v/>
      </c>
      <c r="L218" s="2" t="str">
        <f t="shared" si="17"/>
        <v/>
      </c>
      <c r="M218" s="2" t="str">
        <f t="shared" si="18"/>
        <v/>
      </c>
      <c r="N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2">
        <v>114.0</v>
      </c>
      <c r="B219" s="2"/>
      <c r="C219" s="2"/>
      <c r="D219" s="2" t="str">
        <f>IFERROR(VLOOKUP(C219,'Catálogo Productos'!$B$3:$E$200,2,0),"")</f>
        <v/>
      </c>
      <c r="E219" s="2" t="str">
        <f>IFERROR(VLOOKUP(C219,'Catálogo Productos'!$B$3:$E$200,3,0),"")</f>
        <v/>
      </c>
      <c r="F219" s="2" t="str">
        <f>IFERROR(VLOOKUP(C219,'Catálogo Productos'!$B$3:$E$200,4,0),"")</f>
        <v/>
      </c>
      <c r="G219" s="2" t="str">
        <f>IF(F219="","",IF(I219="SÍ",F219*'Configuración'!$C$5,0))</f>
        <v/>
      </c>
      <c r="H219" s="2"/>
      <c r="I219" s="2"/>
      <c r="J219" s="2" t="str">
        <f>IF(F219="","",IF(H219="SÍ",'Configuración'!$C$6,0))</f>
        <v/>
      </c>
      <c r="K219" s="2" t="str">
        <f t="shared" si="12"/>
        <v/>
      </c>
      <c r="L219" s="2" t="str">
        <f t="shared" si="17"/>
        <v/>
      </c>
      <c r="M219" s="2" t="str">
        <f t="shared" si="18"/>
        <v/>
      </c>
      <c r="N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>
      <c r="A220" s="2">
        <v>115.0</v>
      </c>
      <c r="B220" s="2"/>
      <c r="C220" s="2"/>
      <c r="D220" s="2" t="str">
        <f>IFERROR(VLOOKUP(C220,'Catálogo Productos'!$B$3:$E$200,2,0),"")</f>
        <v/>
      </c>
      <c r="E220" s="2" t="str">
        <f>IFERROR(VLOOKUP(C220,'Catálogo Productos'!$B$3:$E$200,3,0),"")</f>
        <v/>
      </c>
      <c r="F220" s="2" t="str">
        <f>IFERROR(VLOOKUP(C220,'Catálogo Productos'!$B$3:$E$200,4,0),"")</f>
        <v/>
      </c>
      <c r="G220" s="2" t="str">
        <f>IF(F220="","",IF(I220="SÍ",F220*'Configuración'!$C$5,0))</f>
        <v/>
      </c>
      <c r="H220" s="2"/>
      <c r="I220" s="2"/>
      <c r="J220" s="2" t="str">
        <f>IF(F220="","",IF(H220="SÍ",'Configuración'!$C$6,0))</f>
        <v/>
      </c>
      <c r="K220" s="2" t="str">
        <f t="shared" si="12"/>
        <v/>
      </c>
      <c r="L220" s="2" t="str">
        <f t="shared" si="17"/>
        <v/>
      </c>
      <c r="M220" s="2" t="str">
        <f t="shared" si="18"/>
        <v/>
      </c>
      <c r="N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>
      <c r="A221" s="2">
        <v>116.0</v>
      </c>
      <c r="B221" s="2"/>
      <c r="C221" s="2"/>
      <c r="D221" s="2" t="str">
        <f>IFERROR(VLOOKUP(C221,'Catálogo Productos'!$B$3:$E$200,2,0),"")</f>
        <v/>
      </c>
      <c r="E221" s="2" t="str">
        <f>IFERROR(VLOOKUP(C221,'Catálogo Productos'!$B$3:$E$200,3,0),"")</f>
        <v/>
      </c>
      <c r="F221" s="2" t="str">
        <f>IFERROR(VLOOKUP(C221,'Catálogo Productos'!$B$3:$E$200,4,0),"")</f>
        <v/>
      </c>
      <c r="G221" s="2" t="str">
        <f>IF(F221="","",IF(I221="SÍ",F221*'Configuración'!$C$5,0))</f>
        <v/>
      </c>
      <c r="H221" s="2"/>
      <c r="I221" s="2"/>
      <c r="J221" s="2" t="str">
        <f>IF(F221="","",IF(H221="SÍ",'Configuración'!$C$6,0))</f>
        <v/>
      </c>
      <c r="K221" s="2" t="str">
        <f t="shared" si="12"/>
        <v/>
      </c>
      <c r="L221" s="2" t="str">
        <f t="shared" si="17"/>
        <v/>
      </c>
      <c r="M221" s="2" t="str">
        <f t="shared" si="18"/>
        <v/>
      </c>
      <c r="N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5.75" customHeight="1">
      <c r="A222" s="2">
        <v>117.0</v>
      </c>
      <c r="B222" s="2"/>
      <c r="C222" s="2"/>
      <c r="D222" s="2" t="str">
        <f>IFERROR(VLOOKUP(C222,'Catálogo Productos'!$B$3:$E$200,2,0),"")</f>
        <v/>
      </c>
      <c r="E222" s="2" t="str">
        <f>IFERROR(VLOOKUP(C222,'Catálogo Productos'!$B$3:$E$200,3,0),"")</f>
        <v/>
      </c>
      <c r="F222" s="2" t="str">
        <f>IFERROR(VLOOKUP(C222,'Catálogo Productos'!$B$3:$E$200,4,0),"")</f>
        <v/>
      </c>
      <c r="G222" s="2" t="str">
        <f>IF(F222="","",IF(I222="SÍ",F222*'Configuración'!$C$5,0))</f>
        <v/>
      </c>
      <c r="H222" s="2"/>
      <c r="I222" s="2"/>
      <c r="J222" s="2" t="str">
        <f>IF(F222="","",IF(H222="SÍ",'Configuración'!$C$6,0))</f>
        <v/>
      </c>
      <c r="K222" s="2" t="str">
        <f t="shared" si="12"/>
        <v/>
      </c>
      <c r="L222" s="2" t="str">
        <f t="shared" si="17"/>
        <v/>
      </c>
      <c r="M222" s="2" t="str">
        <f t="shared" si="18"/>
        <v/>
      </c>
      <c r="N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5.75" customHeight="1">
      <c r="A223" s="2">
        <v>118.0</v>
      </c>
      <c r="B223" s="2"/>
      <c r="C223" s="2"/>
      <c r="D223" s="2" t="str">
        <f>IFERROR(VLOOKUP(C223,'Catálogo Productos'!$B$3:$E$200,2,0),"")</f>
        <v/>
      </c>
      <c r="E223" s="2" t="str">
        <f>IFERROR(VLOOKUP(C223,'Catálogo Productos'!$B$3:$E$200,3,0),"")</f>
        <v/>
      </c>
      <c r="F223" s="2" t="str">
        <f>IFERROR(VLOOKUP(C223,'Catálogo Productos'!$B$3:$E$200,4,0),"")</f>
        <v/>
      </c>
      <c r="G223" s="2" t="str">
        <f>IF(F223="","",IF(I223="SÍ",F223*'Configuración'!$C$5,0))</f>
        <v/>
      </c>
      <c r="H223" s="2"/>
      <c r="I223" s="2"/>
      <c r="J223" s="2" t="str">
        <f>IF(F223="","",IF(H223="SÍ",'Configuración'!$C$6,0))</f>
        <v/>
      </c>
      <c r="K223" s="2" t="str">
        <f t="shared" si="12"/>
        <v/>
      </c>
      <c r="L223" s="2" t="str">
        <f t="shared" si="17"/>
        <v/>
      </c>
      <c r="M223" s="2" t="str">
        <f t="shared" si="18"/>
        <v/>
      </c>
      <c r="N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5.75" customHeight="1">
      <c r="A224" s="2">
        <v>119.0</v>
      </c>
      <c r="B224" s="2"/>
      <c r="C224" s="2"/>
      <c r="D224" s="2" t="str">
        <f>IFERROR(VLOOKUP(C224,'Catálogo Productos'!$B$3:$E$200,2,0),"")</f>
        <v/>
      </c>
      <c r="E224" s="2" t="str">
        <f>IFERROR(VLOOKUP(C224,'Catálogo Productos'!$B$3:$E$200,3,0),"")</f>
        <v/>
      </c>
      <c r="F224" s="2" t="str">
        <f>IFERROR(VLOOKUP(C224,'Catálogo Productos'!$B$3:$E$200,4,0),"")</f>
        <v/>
      </c>
      <c r="G224" s="2" t="str">
        <f>IF(F224="","",IF(I224="SÍ",F224*'Configuración'!$C$5,0))</f>
        <v/>
      </c>
      <c r="H224" s="2"/>
      <c r="I224" s="2"/>
      <c r="J224" s="2" t="str">
        <f>IF(F224="","",IF(H224="SÍ",'Configuración'!$C$6,0))</f>
        <v/>
      </c>
      <c r="K224" s="2" t="str">
        <f t="shared" si="12"/>
        <v/>
      </c>
      <c r="L224" s="2" t="str">
        <f t="shared" si="17"/>
        <v/>
      </c>
      <c r="M224" s="2" t="str">
        <f t="shared" si="18"/>
        <v/>
      </c>
      <c r="N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5.75" customHeight="1">
      <c r="A225" s="2">
        <v>120.0</v>
      </c>
      <c r="B225" s="2"/>
      <c r="C225" s="2"/>
      <c r="D225" s="2" t="str">
        <f>IFERROR(VLOOKUP(C225,'Catálogo Productos'!$B$3:$E$200,2,0),"")</f>
        <v/>
      </c>
      <c r="E225" s="2" t="str">
        <f>IFERROR(VLOOKUP(C225,'Catálogo Productos'!$B$3:$E$200,3,0),"")</f>
        <v/>
      </c>
      <c r="F225" s="2" t="str">
        <f>IFERROR(VLOOKUP(C225,'Catálogo Productos'!$B$3:$E$200,4,0),"")</f>
        <v/>
      </c>
      <c r="G225" s="2" t="str">
        <f>IF(F225="","",IF(I225="SÍ",F225*'Configuración'!$C$5,0))</f>
        <v/>
      </c>
      <c r="H225" s="2"/>
      <c r="I225" s="2"/>
      <c r="J225" s="2" t="str">
        <f>IF(F225="","",IF(H225="SÍ",'Configuración'!$C$6,0))</f>
        <v/>
      </c>
      <c r="K225" s="2" t="str">
        <f t="shared" si="12"/>
        <v/>
      </c>
      <c r="L225" s="2" t="str">
        <f t="shared" si="17"/>
        <v/>
      </c>
      <c r="M225" s="2" t="str">
        <f t="shared" si="18"/>
        <v/>
      </c>
      <c r="N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5.75" customHeight="1">
      <c r="A226" s="2">
        <v>121.0</v>
      </c>
      <c r="B226" s="2"/>
      <c r="C226" s="2"/>
      <c r="D226" s="2" t="str">
        <f>IFERROR(VLOOKUP(C226,'Catálogo Productos'!$B$3:$E$200,2,0),"")</f>
        <v/>
      </c>
      <c r="E226" s="2" t="str">
        <f>IFERROR(VLOOKUP(C226,'Catálogo Productos'!$B$3:$E$200,3,0),"")</f>
        <v/>
      </c>
      <c r="F226" s="2" t="str">
        <f>IFERROR(VLOOKUP(C226,'Catálogo Productos'!$B$3:$E$200,4,0),"")</f>
        <v/>
      </c>
      <c r="G226" s="2" t="str">
        <f>IF(F226="","",IF(I226="SÍ",F226*'Configuración'!$C$5,0))</f>
        <v/>
      </c>
      <c r="H226" s="2"/>
      <c r="I226" s="2"/>
      <c r="J226" s="2" t="str">
        <f>IF(F226="","",IF(H226="SÍ",'Configuración'!$C$6,0))</f>
        <v/>
      </c>
      <c r="K226" s="2" t="str">
        <f t="shared" si="12"/>
        <v/>
      </c>
      <c r="L226" s="2" t="str">
        <f t="shared" si="17"/>
        <v/>
      </c>
      <c r="M226" s="2" t="str">
        <f t="shared" si="18"/>
        <v/>
      </c>
      <c r="N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5.75" customHeight="1">
      <c r="A227" s="2">
        <v>122.0</v>
      </c>
      <c r="B227" s="2"/>
      <c r="C227" s="2"/>
      <c r="D227" s="2" t="str">
        <f>IFERROR(VLOOKUP(C227,'Catálogo Productos'!$B$3:$E$200,2,0),"")</f>
        <v/>
      </c>
      <c r="E227" s="2" t="str">
        <f>IFERROR(VLOOKUP(C227,'Catálogo Productos'!$B$3:$E$200,3,0),"")</f>
        <v/>
      </c>
      <c r="F227" s="2" t="str">
        <f>IFERROR(VLOOKUP(C227,'Catálogo Productos'!$B$3:$E$200,4,0),"")</f>
        <v/>
      </c>
      <c r="G227" s="2" t="str">
        <f>IF(F227="","",IF(I227="SÍ",F227*'Configuración'!$C$5,0))</f>
        <v/>
      </c>
      <c r="H227" s="2"/>
      <c r="I227" s="2"/>
      <c r="J227" s="2" t="str">
        <f>IF(F227="","",IF(H227="SÍ",'Configuración'!$C$6,0))</f>
        <v/>
      </c>
      <c r="K227" s="2" t="str">
        <f t="shared" si="12"/>
        <v/>
      </c>
      <c r="L227" s="2" t="str">
        <f t="shared" si="17"/>
        <v/>
      </c>
      <c r="M227" s="2" t="str">
        <f t="shared" si="18"/>
        <v/>
      </c>
      <c r="N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5.75" customHeight="1">
      <c r="A228" s="2">
        <v>123.0</v>
      </c>
      <c r="B228" s="2"/>
      <c r="C228" s="2"/>
      <c r="D228" s="2" t="str">
        <f>IFERROR(VLOOKUP(C228,'Catálogo Productos'!$B$3:$E$200,2,0),"")</f>
        <v/>
      </c>
      <c r="E228" s="2" t="str">
        <f>IFERROR(VLOOKUP(C228,'Catálogo Productos'!$B$3:$E$200,3,0),"")</f>
        <v/>
      </c>
      <c r="F228" s="2" t="str">
        <f>IFERROR(VLOOKUP(C228,'Catálogo Productos'!$B$3:$E$200,4,0),"")</f>
        <v/>
      </c>
      <c r="G228" s="2" t="str">
        <f>IF(F228="","",IF(I228="SÍ",F228*'Configuración'!$C$5,0))</f>
        <v/>
      </c>
      <c r="H228" s="2"/>
      <c r="I228" s="2"/>
      <c r="J228" s="2" t="str">
        <f>IF(F228="","",IF(H228="SÍ",'Configuración'!$C$6,0))</f>
        <v/>
      </c>
      <c r="K228" s="2" t="str">
        <f t="shared" si="12"/>
        <v/>
      </c>
      <c r="L228" s="2" t="str">
        <f t="shared" si="17"/>
        <v/>
      </c>
      <c r="M228" s="2" t="str">
        <f t="shared" si="18"/>
        <v/>
      </c>
      <c r="N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5.75" customHeight="1">
      <c r="A229" s="2">
        <v>124.0</v>
      </c>
      <c r="B229" s="2"/>
      <c r="C229" s="2"/>
      <c r="D229" s="2" t="str">
        <f>IFERROR(VLOOKUP(C229,'Catálogo Productos'!$B$3:$E$200,2,0),"")</f>
        <v/>
      </c>
      <c r="E229" s="2" t="str">
        <f>IFERROR(VLOOKUP(C229,'Catálogo Productos'!$B$3:$E$200,3,0),"")</f>
        <v/>
      </c>
      <c r="F229" s="2" t="str">
        <f>IFERROR(VLOOKUP(C229,'Catálogo Productos'!$B$3:$E$200,4,0),"")</f>
        <v/>
      </c>
      <c r="G229" s="2" t="str">
        <f>IF(F229="","",IF(I229="SÍ",F229*'Configuración'!$C$5,0))</f>
        <v/>
      </c>
      <c r="H229" s="2"/>
      <c r="I229" s="2"/>
      <c r="J229" s="2" t="str">
        <f>IF(F229="","",IF(H229="SÍ",'Configuración'!$C$6,0))</f>
        <v/>
      </c>
      <c r="K229" s="2" t="str">
        <f t="shared" si="12"/>
        <v/>
      </c>
      <c r="L229" s="2" t="str">
        <f t="shared" si="17"/>
        <v/>
      </c>
      <c r="M229" s="2" t="str">
        <f t="shared" si="18"/>
        <v/>
      </c>
      <c r="N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5.75" customHeight="1">
      <c r="A230" s="2">
        <v>125.0</v>
      </c>
      <c r="B230" s="2"/>
      <c r="C230" s="2"/>
      <c r="D230" s="2" t="str">
        <f>IFERROR(VLOOKUP(C230,'Catálogo Productos'!$B$3:$E$200,2,0),"")</f>
        <v/>
      </c>
      <c r="E230" s="2" t="str">
        <f>IFERROR(VLOOKUP(C230,'Catálogo Productos'!$B$3:$E$200,3,0),"")</f>
        <v/>
      </c>
      <c r="F230" s="2" t="str">
        <f>IFERROR(VLOOKUP(C230,'Catálogo Productos'!$B$3:$E$200,4,0),"")</f>
        <v/>
      </c>
      <c r="G230" s="2" t="str">
        <f>IF(F230="","",IF(I230="SÍ",F230*'Configuración'!$C$5,0))</f>
        <v/>
      </c>
      <c r="H230" s="2"/>
      <c r="I230" s="2"/>
      <c r="J230" s="2" t="str">
        <f>IF(F230="","",IF(H230="SÍ",'Configuración'!$C$6,0))</f>
        <v/>
      </c>
      <c r="K230" s="2" t="str">
        <f t="shared" si="12"/>
        <v/>
      </c>
      <c r="L230" s="2" t="str">
        <f t="shared" si="17"/>
        <v/>
      </c>
      <c r="M230" s="2" t="str">
        <f t="shared" si="18"/>
        <v/>
      </c>
      <c r="N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5.75" customHeight="1">
      <c r="A231" s="2">
        <v>126.0</v>
      </c>
      <c r="B231" s="2"/>
      <c r="C231" s="2"/>
      <c r="D231" s="2" t="str">
        <f>IFERROR(VLOOKUP(C231,'Catálogo Productos'!$B$3:$E$200,2,0),"")</f>
        <v/>
      </c>
      <c r="E231" s="2" t="str">
        <f>IFERROR(VLOOKUP(C231,'Catálogo Productos'!$B$3:$E$200,3,0),"")</f>
        <v/>
      </c>
      <c r="F231" s="2" t="str">
        <f>IFERROR(VLOOKUP(C231,'Catálogo Productos'!$B$3:$E$200,4,0),"")</f>
        <v/>
      </c>
      <c r="G231" s="2" t="str">
        <f>IF(F231="","",IF(I231="SÍ",F231*'Configuración'!$C$5,0))</f>
        <v/>
      </c>
      <c r="H231" s="2"/>
      <c r="I231" s="2"/>
      <c r="J231" s="2" t="str">
        <f>IF(F231="","",IF(H231="SÍ",'Configuración'!$C$6,0))</f>
        <v/>
      </c>
      <c r="K231" s="2" t="str">
        <f t="shared" si="12"/>
        <v/>
      </c>
      <c r="L231" s="2" t="str">
        <f t="shared" si="17"/>
        <v/>
      </c>
      <c r="M231" s="2" t="str">
        <f t="shared" si="18"/>
        <v/>
      </c>
      <c r="N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5.75" customHeight="1">
      <c r="A232" s="2">
        <v>127.0</v>
      </c>
      <c r="B232" s="2"/>
      <c r="C232" s="2"/>
      <c r="D232" s="2" t="str">
        <f>IFERROR(VLOOKUP(C232,'Catálogo Productos'!$B$3:$E$200,2,0),"")</f>
        <v/>
      </c>
      <c r="E232" s="2" t="str">
        <f>IFERROR(VLOOKUP(C232,'Catálogo Productos'!$B$3:$E$200,3,0),"")</f>
        <v/>
      </c>
      <c r="F232" s="2" t="str">
        <f>IFERROR(VLOOKUP(C232,'Catálogo Productos'!$B$3:$E$200,4,0),"")</f>
        <v/>
      </c>
      <c r="G232" s="2" t="str">
        <f>IF(F232="","",IF(I232="SÍ",F232*'Configuración'!$C$5,0))</f>
        <v/>
      </c>
      <c r="H232" s="2"/>
      <c r="I232" s="2"/>
      <c r="J232" s="2" t="str">
        <f>IF(F232="","",IF(H232="SÍ",'Configuración'!$C$6,0))</f>
        <v/>
      </c>
      <c r="K232" s="2" t="str">
        <f t="shared" si="12"/>
        <v/>
      </c>
      <c r="L232" s="2" t="str">
        <f t="shared" si="17"/>
        <v/>
      </c>
      <c r="M232" s="2" t="str">
        <f t="shared" si="18"/>
        <v/>
      </c>
      <c r="N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5.75" customHeight="1">
      <c r="A233" s="2">
        <v>128.0</v>
      </c>
      <c r="B233" s="2"/>
      <c r="C233" s="2"/>
      <c r="D233" s="2" t="str">
        <f>IFERROR(VLOOKUP(C233,'Catálogo Productos'!$B$3:$E$200,2,0),"")</f>
        <v/>
      </c>
      <c r="E233" s="2" t="str">
        <f>IFERROR(VLOOKUP(C233,'Catálogo Productos'!$B$3:$E$200,3,0),"")</f>
        <v/>
      </c>
      <c r="F233" s="2" t="str">
        <f>IFERROR(VLOOKUP(C233,'Catálogo Productos'!$B$3:$E$200,4,0),"")</f>
        <v/>
      </c>
      <c r="G233" s="2" t="str">
        <f>IF(F233="","",IF(I233="SÍ",F233*'Configuración'!$C$5,0))</f>
        <v/>
      </c>
      <c r="H233" s="2"/>
      <c r="I233" s="2"/>
      <c r="J233" s="2" t="str">
        <f>IF(F233="","",IF(H233="SÍ",'Configuración'!$C$6,0))</f>
        <v/>
      </c>
      <c r="K233" s="2" t="str">
        <f t="shared" si="12"/>
        <v/>
      </c>
      <c r="L233" s="2" t="str">
        <f t="shared" si="17"/>
        <v/>
      </c>
      <c r="M233" s="2" t="str">
        <f t="shared" si="18"/>
        <v/>
      </c>
      <c r="N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5.75" customHeight="1">
      <c r="A234" s="2">
        <v>129.0</v>
      </c>
      <c r="B234" s="2"/>
      <c r="C234" s="2"/>
      <c r="D234" s="2" t="str">
        <f>IFERROR(VLOOKUP(C234,'Catálogo Productos'!$B$3:$E$200,2,0),"")</f>
        <v/>
      </c>
      <c r="E234" s="2" t="str">
        <f>IFERROR(VLOOKUP(C234,'Catálogo Productos'!$B$3:$E$200,3,0),"")</f>
        <v/>
      </c>
      <c r="F234" s="2" t="str">
        <f>IFERROR(VLOOKUP(C234,'Catálogo Productos'!$B$3:$E$200,4,0),"")</f>
        <v/>
      </c>
      <c r="G234" s="2" t="str">
        <f>IF(F234="","",IF(I234="SÍ",F234*'Configuración'!$C$5,0))</f>
        <v/>
      </c>
      <c r="H234" s="2"/>
      <c r="I234" s="2"/>
      <c r="J234" s="2" t="str">
        <f>IF(F234="","",IF(H234="SÍ",'Configuración'!$C$6,0))</f>
        <v/>
      </c>
      <c r="K234" s="2" t="str">
        <f t="shared" si="12"/>
        <v/>
      </c>
      <c r="L234" s="2" t="str">
        <f t="shared" si="17"/>
        <v/>
      </c>
      <c r="M234" s="2" t="str">
        <f t="shared" si="18"/>
        <v/>
      </c>
      <c r="N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5.75" customHeight="1">
      <c r="A235" s="2">
        <v>130.0</v>
      </c>
      <c r="B235" s="2"/>
      <c r="C235" s="2"/>
      <c r="D235" s="2" t="str">
        <f>IFERROR(VLOOKUP(C235,'Catálogo Productos'!$B$3:$E$200,2,0),"")</f>
        <v/>
      </c>
      <c r="E235" s="2" t="str">
        <f>IFERROR(VLOOKUP(C235,'Catálogo Productos'!$B$3:$E$200,3,0),"")</f>
        <v/>
      </c>
      <c r="F235" s="2" t="str">
        <f>IFERROR(VLOOKUP(C235,'Catálogo Productos'!$B$3:$E$200,4,0),"")</f>
        <v/>
      </c>
      <c r="G235" s="2" t="str">
        <f>IF(F235="","",IF(I235="SÍ",F235*'Configuración'!$C$5,0))</f>
        <v/>
      </c>
      <c r="H235" s="2"/>
      <c r="I235" s="2"/>
      <c r="J235" s="2" t="str">
        <f>IF(F235="","",IF(H235="SÍ",'Configuración'!$C$6,0))</f>
        <v/>
      </c>
      <c r="K235" s="2" t="str">
        <f t="shared" si="12"/>
        <v/>
      </c>
      <c r="L235" s="2" t="str">
        <f t="shared" si="17"/>
        <v/>
      </c>
      <c r="M235" s="2" t="str">
        <f t="shared" si="18"/>
        <v/>
      </c>
      <c r="N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5.75" customHeight="1">
      <c r="A236" s="2">
        <v>131.0</v>
      </c>
      <c r="B236" s="2"/>
      <c r="C236" s="2"/>
      <c r="D236" s="2" t="str">
        <f>IFERROR(VLOOKUP(C236,'Catálogo Productos'!$B$3:$E$200,2,0),"")</f>
        <v/>
      </c>
      <c r="E236" s="2" t="str">
        <f>IFERROR(VLOOKUP(C236,'Catálogo Productos'!$B$3:$E$200,3,0),"")</f>
        <v/>
      </c>
      <c r="F236" s="2" t="str">
        <f>IFERROR(VLOOKUP(C236,'Catálogo Productos'!$B$3:$E$200,4,0),"")</f>
        <v/>
      </c>
      <c r="G236" s="2" t="str">
        <f>IF(F236="","",IF(I236="SÍ",F236*'Configuración'!$C$5,0))</f>
        <v/>
      </c>
      <c r="H236" s="2"/>
      <c r="I236" s="2"/>
      <c r="J236" s="2" t="str">
        <f>IF(F236="","",IF(H236="SÍ",'Configuración'!$C$6,0))</f>
        <v/>
      </c>
      <c r="K236" s="2" t="str">
        <f t="shared" si="12"/>
        <v/>
      </c>
      <c r="L236" s="2" t="str">
        <f t="shared" si="17"/>
        <v/>
      </c>
      <c r="M236" s="2" t="str">
        <f t="shared" si="18"/>
        <v/>
      </c>
      <c r="N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5.75" customHeight="1">
      <c r="A237" s="2">
        <v>132.0</v>
      </c>
      <c r="B237" s="2"/>
      <c r="C237" s="2"/>
      <c r="D237" s="2" t="str">
        <f>IFERROR(VLOOKUP(C237,'Catálogo Productos'!$B$3:$E$200,2,0),"")</f>
        <v/>
      </c>
      <c r="E237" s="2" t="str">
        <f>IFERROR(VLOOKUP(C237,'Catálogo Productos'!$B$3:$E$200,3,0),"")</f>
        <v/>
      </c>
      <c r="F237" s="2" t="str">
        <f>IFERROR(VLOOKUP(C237,'Catálogo Productos'!$B$3:$E$200,4,0),"")</f>
        <v/>
      </c>
      <c r="G237" s="2" t="str">
        <f>IF(F237="","",IF(I237="SÍ",F237*'Configuración'!$C$5,0))</f>
        <v/>
      </c>
      <c r="H237" s="2"/>
      <c r="I237" s="2"/>
      <c r="J237" s="2" t="str">
        <f>IF(F237="","",IF(H237="SÍ",'Configuración'!$C$6,0))</f>
        <v/>
      </c>
      <c r="K237" s="2" t="str">
        <f t="shared" si="12"/>
        <v/>
      </c>
      <c r="L237" s="2" t="str">
        <f t="shared" si="17"/>
        <v/>
      </c>
      <c r="M237" s="2" t="str">
        <f t="shared" si="18"/>
        <v/>
      </c>
      <c r="N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5.75" customHeight="1">
      <c r="A238" s="2">
        <v>133.0</v>
      </c>
      <c r="B238" s="2"/>
      <c r="C238" s="2"/>
      <c r="D238" s="2" t="str">
        <f>IFERROR(VLOOKUP(C238,'Catálogo Productos'!$B$3:$E$200,2,0),"")</f>
        <v/>
      </c>
      <c r="E238" s="2" t="str">
        <f>IFERROR(VLOOKUP(C238,'Catálogo Productos'!$B$3:$E$200,3,0),"")</f>
        <v/>
      </c>
      <c r="F238" s="2" t="str">
        <f>IFERROR(VLOOKUP(C238,'Catálogo Productos'!$B$3:$E$200,4,0),"")</f>
        <v/>
      </c>
      <c r="G238" s="2" t="str">
        <f>IF(F238="","",IF(I238="SÍ",F238*'Configuración'!$C$5,0))</f>
        <v/>
      </c>
      <c r="H238" s="2"/>
      <c r="I238" s="2"/>
      <c r="J238" s="2" t="str">
        <f>IF(F238="","",IF(H238="SÍ",'Configuración'!$C$6,0))</f>
        <v/>
      </c>
      <c r="K238" s="2" t="str">
        <f t="shared" si="12"/>
        <v/>
      </c>
      <c r="L238" s="2" t="str">
        <f t="shared" si="17"/>
        <v/>
      </c>
      <c r="M238" s="2" t="str">
        <f t="shared" si="18"/>
        <v/>
      </c>
      <c r="N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5.75" customHeight="1">
      <c r="A239" s="2">
        <v>134.0</v>
      </c>
      <c r="B239" s="2"/>
      <c r="C239" s="2"/>
      <c r="D239" s="2" t="str">
        <f>IFERROR(VLOOKUP(C239,'Catálogo Productos'!$B$3:$E$200,2,0),"")</f>
        <v/>
      </c>
      <c r="E239" s="2" t="str">
        <f>IFERROR(VLOOKUP(C239,'Catálogo Productos'!$B$3:$E$200,3,0),"")</f>
        <v/>
      </c>
      <c r="F239" s="2" t="str">
        <f>IFERROR(VLOOKUP(C239,'Catálogo Productos'!$B$3:$E$200,4,0),"")</f>
        <v/>
      </c>
      <c r="G239" s="2" t="str">
        <f>IF(F239="","",IF(I239="SÍ",F239*'Configuración'!$C$5,0))</f>
        <v/>
      </c>
      <c r="H239" s="2"/>
      <c r="I239" s="2"/>
      <c r="J239" s="2" t="str">
        <f>IF(F239="","",IF(H239="SÍ",'Configuración'!$C$6,0))</f>
        <v/>
      </c>
      <c r="K239" s="2" t="str">
        <f t="shared" si="12"/>
        <v/>
      </c>
      <c r="L239" s="2" t="str">
        <f t="shared" si="17"/>
        <v/>
      </c>
      <c r="M239" s="2" t="str">
        <f t="shared" si="18"/>
        <v/>
      </c>
      <c r="N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5.75" customHeight="1">
      <c r="A240" s="2">
        <v>135.0</v>
      </c>
      <c r="B240" s="2"/>
      <c r="C240" s="2"/>
      <c r="D240" s="2" t="str">
        <f>IFERROR(VLOOKUP(C240,'Catálogo Productos'!$B$3:$E$200,2,0),"")</f>
        <v/>
      </c>
      <c r="E240" s="2" t="str">
        <f>IFERROR(VLOOKUP(C240,'Catálogo Productos'!$B$3:$E$200,3,0),"")</f>
        <v/>
      </c>
      <c r="F240" s="2" t="str">
        <f>IFERROR(VLOOKUP(C240,'Catálogo Productos'!$B$3:$E$200,4,0),"")</f>
        <v/>
      </c>
      <c r="G240" s="2" t="str">
        <f>IF(F240="","",IF(I240="SÍ",F240*'Configuración'!$C$5,0))</f>
        <v/>
      </c>
      <c r="H240" s="2"/>
      <c r="I240" s="2"/>
      <c r="J240" s="2" t="str">
        <f>IF(F240="","",IF(H240="SÍ",'Configuración'!$C$6,0))</f>
        <v/>
      </c>
      <c r="K240" s="2" t="str">
        <f t="shared" si="12"/>
        <v/>
      </c>
      <c r="L240" s="2" t="str">
        <f t="shared" si="17"/>
        <v/>
      </c>
      <c r="M240" s="2" t="str">
        <f t="shared" si="18"/>
        <v/>
      </c>
      <c r="N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5.75" customHeight="1">
      <c r="A241" s="2">
        <v>136.0</v>
      </c>
      <c r="B241" s="2"/>
      <c r="C241" s="2"/>
      <c r="D241" s="2" t="str">
        <f>IFERROR(VLOOKUP(C241,'Catálogo Productos'!$B$3:$E$200,2,0),"")</f>
        <v/>
      </c>
      <c r="E241" s="2" t="str">
        <f>IFERROR(VLOOKUP(C241,'Catálogo Productos'!$B$3:$E$200,3,0),"")</f>
        <v/>
      </c>
      <c r="F241" s="2" t="str">
        <f>IFERROR(VLOOKUP(C241,'Catálogo Productos'!$B$3:$E$200,4,0),"")</f>
        <v/>
      </c>
      <c r="G241" s="2" t="str">
        <f>IF(F241="","",IF(I241="SÍ",F241*'Configuración'!$C$5,0))</f>
        <v/>
      </c>
      <c r="H241" s="2"/>
      <c r="I241" s="2"/>
      <c r="J241" s="2" t="str">
        <f>IF(F241="","",IF(H241="SÍ",'Configuración'!$C$6,0))</f>
        <v/>
      </c>
      <c r="K241" s="2" t="str">
        <f t="shared" si="12"/>
        <v/>
      </c>
      <c r="L241" s="2" t="str">
        <f t="shared" si="17"/>
        <v/>
      </c>
      <c r="M241" s="2" t="str">
        <f t="shared" si="18"/>
        <v/>
      </c>
      <c r="N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5.75" customHeight="1">
      <c r="A242" s="2">
        <v>137.0</v>
      </c>
      <c r="B242" s="2"/>
      <c r="C242" s="2"/>
      <c r="D242" s="2" t="str">
        <f>IFERROR(VLOOKUP(C242,'Catálogo Productos'!$B$3:$E$200,2,0),"")</f>
        <v/>
      </c>
      <c r="E242" s="2" t="str">
        <f>IFERROR(VLOOKUP(C242,'Catálogo Productos'!$B$3:$E$200,3,0),"")</f>
        <v/>
      </c>
      <c r="F242" s="2" t="str">
        <f>IFERROR(VLOOKUP(C242,'Catálogo Productos'!$B$3:$E$200,4,0),"")</f>
        <v/>
      </c>
      <c r="G242" s="2" t="str">
        <f>IF(F242="","",IF(I242="SÍ",F242*'Configuración'!$C$5,0))</f>
        <v/>
      </c>
      <c r="H242" s="2"/>
      <c r="I242" s="2"/>
      <c r="J242" s="2" t="str">
        <f>IF(F242="","",IF(H242="SÍ",'Configuración'!$C$6,0))</f>
        <v/>
      </c>
      <c r="K242" s="2" t="str">
        <f t="shared" si="12"/>
        <v/>
      </c>
      <c r="L242" s="2" t="str">
        <f t="shared" si="17"/>
        <v/>
      </c>
      <c r="M242" s="2" t="str">
        <f t="shared" si="18"/>
        <v/>
      </c>
      <c r="N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5.75" customHeight="1">
      <c r="A243" s="2">
        <v>138.0</v>
      </c>
      <c r="B243" s="2"/>
      <c r="C243" s="2"/>
      <c r="D243" s="2" t="str">
        <f>IFERROR(VLOOKUP(C243,'Catálogo Productos'!$B$3:$E$200,2,0),"")</f>
        <v/>
      </c>
      <c r="E243" s="2" t="str">
        <f>IFERROR(VLOOKUP(C243,'Catálogo Productos'!$B$3:$E$200,3,0),"")</f>
        <v/>
      </c>
      <c r="F243" s="2" t="str">
        <f>IFERROR(VLOOKUP(C243,'Catálogo Productos'!$B$3:$E$200,4,0),"")</f>
        <v/>
      </c>
      <c r="G243" s="2" t="str">
        <f>IF(F243="","",IF(I243="SÍ",F243*'Configuración'!$C$5,0))</f>
        <v/>
      </c>
      <c r="H243" s="2"/>
      <c r="I243" s="2"/>
      <c r="J243" s="2" t="str">
        <f>IF(F243="","",IF(H243="SÍ",'Configuración'!$C$6,0))</f>
        <v/>
      </c>
      <c r="K243" s="2" t="str">
        <f t="shared" si="12"/>
        <v/>
      </c>
      <c r="L243" s="2" t="str">
        <f t="shared" si="17"/>
        <v/>
      </c>
      <c r="M243" s="2" t="str">
        <f t="shared" si="18"/>
        <v/>
      </c>
      <c r="N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5.75" customHeight="1">
      <c r="A244" s="2">
        <v>139.0</v>
      </c>
      <c r="B244" s="2"/>
      <c r="C244" s="2"/>
      <c r="D244" s="2" t="str">
        <f>IFERROR(VLOOKUP(C244,'Catálogo Productos'!$B$3:$E$200,2,0),"")</f>
        <v/>
      </c>
      <c r="E244" s="2" t="str">
        <f>IFERROR(VLOOKUP(C244,'Catálogo Productos'!$B$3:$E$200,3,0),"")</f>
        <v/>
      </c>
      <c r="F244" s="2" t="str">
        <f>IFERROR(VLOOKUP(C244,'Catálogo Productos'!$B$3:$E$200,4,0),"")</f>
        <v/>
      </c>
      <c r="G244" s="2" t="str">
        <f>IF(F244="","",IF(I244="SÍ",F244*'Configuración'!$C$5,0))</f>
        <v/>
      </c>
      <c r="H244" s="2"/>
      <c r="I244" s="2"/>
      <c r="J244" s="2" t="str">
        <f>IF(F244="","",IF(H244="SÍ",'Configuración'!$C$6,0))</f>
        <v/>
      </c>
      <c r="K244" s="2" t="str">
        <f t="shared" si="12"/>
        <v/>
      </c>
      <c r="L244" s="2" t="str">
        <f t="shared" si="17"/>
        <v/>
      </c>
      <c r="M244" s="2" t="str">
        <f t="shared" si="18"/>
        <v/>
      </c>
      <c r="N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5.75" customHeight="1">
      <c r="A245" s="2">
        <v>140.0</v>
      </c>
      <c r="B245" s="2"/>
      <c r="C245" s="2"/>
      <c r="D245" s="2" t="str">
        <f>IFERROR(VLOOKUP(C245,'Catálogo Productos'!$B$3:$E$200,2,0),"")</f>
        <v/>
      </c>
      <c r="E245" s="2" t="str">
        <f>IFERROR(VLOOKUP(C245,'Catálogo Productos'!$B$3:$E$200,3,0),"")</f>
        <v/>
      </c>
      <c r="F245" s="2" t="str">
        <f>IFERROR(VLOOKUP(C245,'Catálogo Productos'!$B$3:$E$200,4,0),"")</f>
        <v/>
      </c>
      <c r="G245" s="2" t="str">
        <f>IF(F245="","",IF(I245="SÍ",F245*'Configuración'!$C$5,0))</f>
        <v/>
      </c>
      <c r="H245" s="2"/>
      <c r="I245" s="2"/>
      <c r="J245" s="2" t="str">
        <f>IF(F245="","",IF(H245="SÍ",'Configuración'!$C$6,0))</f>
        <v/>
      </c>
      <c r="K245" s="2" t="str">
        <f t="shared" si="12"/>
        <v/>
      </c>
      <c r="L245" s="2" t="str">
        <f t="shared" si="17"/>
        <v/>
      </c>
      <c r="M245" s="2" t="str">
        <f t="shared" si="18"/>
        <v/>
      </c>
      <c r="N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5.75" customHeight="1">
      <c r="A246" s="2">
        <v>141.0</v>
      </c>
      <c r="B246" s="2"/>
      <c r="C246" s="2"/>
      <c r="D246" s="2" t="str">
        <f>IFERROR(VLOOKUP(C246,'Catálogo Productos'!$B$3:$E$200,2,0),"")</f>
        <v/>
      </c>
      <c r="E246" s="2" t="str">
        <f>IFERROR(VLOOKUP(C246,'Catálogo Productos'!$B$3:$E$200,3,0),"")</f>
        <v/>
      </c>
      <c r="F246" s="2" t="str">
        <f>IFERROR(VLOOKUP(C246,'Catálogo Productos'!$B$3:$E$200,4,0),"")</f>
        <v/>
      </c>
      <c r="G246" s="2" t="str">
        <f>IF(F246="","",IF(I246="SÍ",F246*'Configuración'!$C$5,0))</f>
        <v/>
      </c>
      <c r="H246" s="2"/>
      <c r="I246" s="2"/>
      <c r="J246" s="2" t="str">
        <f>IF(F246="","",IF(H246="SÍ",'Configuración'!$C$6,0))</f>
        <v/>
      </c>
      <c r="K246" s="2" t="str">
        <f t="shared" si="12"/>
        <v/>
      </c>
      <c r="L246" s="2" t="str">
        <f t="shared" si="17"/>
        <v/>
      </c>
      <c r="M246" s="2" t="str">
        <f t="shared" si="18"/>
        <v/>
      </c>
      <c r="N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5.75" customHeight="1">
      <c r="A247" s="2">
        <v>142.0</v>
      </c>
      <c r="B247" s="2"/>
      <c r="C247" s="2"/>
      <c r="D247" s="2" t="str">
        <f>IFERROR(VLOOKUP(C247,'Catálogo Productos'!$B$3:$E$200,2,0),"")</f>
        <v/>
      </c>
      <c r="E247" s="2" t="str">
        <f>IFERROR(VLOOKUP(C247,'Catálogo Productos'!$B$3:$E$200,3,0),"")</f>
        <v/>
      </c>
      <c r="F247" s="2" t="str">
        <f>IFERROR(VLOOKUP(C247,'Catálogo Productos'!$B$3:$E$200,4,0),"")</f>
        <v/>
      </c>
      <c r="G247" s="2" t="str">
        <f>IF(F247="","",IF(I247="SÍ",F247*'Configuración'!$C$5,0))</f>
        <v/>
      </c>
      <c r="H247" s="2"/>
      <c r="I247" s="2"/>
      <c r="J247" s="2" t="str">
        <f>IF(F247="","",IF(H247="SÍ",'Configuración'!$C$6,0))</f>
        <v/>
      </c>
      <c r="K247" s="2" t="str">
        <f t="shared" si="12"/>
        <v/>
      </c>
      <c r="L247" s="2" t="str">
        <f t="shared" si="17"/>
        <v/>
      </c>
      <c r="M247" s="2" t="str">
        <f t="shared" si="18"/>
        <v/>
      </c>
      <c r="N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5.75" customHeight="1">
      <c r="A248" s="2">
        <v>143.0</v>
      </c>
      <c r="B248" s="2"/>
      <c r="C248" s="2"/>
      <c r="D248" s="2" t="str">
        <f>IFERROR(VLOOKUP(C248,'Catálogo Productos'!$B$3:$E$200,2,0),"")</f>
        <v/>
      </c>
      <c r="E248" s="2" t="str">
        <f>IFERROR(VLOOKUP(C248,'Catálogo Productos'!$B$3:$E$200,3,0),"")</f>
        <v/>
      </c>
      <c r="F248" s="2" t="str">
        <f>IFERROR(VLOOKUP(C248,'Catálogo Productos'!$B$3:$E$200,4,0),"")</f>
        <v/>
      </c>
      <c r="G248" s="2" t="str">
        <f>IF(F248="","",IF(I248="SÍ",F248*'Configuración'!$C$5,0))</f>
        <v/>
      </c>
      <c r="H248" s="2"/>
      <c r="I248" s="2"/>
      <c r="J248" s="2" t="str">
        <f>IF(F248="","",IF(H248="SÍ",'Configuración'!$C$6,0))</f>
        <v/>
      </c>
      <c r="K248" s="2" t="str">
        <f t="shared" si="12"/>
        <v/>
      </c>
      <c r="L248" s="2" t="str">
        <f t="shared" si="17"/>
        <v/>
      </c>
      <c r="M248" s="2" t="str">
        <f t="shared" si="18"/>
        <v/>
      </c>
      <c r="N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5.75" customHeight="1">
      <c r="A249" s="2">
        <v>144.0</v>
      </c>
      <c r="B249" s="2"/>
      <c r="C249" s="2"/>
      <c r="D249" s="2" t="str">
        <f>IFERROR(VLOOKUP(C249,'Catálogo Productos'!$B$3:$E$200,2,0),"")</f>
        <v/>
      </c>
      <c r="E249" s="2" t="str">
        <f>IFERROR(VLOOKUP(C249,'Catálogo Productos'!$B$3:$E$200,3,0),"")</f>
        <v/>
      </c>
      <c r="F249" s="2" t="str">
        <f>IFERROR(VLOOKUP(C249,'Catálogo Productos'!$B$3:$E$200,4,0),"")</f>
        <v/>
      </c>
      <c r="G249" s="2" t="str">
        <f>IF(F249="","",IF(I249="SÍ",F249*'Configuración'!$C$5,0))</f>
        <v/>
      </c>
      <c r="H249" s="2"/>
      <c r="I249" s="2"/>
      <c r="J249" s="2" t="str">
        <f>IF(F249="","",IF(H249="SÍ",'Configuración'!$C$6,0))</f>
        <v/>
      </c>
      <c r="K249" s="2" t="str">
        <f t="shared" si="12"/>
        <v/>
      </c>
      <c r="L249" s="2" t="str">
        <f t="shared" si="17"/>
        <v/>
      </c>
      <c r="M249" s="2" t="str">
        <f t="shared" si="18"/>
        <v/>
      </c>
      <c r="N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5.75" customHeight="1">
      <c r="A250" s="2">
        <v>145.0</v>
      </c>
      <c r="B250" s="2"/>
      <c r="C250" s="2"/>
      <c r="D250" s="2" t="str">
        <f>IFERROR(VLOOKUP(C250,'Catálogo Productos'!$B$3:$E$200,2,0),"")</f>
        <v/>
      </c>
      <c r="E250" s="2" t="str">
        <f>IFERROR(VLOOKUP(C250,'Catálogo Productos'!$B$3:$E$200,3,0),"")</f>
        <v/>
      </c>
      <c r="F250" s="2" t="str">
        <f>IFERROR(VLOOKUP(C250,'Catálogo Productos'!$B$3:$E$200,4,0),"")</f>
        <v/>
      </c>
      <c r="G250" s="2" t="str">
        <f>IF(F250="","",IF(I250="SÍ",F250*'Configuración'!$C$5,0))</f>
        <v/>
      </c>
      <c r="H250" s="2"/>
      <c r="I250" s="2"/>
      <c r="J250" s="2" t="str">
        <f>IF(F250="","",IF(H250="SÍ",'Configuración'!$C$6,0))</f>
        <v/>
      </c>
      <c r="K250" s="2" t="str">
        <f t="shared" si="12"/>
        <v/>
      </c>
      <c r="L250" s="2" t="str">
        <f t="shared" si="17"/>
        <v/>
      </c>
      <c r="M250" s="2" t="str">
        <f t="shared" si="18"/>
        <v/>
      </c>
      <c r="N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5.75" customHeight="1">
      <c r="A251" s="2">
        <v>146.0</v>
      </c>
      <c r="B251" s="2"/>
      <c r="C251" s="2"/>
      <c r="D251" s="2" t="str">
        <f>IFERROR(VLOOKUP(C251,'Catálogo Productos'!$B$3:$E$200,2,0),"")</f>
        <v/>
      </c>
      <c r="E251" s="2" t="str">
        <f>IFERROR(VLOOKUP(C251,'Catálogo Productos'!$B$3:$E$200,3,0),"")</f>
        <v/>
      </c>
      <c r="F251" s="2" t="str">
        <f>IFERROR(VLOOKUP(C251,'Catálogo Productos'!$B$3:$E$200,4,0),"")</f>
        <v/>
      </c>
      <c r="G251" s="2" t="str">
        <f>IF(F251="","",IF(I251="SÍ",F251*'Configuración'!$C$5,0))</f>
        <v/>
      </c>
      <c r="H251" s="2"/>
      <c r="I251" s="2"/>
      <c r="J251" s="2" t="str">
        <f>IF(F251="","",IF(H251="SÍ",'Configuración'!$C$6,0))</f>
        <v/>
      </c>
      <c r="K251" s="2" t="str">
        <f t="shared" si="12"/>
        <v/>
      </c>
      <c r="L251" s="2" t="str">
        <f t="shared" si="17"/>
        <v/>
      </c>
      <c r="M251" s="2" t="str">
        <f t="shared" si="18"/>
        <v/>
      </c>
      <c r="N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5.75" customHeight="1">
      <c r="A252" s="2">
        <v>147.0</v>
      </c>
      <c r="B252" s="2"/>
      <c r="C252" s="2"/>
      <c r="D252" s="2" t="str">
        <f>IFERROR(VLOOKUP(C252,'Catálogo Productos'!$B$3:$E$200,2,0),"")</f>
        <v/>
      </c>
      <c r="E252" s="2" t="str">
        <f>IFERROR(VLOOKUP(C252,'Catálogo Productos'!$B$3:$E$200,3,0),"")</f>
        <v/>
      </c>
      <c r="F252" s="2" t="str">
        <f>IFERROR(VLOOKUP(C252,'Catálogo Productos'!$B$3:$E$200,4,0),"")</f>
        <v/>
      </c>
      <c r="G252" s="2" t="str">
        <f>IF(F252="","",IF(I252="SÍ",F252*'Configuración'!$C$5,0))</f>
        <v/>
      </c>
      <c r="H252" s="2"/>
      <c r="I252" s="2"/>
      <c r="J252" s="2" t="str">
        <f>IF(F252="","",IF(H252="SÍ",'Configuración'!$C$6,0))</f>
        <v/>
      </c>
      <c r="K252" s="2" t="str">
        <f t="shared" si="12"/>
        <v/>
      </c>
      <c r="L252" s="2" t="str">
        <f t="shared" si="17"/>
        <v/>
      </c>
      <c r="M252" s="2" t="str">
        <f t="shared" si="18"/>
        <v/>
      </c>
      <c r="N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5.75" customHeight="1">
      <c r="A253" s="2">
        <v>148.0</v>
      </c>
      <c r="B253" s="2"/>
      <c r="C253" s="2"/>
      <c r="D253" s="2" t="str">
        <f>IFERROR(VLOOKUP(C253,'Catálogo Productos'!$B$3:$E$200,2,0),"")</f>
        <v/>
      </c>
      <c r="E253" s="2" t="str">
        <f>IFERROR(VLOOKUP(C253,'Catálogo Productos'!$B$3:$E$200,3,0),"")</f>
        <v/>
      </c>
      <c r="F253" s="2" t="str">
        <f>IFERROR(VLOOKUP(C253,'Catálogo Productos'!$B$3:$E$200,4,0),"")</f>
        <v/>
      </c>
      <c r="G253" s="2" t="str">
        <f>IF(F253="","",IF(I253="SÍ",F253*'Configuración'!$C$5,0))</f>
        <v/>
      </c>
      <c r="H253" s="2"/>
      <c r="I253" s="2"/>
      <c r="J253" s="2" t="str">
        <f>IF(F253="","",IF(H253="SÍ",'Configuración'!$C$6,0))</f>
        <v/>
      </c>
      <c r="K253" s="2" t="str">
        <f t="shared" si="12"/>
        <v/>
      </c>
      <c r="L253" s="2" t="str">
        <f t="shared" si="17"/>
        <v/>
      </c>
      <c r="M253" s="2" t="str">
        <f t="shared" si="18"/>
        <v/>
      </c>
      <c r="N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5.75" customHeight="1">
      <c r="A254" s="2">
        <v>149.0</v>
      </c>
      <c r="B254" s="2"/>
      <c r="C254" s="2"/>
      <c r="D254" s="2" t="str">
        <f>IFERROR(VLOOKUP(C254,'Catálogo Productos'!$B$3:$E$200,2,0),"")</f>
        <v/>
      </c>
      <c r="E254" s="2" t="str">
        <f>IFERROR(VLOOKUP(C254,'Catálogo Productos'!$B$3:$E$200,3,0),"")</f>
        <v/>
      </c>
      <c r="F254" s="2" t="str">
        <f>IFERROR(VLOOKUP(C254,'Catálogo Productos'!$B$3:$E$200,4,0),"")</f>
        <v/>
      </c>
      <c r="G254" s="2" t="str">
        <f>IF(F254="","",IF(I254="SÍ",F254*'Configuración'!$C$5,0))</f>
        <v/>
      </c>
      <c r="H254" s="2"/>
      <c r="I254" s="2"/>
      <c r="J254" s="2" t="str">
        <f>IF(F254="","",IF(H254="SÍ",'Configuración'!$C$6,0))</f>
        <v/>
      </c>
      <c r="K254" s="2" t="str">
        <f t="shared" si="12"/>
        <v/>
      </c>
      <c r="L254" s="2" t="str">
        <f t="shared" si="17"/>
        <v/>
      </c>
      <c r="M254" s="2" t="str">
        <f t="shared" si="18"/>
        <v/>
      </c>
      <c r="N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5.75" customHeight="1">
      <c r="A255" s="2">
        <v>150.0</v>
      </c>
      <c r="B255" s="2"/>
      <c r="C255" s="2"/>
      <c r="D255" s="2" t="str">
        <f>IFERROR(VLOOKUP(C255,'Catálogo Productos'!$B$3:$E$200,2,0),"")</f>
        <v/>
      </c>
      <c r="E255" s="2" t="str">
        <f>IFERROR(VLOOKUP(C255,'Catálogo Productos'!$B$3:$E$200,3,0),"")</f>
        <v/>
      </c>
      <c r="F255" s="2" t="str">
        <f>IFERROR(VLOOKUP(C255,'Catálogo Productos'!$B$3:$E$200,4,0),"")</f>
        <v/>
      </c>
      <c r="G255" s="2" t="str">
        <f>IF(F255="","",IF(I255="SÍ",F255*'Configuración'!$C$5,0))</f>
        <v/>
      </c>
      <c r="H255" s="2"/>
      <c r="I255" s="2"/>
      <c r="J255" s="2" t="str">
        <f>IF(F255="","",IF(H255="SÍ",'Configuración'!$C$6,0))</f>
        <v/>
      </c>
      <c r="K255" s="2" t="str">
        <f t="shared" si="12"/>
        <v/>
      </c>
      <c r="L255" s="2" t="str">
        <f t="shared" si="17"/>
        <v/>
      </c>
      <c r="M255" s="2" t="str">
        <f t="shared" si="18"/>
        <v/>
      </c>
      <c r="N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5.75" customHeight="1">
      <c r="A256" s="2">
        <v>151.0</v>
      </c>
      <c r="B256" s="2"/>
      <c r="C256" s="2"/>
      <c r="D256" s="2" t="str">
        <f>IFERROR(VLOOKUP(C256,'Catálogo Productos'!$B$3:$E$200,2,0),"")</f>
        <v/>
      </c>
      <c r="E256" s="2" t="str">
        <f>IFERROR(VLOOKUP(C256,'Catálogo Productos'!$B$3:$E$200,3,0),"")</f>
        <v/>
      </c>
      <c r="F256" s="2" t="str">
        <f>IFERROR(VLOOKUP(C256,'Catálogo Productos'!$B$3:$E$200,4,0),"")</f>
        <v/>
      </c>
      <c r="G256" s="2" t="str">
        <f>IF(F256="","",IF(I256="SÍ",F256*'Configuración'!$C$5,0))</f>
        <v/>
      </c>
      <c r="H256" s="2"/>
      <c r="I256" s="2"/>
      <c r="J256" s="2" t="str">
        <f>IF(F256="","",IF(H256="SÍ",'Configuración'!$C$6,0))</f>
        <v/>
      </c>
      <c r="K256" s="2" t="str">
        <f t="shared" si="12"/>
        <v/>
      </c>
      <c r="L256" s="2" t="str">
        <f t="shared" si="17"/>
        <v/>
      </c>
      <c r="M256" s="2" t="str">
        <f t="shared" si="18"/>
        <v/>
      </c>
      <c r="N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5.75" customHeight="1">
      <c r="A257" s="2">
        <v>152.0</v>
      </c>
      <c r="B257" s="2"/>
      <c r="C257" s="2"/>
      <c r="D257" s="2" t="str">
        <f>IFERROR(VLOOKUP(C257,'Catálogo Productos'!$B$3:$E$200,2,0),"")</f>
        <v/>
      </c>
      <c r="E257" s="2" t="str">
        <f>IFERROR(VLOOKUP(C257,'Catálogo Productos'!$B$3:$E$200,3,0),"")</f>
        <v/>
      </c>
      <c r="F257" s="2" t="str">
        <f>IFERROR(VLOOKUP(C257,'Catálogo Productos'!$B$3:$E$200,4,0),"")</f>
        <v/>
      </c>
      <c r="G257" s="2" t="str">
        <f>IF(F257="","",IF(I257="SÍ",F257*'Configuración'!$C$5,0))</f>
        <v/>
      </c>
      <c r="H257" s="2"/>
      <c r="I257" s="2"/>
      <c r="J257" s="2" t="str">
        <f>IF(F257="","",IF(H257="SÍ",'Configuración'!$C$6,0))</f>
        <v/>
      </c>
      <c r="K257" s="2" t="str">
        <f t="shared" si="12"/>
        <v/>
      </c>
      <c r="L257" s="2" t="str">
        <f t="shared" si="17"/>
        <v/>
      </c>
      <c r="M257" s="2" t="str">
        <f t="shared" si="18"/>
        <v/>
      </c>
      <c r="N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5.75" customHeight="1">
      <c r="A258" s="2">
        <v>153.0</v>
      </c>
      <c r="B258" s="2"/>
      <c r="C258" s="2"/>
      <c r="D258" s="2" t="str">
        <f>IFERROR(VLOOKUP(C258,'Catálogo Productos'!$B$3:$E$200,2,0),"")</f>
        <v/>
      </c>
      <c r="E258" s="2" t="str">
        <f>IFERROR(VLOOKUP(C258,'Catálogo Productos'!$B$3:$E$200,3,0),"")</f>
        <v/>
      </c>
      <c r="F258" s="2" t="str">
        <f>IFERROR(VLOOKUP(C258,'Catálogo Productos'!$B$3:$E$200,4,0),"")</f>
        <v/>
      </c>
      <c r="G258" s="2" t="str">
        <f>IF(F258="","",IF(I258="SÍ",F258*'Configuración'!$C$5,0))</f>
        <v/>
      </c>
      <c r="H258" s="2"/>
      <c r="I258" s="2"/>
      <c r="J258" s="2" t="str">
        <f>IF(F258="","",IF(H258="SÍ",'Configuración'!$C$6,0))</f>
        <v/>
      </c>
      <c r="K258" s="2" t="str">
        <f t="shared" si="12"/>
        <v/>
      </c>
      <c r="L258" s="2" t="str">
        <f t="shared" si="17"/>
        <v/>
      </c>
      <c r="M258" s="2" t="str">
        <f t="shared" si="18"/>
        <v/>
      </c>
      <c r="N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5.75" customHeight="1">
      <c r="A259" s="2">
        <v>154.0</v>
      </c>
      <c r="B259" s="2"/>
      <c r="C259" s="2"/>
      <c r="D259" s="2" t="str">
        <f>IFERROR(VLOOKUP(C259,'Catálogo Productos'!$B$3:$E$200,2,0),"")</f>
        <v/>
      </c>
      <c r="E259" s="2" t="str">
        <f>IFERROR(VLOOKUP(C259,'Catálogo Productos'!$B$3:$E$200,3,0),"")</f>
        <v/>
      </c>
      <c r="F259" s="2" t="str">
        <f>IFERROR(VLOOKUP(C259,'Catálogo Productos'!$B$3:$E$200,4,0),"")</f>
        <v/>
      </c>
      <c r="G259" s="2" t="str">
        <f>IF(F259="","",IF(I259="SÍ",F259*'Configuración'!$C$5,0))</f>
        <v/>
      </c>
      <c r="H259" s="2"/>
      <c r="I259" s="2"/>
      <c r="J259" s="2" t="str">
        <f>IF(F259="","",IF(H259="SÍ",'Configuración'!$C$6,0))</f>
        <v/>
      </c>
      <c r="K259" s="2" t="str">
        <f t="shared" si="12"/>
        <v/>
      </c>
      <c r="L259" s="2" t="str">
        <f t="shared" si="17"/>
        <v/>
      </c>
      <c r="M259" s="2" t="str">
        <f t="shared" si="18"/>
        <v/>
      </c>
      <c r="N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5.75" customHeight="1">
      <c r="A260" s="2">
        <v>155.0</v>
      </c>
      <c r="B260" s="2"/>
      <c r="C260" s="2"/>
      <c r="D260" s="2" t="str">
        <f>IFERROR(VLOOKUP(C260,'Catálogo Productos'!$B$3:$E$200,2,0),"")</f>
        <v/>
      </c>
      <c r="E260" s="2" t="str">
        <f>IFERROR(VLOOKUP(C260,'Catálogo Productos'!$B$3:$E$200,3,0),"")</f>
        <v/>
      </c>
      <c r="F260" s="2" t="str">
        <f>IFERROR(VLOOKUP(C260,'Catálogo Productos'!$B$3:$E$200,4,0),"")</f>
        <v/>
      </c>
      <c r="G260" s="2" t="str">
        <f>IF(F260="","",IF(I260="SÍ",F260*'Configuración'!$C$5,0))</f>
        <v/>
      </c>
      <c r="H260" s="2"/>
      <c r="I260" s="2"/>
      <c r="J260" s="2" t="str">
        <f>IF(F260="","",IF(H260="SÍ",'Configuración'!$C$6,0))</f>
        <v/>
      </c>
      <c r="K260" s="2" t="str">
        <f t="shared" si="12"/>
        <v/>
      </c>
      <c r="L260" s="2" t="str">
        <f t="shared" si="17"/>
        <v/>
      </c>
      <c r="M260" s="2" t="str">
        <f t="shared" si="18"/>
        <v/>
      </c>
      <c r="N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5.75" customHeight="1">
      <c r="A261" s="2">
        <v>156.0</v>
      </c>
      <c r="B261" s="2"/>
      <c r="C261" s="2"/>
      <c r="D261" s="2" t="str">
        <f>IFERROR(VLOOKUP(C261,'Catálogo Productos'!$B$3:$E$200,2,0),"")</f>
        <v/>
      </c>
      <c r="E261" s="2" t="str">
        <f>IFERROR(VLOOKUP(C261,'Catálogo Productos'!$B$3:$E$200,3,0),"")</f>
        <v/>
      </c>
      <c r="F261" s="2" t="str">
        <f>IFERROR(VLOOKUP(C261,'Catálogo Productos'!$B$3:$E$200,4,0),"")</f>
        <v/>
      </c>
      <c r="G261" s="2" t="str">
        <f>IF(F261="","",IF(I261="SÍ",F261*'Configuración'!$C$5,0))</f>
        <v/>
      </c>
      <c r="H261" s="2"/>
      <c r="I261" s="2"/>
      <c r="J261" s="2" t="str">
        <f>IF(F261="","",IF(H261="SÍ",'Configuración'!$C$6,0))</f>
        <v/>
      </c>
      <c r="K261" s="2" t="str">
        <f t="shared" si="12"/>
        <v/>
      </c>
      <c r="L261" s="2" t="str">
        <f t="shared" si="17"/>
        <v/>
      </c>
      <c r="M261" s="2" t="str">
        <f t="shared" si="18"/>
        <v/>
      </c>
      <c r="N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5.75" customHeight="1">
      <c r="A262" s="2">
        <v>157.0</v>
      </c>
      <c r="B262" s="2"/>
      <c r="C262" s="2"/>
      <c r="D262" s="2" t="str">
        <f>IFERROR(VLOOKUP(C262,'Catálogo Productos'!$B$3:$E$200,2,0),"")</f>
        <v/>
      </c>
      <c r="E262" s="2" t="str">
        <f>IFERROR(VLOOKUP(C262,'Catálogo Productos'!$B$3:$E$200,3,0),"")</f>
        <v/>
      </c>
      <c r="F262" s="2" t="str">
        <f>IFERROR(VLOOKUP(C262,'Catálogo Productos'!$B$3:$E$200,4,0),"")</f>
        <v/>
      </c>
      <c r="G262" s="2" t="str">
        <f>IF(F262="","",IF(I262="SÍ",F262*'Configuración'!$C$5,0))</f>
        <v/>
      </c>
      <c r="H262" s="2"/>
      <c r="I262" s="2"/>
      <c r="J262" s="2" t="str">
        <f>IF(F262="","",IF(H262="SÍ",'Configuración'!$C$6,0))</f>
        <v/>
      </c>
      <c r="K262" s="2" t="str">
        <f t="shared" si="12"/>
        <v/>
      </c>
      <c r="L262" s="2" t="str">
        <f t="shared" si="17"/>
        <v/>
      </c>
      <c r="M262" s="2" t="str">
        <f t="shared" si="18"/>
        <v/>
      </c>
      <c r="N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5.75" customHeight="1">
      <c r="A263" s="2">
        <v>158.0</v>
      </c>
      <c r="B263" s="2"/>
      <c r="C263" s="2"/>
      <c r="D263" s="2" t="str">
        <f>IFERROR(VLOOKUP(C263,'Catálogo Productos'!$B$3:$E$200,2,0),"")</f>
        <v/>
      </c>
      <c r="E263" s="2" t="str">
        <f>IFERROR(VLOOKUP(C263,'Catálogo Productos'!$B$3:$E$200,3,0),"")</f>
        <v/>
      </c>
      <c r="F263" s="2" t="str">
        <f>IFERROR(VLOOKUP(C263,'Catálogo Productos'!$B$3:$E$200,4,0),"")</f>
        <v/>
      </c>
      <c r="G263" s="2" t="str">
        <f>IF(F263="","",IF(I263="SÍ",F263*'Configuración'!$C$5,0))</f>
        <v/>
      </c>
      <c r="H263" s="2"/>
      <c r="I263" s="2"/>
      <c r="J263" s="2" t="str">
        <f>IF(F263="","",IF(H263="SÍ",'Configuración'!$C$6,0))</f>
        <v/>
      </c>
      <c r="K263" s="2" t="str">
        <f t="shared" si="12"/>
        <v/>
      </c>
      <c r="L263" s="2" t="str">
        <f t="shared" si="17"/>
        <v/>
      </c>
      <c r="M263" s="2" t="str">
        <f t="shared" si="18"/>
        <v/>
      </c>
      <c r="N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5.75" customHeight="1">
      <c r="A264" s="2">
        <v>159.0</v>
      </c>
      <c r="B264" s="2"/>
      <c r="C264" s="2"/>
      <c r="D264" s="2" t="str">
        <f>IFERROR(VLOOKUP(C264,'Catálogo Productos'!$B$3:$E$200,2,0),"")</f>
        <v/>
      </c>
      <c r="E264" s="2" t="str">
        <f>IFERROR(VLOOKUP(C264,'Catálogo Productos'!$B$3:$E$200,3,0),"")</f>
        <v/>
      </c>
      <c r="F264" s="2" t="str">
        <f>IFERROR(VLOOKUP(C264,'Catálogo Productos'!$B$3:$E$200,4,0),"")</f>
        <v/>
      </c>
      <c r="G264" s="2" t="str">
        <f>IF(F264="","",IF(I264="SÍ",F264*'Configuración'!$C$5,0))</f>
        <v/>
      </c>
      <c r="H264" s="2"/>
      <c r="I264" s="2"/>
      <c r="J264" s="2" t="str">
        <f>IF(F264="","",IF(H264="SÍ",'Configuración'!$C$6,0))</f>
        <v/>
      </c>
      <c r="K264" s="2" t="str">
        <f t="shared" si="12"/>
        <v/>
      </c>
      <c r="L264" s="2" t="str">
        <f t="shared" si="17"/>
        <v/>
      </c>
      <c r="M264" s="2" t="str">
        <f t="shared" si="18"/>
        <v/>
      </c>
      <c r="N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5.75" customHeight="1">
      <c r="A265" s="2">
        <v>160.0</v>
      </c>
      <c r="B265" s="2"/>
      <c r="C265" s="2"/>
      <c r="D265" s="2" t="str">
        <f>IFERROR(VLOOKUP(C265,'Catálogo Productos'!$B$3:$E$200,2,0),"")</f>
        <v/>
      </c>
      <c r="E265" s="2" t="str">
        <f>IFERROR(VLOOKUP(C265,'Catálogo Productos'!$B$3:$E$200,3,0),"")</f>
        <v/>
      </c>
      <c r="F265" s="2" t="str">
        <f>IFERROR(VLOOKUP(C265,'Catálogo Productos'!$B$3:$E$200,4,0),"")</f>
        <v/>
      </c>
      <c r="G265" s="2" t="str">
        <f>IF(F265="","",IF(I265="SÍ",F265*'Configuración'!$C$5,0))</f>
        <v/>
      </c>
      <c r="H265" s="2"/>
      <c r="I265" s="2"/>
      <c r="J265" s="2" t="str">
        <f>IF(F265="","",IF(H265="SÍ",'Configuración'!$C$6,0))</f>
        <v/>
      </c>
      <c r="K265" s="2" t="str">
        <f t="shared" si="12"/>
        <v/>
      </c>
      <c r="L265" s="2" t="str">
        <f t="shared" si="17"/>
        <v/>
      </c>
      <c r="M265" s="2" t="str">
        <f t="shared" si="18"/>
        <v/>
      </c>
      <c r="N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5.75" customHeight="1">
      <c r="A266" s="2">
        <v>161.0</v>
      </c>
      <c r="B266" s="2"/>
      <c r="C266" s="2"/>
      <c r="D266" s="2" t="str">
        <f>IFERROR(VLOOKUP(C266,'Catálogo Productos'!$B$3:$E$200,2,0),"")</f>
        <v/>
      </c>
      <c r="E266" s="2" t="str">
        <f>IFERROR(VLOOKUP(C266,'Catálogo Productos'!$B$3:$E$200,3,0),"")</f>
        <v/>
      </c>
      <c r="F266" s="2" t="str">
        <f>IFERROR(VLOOKUP(C266,'Catálogo Productos'!$B$3:$E$200,4,0),"")</f>
        <v/>
      </c>
      <c r="G266" s="2" t="str">
        <f>IF(F266="","",IF(I266="SÍ",F266*'Configuración'!$C$5,0))</f>
        <v/>
      </c>
      <c r="H266" s="2"/>
      <c r="I266" s="2"/>
      <c r="J266" s="2" t="str">
        <f>IF(F266="","",IF(H266="SÍ",'Configuración'!$C$6,0))</f>
        <v/>
      </c>
      <c r="K266" s="2" t="str">
        <f t="shared" si="12"/>
        <v/>
      </c>
      <c r="L266" s="2" t="str">
        <f t="shared" si="17"/>
        <v/>
      </c>
      <c r="M266" s="2" t="str">
        <f t="shared" si="18"/>
        <v/>
      </c>
      <c r="N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5.75" customHeight="1">
      <c r="A267" s="2">
        <v>162.0</v>
      </c>
      <c r="B267" s="2"/>
      <c r="C267" s="2"/>
      <c r="D267" s="2" t="str">
        <f>IFERROR(VLOOKUP(C267,'Catálogo Productos'!$B$3:$E$200,2,0),"")</f>
        <v/>
      </c>
      <c r="E267" s="2" t="str">
        <f>IFERROR(VLOOKUP(C267,'Catálogo Productos'!$B$3:$E$200,3,0),"")</f>
        <v/>
      </c>
      <c r="F267" s="2" t="str">
        <f>IFERROR(VLOOKUP(C267,'Catálogo Productos'!$B$3:$E$200,4,0),"")</f>
        <v/>
      </c>
      <c r="G267" s="2" t="str">
        <f>IF(F267="","",IF(I267="SÍ",F267*'Configuración'!$C$5,0))</f>
        <v/>
      </c>
      <c r="H267" s="2"/>
      <c r="I267" s="2"/>
      <c r="J267" s="2" t="str">
        <f>IF(F267="","",IF(H267="SÍ",'Configuración'!$C$6,0))</f>
        <v/>
      </c>
      <c r="K267" s="2" t="str">
        <f t="shared" si="12"/>
        <v/>
      </c>
      <c r="L267" s="2" t="str">
        <f t="shared" si="17"/>
        <v/>
      </c>
      <c r="M267" s="2" t="str">
        <f t="shared" si="18"/>
        <v/>
      </c>
      <c r="N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5.75" customHeight="1">
      <c r="A268" s="2">
        <v>163.0</v>
      </c>
      <c r="B268" s="2"/>
      <c r="C268" s="2"/>
      <c r="D268" s="2" t="str">
        <f>IFERROR(VLOOKUP(C268,'Catálogo Productos'!$B$3:$E$200,2,0),"")</f>
        <v/>
      </c>
      <c r="E268" s="2" t="str">
        <f>IFERROR(VLOOKUP(C268,'Catálogo Productos'!$B$3:$E$200,3,0),"")</f>
        <v/>
      </c>
      <c r="F268" s="2" t="str">
        <f>IFERROR(VLOOKUP(C268,'Catálogo Productos'!$B$3:$E$200,4,0),"")</f>
        <v/>
      </c>
      <c r="G268" s="2" t="str">
        <f>IF(F268="","",IF(I268="SÍ",F268*'Configuración'!$C$5,0))</f>
        <v/>
      </c>
      <c r="H268" s="2"/>
      <c r="I268" s="2"/>
      <c r="J268" s="2" t="str">
        <f>IF(F268="","",IF(H268="SÍ",'Configuración'!$C$6,0))</f>
        <v/>
      </c>
      <c r="K268" s="2" t="str">
        <f t="shared" si="12"/>
        <v/>
      </c>
      <c r="L268" s="2" t="str">
        <f t="shared" si="17"/>
        <v/>
      </c>
      <c r="M268" s="2" t="str">
        <f t="shared" si="18"/>
        <v/>
      </c>
      <c r="N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5.75" customHeight="1">
      <c r="A269" s="2">
        <v>164.0</v>
      </c>
      <c r="B269" s="2"/>
      <c r="C269" s="2"/>
      <c r="D269" s="2" t="str">
        <f>IFERROR(VLOOKUP(C269,'Catálogo Productos'!$B$3:$E$200,2,0),"")</f>
        <v/>
      </c>
      <c r="E269" s="2" t="str">
        <f>IFERROR(VLOOKUP(C269,'Catálogo Productos'!$B$3:$E$200,3,0),"")</f>
        <v/>
      </c>
      <c r="F269" s="2" t="str">
        <f>IFERROR(VLOOKUP(C269,'Catálogo Productos'!$B$3:$E$200,4,0),"")</f>
        <v/>
      </c>
      <c r="G269" s="2" t="str">
        <f>IF(F269="","",IF(I269="SÍ",F269*'Configuración'!$C$5,0))</f>
        <v/>
      </c>
      <c r="H269" s="2"/>
      <c r="I269" s="2"/>
      <c r="J269" s="2" t="str">
        <f>IF(F269="","",IF(H269="SÍ",'Configuración'!$C$6,0))</f>
        <v/>
      </c>
      <c r="K269" s="2" t="str">
        <f t="shared" si="12"/>
        <v/>
      </c>
      <c r="L269" s="2" t="str">
        <f t="shared" si="17"/>
        <v/>
      </c>
      <c r="M269" s="2" t="str">
        <f t="shared" si="18"/>
        <v/>
      </c>
      <c r="N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5.75" customHeight="1">
      <c r="A270" s="2">
        <v>165.0</v>
      </c>
      <c r="B270" s="2"/>
      <c r="C270" s="2"/>
      <c r="D270" s="2" t="str">
        <f>IFERROR(VLOOKUP(C270,'Catálogo Productos'!$B$3:$E$200,2,0),"")</f>
        <v/>
      </c>
      <c r="E270" s="2" t="str">
        <f>IFERROR(VLOOKUP(C270,'Catálogo Productos'!$B$3:$E$200,3,0),"")</f>
        <v/>
      </c>
      <c r="F270" s="2" t="str">
        <f>IFERROR(VLOOKUP(C270,'Catálogo Productos'!$B$3:$E$200,4,0),"")</f>
        <v/>
      </c>
      <c r="G270" s="2" t="str">
        <f>IF(F270="","",IF(I270="SÍ",F270*'Configuración'!$C$5,0))</f>
        <v/>
      </c>
      <c r="H270" s="2"/>
      <c r="I270" s="2"/>
      <c r="J270" s="2" t="str">
        <f>IF(F270="","",IF(H270="SÍ",'Configuración'!$C$6,0))</f>
        <v/>
      </c>
      <c r="K270" s="2" t="str">
        <f t="shared" si="12"/>
        <v/>
      </c>
      <c r="L270" s="2" t="str">
        <f t="shared" si="17"/>
        <v/>
      </c>
      <c r="M270" s="2" t="str">
        <f t="shared" si="18"/>
        <v/>
      </c>
      <c r="N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5.75" customHeight="1">
      <c r="A271" s="2">
        <v>166.0</v>
      </c>
      <c r="B271" s="2"/>
      <c r="C271" s="2"/>
      <c r="D271" s="2" t="str">
        <f>IFERROR(VLOOKUP(C271,'Catálogo Productos'!$B$3:$E$200,2,0),"")</f>
        <v/>
      </c>
      <c r="E271" s="2" t="str">
        <f>IFERROR(VLOOKUP(C271,'Catálogo Productos'!$B$3:$E$200,3,0),"")</f>
        <v/>
      </c>
      <c r="F271" s="2" t="str">
        <f>IFERROR(VLOOKUP(C271,'Catálogo Productos'!$B$3:$E$200,4,0),"")</f>
        <v/>
      </c>
      <c r="G271" s="2" t="str">
        <f>IF(F271="","",IF(I271="SÍ",F271*'Configuración'!$C$5,0))</f>
        <v/>
      </c>
      <c r="H271" s="2"/>
      <c r="I271" s="2"/>
      <c r="J271" s="2" t="str">
        <f>IF(F271="","",IF(H271="SÍ",'Configuración'!$C$6,0))</f>
        <v/>
      </c>
      <c r="K271" s="2" t="str">
        <f t="shared" si="12"/>
        <v/>
      </c>
      <c r="L271" s="2" t="str">
        <f t="shared" si="17"/>
        <v/>
      </c>
      <c r="M271" s="2" t="str">
        <f t="shared" si="18"/>
        <v/>
      </c>
      <c r="N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5.75" customHeight="1">
      <c r="A272" s="2">
        <v>167.0</v>
      </c>
      <c r="B272" s="2"/>
      <c r="C272" s="2"/>
      <c r="D272" s="2" t="str">
        <f>IFERROR(VLOOKUP(C272,'Catálogo Productos'!$B$3:$E$200,2,0),"")</f>
        <v/>
      </c>
      <c r="E272" s="2" t="str">
        <f>IFERROR(VLOOKUP(C272,'Catálogo Productos'!$B$3:$E$200,3,0),"")</f>
        <v/>
      </c>
      <c r="F272" s="2" t="str">
        <f>IFERROR(VLOOKUP(C272,'Catálogo Productos'!$B$3:$E$200,4,0),"")</f>
        <v/>
      </c>
      <c r="G272" s="2" t="str">
        <f>IF(F272="","",IF(I272="SÍ",F272*'Configuración'!$C$5,0))</f>
        <v/>
      </c>
      <c r="H272" s="2"/>
      <c r="I272" s="2"/>
      <c r="J272" s="2" t="str">
        <f>IF(F272="","",IF(H272="SÍ",'Configuración'!$C$6,0))</f>
        <v/>
      </c>
      <c r="K272" s="2" t="str">
        <f t="shared" si="12"/>
        <v/>
      </c>
      <c r="L272" s="2" t="str">
        <f t="shared" si="17"/>
        <v/>
      </c>
      <c r="M272" s="2" t="str">
        <f t="shared" si="18"/>
        <v/>
      </c>
      <c r="N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5.75" customHeight="1">
      <c r="A273" s="2">
        <v>168.0</v>
      </c>
      <c r="B273" s="2"/>
      <c r="C273" s="2"/>
      <c r="D273" s="2" t="str">
        <f>IFERROR(VLOOKUP(C273,'Catálogo Productos'!$B$3:$E$200,2,0),"")</f>
        <v/>
      </c>
      <c r="E273" s="2" t="str">
        <f>IFERROR(VLOOKUP(C273,'Catálogo Productos'!$B$3:$E$200,3,0),"")</f>
        <v/>
      </c>
      <c r="F273" s="2" t="str">
        <f>IFERROR(VLOOKUP(C273,'Catálogo Productos'!$B$3:$E$200,4,0),"")</f>
        <v/>
      </c>
      <c r="G273" s="2" t="str">
        <f>IF(F273="","",IF(I273="SÍ",F273*'Configuración'!$C$5,0))</f>
        <v/>
      </c>
      <c r="H273" s="2"/>
      <c r="I273" s="2"/>
      <c r="J273" s="2" t="str">
        <f>IF(F273="","",IF(H273="SÍ",'Configuración'!$C$6,0))</f>
        <v/>
      </c>
      <c r="K273" s="2" t="str">
        <f t="shared" si="12"/>
        <v/>
      </c>
      <c r="L273" s="2" t="str">
        <f t="shared" si="17"/>
        <v/>
      </c>
      <c r="M273" s="2" t="str">
        <f t="shared" si="18"/>
        <v/>
      </c>
      <c r="N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5.75" customHeight="1">
      <c r="A274" s="2">
        <v>169.0</v>
      </c>
      <c r="B274" s="2"/>
      <c r="C274" s="2"/>
      <c r="D274" s="2" t="str">
        <f>IFERROR(VLOOKUP(C274,'Catálogo Productos'!$B$3:$E$200,2,0),"")</f>
        <v/>
      </c>
      <c r="E274" s="2" t="str">
        <f>IFERROR(VLOOKUP(C274,'Catálogo Productos'!$B$3:$E$200,3,0),"")</f>
        <v/>
      </c>
      <c r="F274" s="2" t="str">
        <f>IFERROR(VLOOKUP(C274,'Catálogo Productos'!$B$3:$E$200,4,0),"")</f>
        <v/>
      </c>
      <c r="G274" s="2" t="str">
        <f>IF(F274="","",IF(I274="SÍ",F274*'Configuración'!$C$5,0))</f>
        <v/>
      </c>
      <c r="H274" s="2"/>
      <c r="I274" s="2"/>
      <c r="J274" s="2" t="str">
        <f>IF(F274="","",IF(H274="SÍ",'Configuración'!$C$6,0))</f>
        <v/>
      </c>
      <c r="K274" s="2" t="str">
        <f t="shared" si="12"/>
        <v/>
      </c>
      <c r="L274" s="2" t="str">
        <f t="shared" si="17"/>
        <v/>
      </c>
      <c r="M274" s="2" t="str">
        <f t="shared" si="18"/>
        <v/>
      </c>
      <c r="N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5.75" customHeight="1">
      <c r="A275" s="2">
        <v>170.0</v>
      </c>
      <c r="B275" s="2"/>
      <c r="C275" s="2"/>
      <c r="D275" s="2" t="str">
        <f>IFERROR(VLOOKUP(C275,'Catálogo Productos'!$B$3:$E$200,2,0),"")</f>
        <v/>
      </c>
      <c r="E275" s="2" t="str">
        <f>IFERROR(VLOOKUP(C275,'Catálogo Productos'!$B$3:$E$200,3,0),"")</f>
        <v/>
      </c>
      <c r="F275" s="2" t="str">
        <f>IFERROR(VLOOKUP(C275,'Catálogo Productos'!$B$3:$E$200,4,0),"")</f>
        <v/>
      </c>
      <c r="G275" s="2" t="str">
        <f>IF(F275="","",IF(I275="SÍ",F275*'Configuración'!$C$5,0))</f>
        <v/>
      </c>
      <c r="H275" s="2"/>
      <c r="I275" s="2"/>
      <c r="J275" s="2" t="str">
        <f>IF(F275="","",IF(H275="SÍ",'Configuración'!$C$6,0))</f>
        <v/>
      </c>
      <c r="K275" s="2" t="str">
        <f t="shared" si="12"/>
        <v/>
      </c>
      <c r="L275" s="2" t="str">
        <f t="shared" si="17"/>
        <v/>
      </c>
      <c r="M275" s="2" t="str">
        <f t="shared" si="18"/>
        <v/>
      </c>
      <c r="N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5.75" customHeight="1">
      <c r="A276" s="2">
        <v>171.0</v>
      </c>
      <c r="B276" s="2"/>
      <c r="C276" s="2"/>
      <c r="D276" s="2" t="str">
        <f>IFERROR(VLOOKUP(C276,'Catálogo Productos'!$B$3:$E$200,2,0),"")</f>
        <v/>
      </c>
      <c r="E276" s="2" t="str">
        <f>IFERROR(VLOOKUP(C276,'Catálogo Productos'!$B$3:$E$200,3,0),"")</f>
        <v/>
      </c>
      <c r="F276" s="2" t="str">
        <f>IFERROR(VLOOKUP(C276,'Catálogo Productos'!$B$3:$E$200,4,0),"")</f>
        <v/>
      </c>
      <c r="G276" s="2" t="str">
        <f>IF(F276="","",IF(I276="SÍ",F276*'Configuración'!$C$5,0))</f>
        <v/>
      </c>
      <c r="H276" s="2"/>
      <c r="I276" s="2"/>
      <c r="J276" s="2" t="str">
        <f>IF(F276="","",IF(H276="SÍ",'Configuración'!$C$6,0))</f>
        <v/>
      </c>
      <c r="K276" s="2" t="str">
        <f t="shared" si="12"/>
        <v/>
      </c>
      <c r="L276" s="2" t="str">
        <f t="shared" si="17"/>
        <v/>
      </c>
      <c r="M276" s="2" t="str">
        <f t="shared" si="18"/>
        <v/>
      </c>
      <c r="N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5.75" customHeight="1">
      <c r="A277" s="2">
        <v>172.0</v>
      </c>
      <c r="B277" s="2"/>
      <c r="C277" s="2"/>
      <c r="D277" s="2" t="str">
        <f>IFERROR(VLOOKUP(C277,'Catálogo Productos'!$B$3:$E$200,2,0),"")</f>
        <v/>
      </c>
      <c r="E277" s="2" t="str">
        <f>IFERROR(VLOOKUP(C277,'Catálogo Productos'!$B$3:$E$200,3,0),"")</f>
        <v/>
      </c>
      <c r="F277" s="2" t="str">
        <f>IFERROR(VLOOKUP(C277,'Catálogo Productos'!$B$3:$E$200,4,0),"")</f>
        <v/>
      </c>
      <c r="G277" s="2" t="str">
        <f>IF(F277="","",IF(I277="SÍ",F277*'Configuración'!$C$5,0))</f>
        <v/>
      </c>
      <c r="H277" s="2"/>
      <c r="I277" s="2"/>
      <c r="J277" s="2" t="str">
        <f>IF(F277="","",IF(H277="SÍ",'Configuración'!$C$6,0))</f>
        <v/>
      </c>
      <c r="K277" s="2" t="str">
        <f t="shared" si="12"/>
        <v/>
      </c>
      <c r="L277" s="2" t="str">
        <f t="shared" si="17"/>
        <v/>
      </c>
      <c r="M277" s="2" t="str">
        <f t="shared" si="18"/>
        <v/>
      </c>
      <c r="N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5.75" customHeight="1">
      <c r="A278" s="2">
        <v>173.0</v>
      </c>
      <c r="B278" s="2"/>
      <c r="C278" s="2"/>
      <c r="D278" s="2" t="str">
        <f>IFERROR(VLOOKUP(C278,'Catálogo Productos'!$B$3:$E$200,2,0),"")</f>
        <v/>
      </c>
      <c r="E278" s="2" t="str">
        <f>IFERROR(VLOOKUP(C278,'Catálogo Productos'!$B$3:$E$200,3,0),"")</f>
        <v/>
      </c>
      <c r="F278" s="2" t="str">
        <f>IFERROR(VLOOKUP(C278,'Catálogo Productos'!$B$3:$E$200,4,0),"")</f>
        <v/>
      </c>
      <c r="G278" s="2" t="str">
        <f>IF(F278="","",IF(I278="SÍ",F278*'Configuración'!$C$5,0))</f>
        <v/>
      </c>
      <c r="H278" s="2"/>
      <c r="I278" s="2"/>
      <c r="J278" s="2" t="str">
        <f>IF(F278="","",IF(H278="SÍ",'Configuración'!$C$6,0))</f>
        <v/>
      </c>
      <c r="K278" s="2" t="str">
        <f t="shared" si="12"/>
        <v/>
      </c>
      <c r="L278" s="2" t="str">
        <f t="shared" si="17"/>
        <v/>
      </c>
      <c r="M278" s="2" t="str">
        <f t="shared" si="18"/>
        <v/>
      </c>
      <c r="N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5.75" customHeight="1">
      <c r="A279" s="2">
        <v>174.0</v>
      </c>
      <c r="B279" s="2"/>
      <c r="C279" s="2"/>
      <c r="D279" s="2" t="str">
        <f>IFERROR(VLOOKUP(C279,'Catálogo Productos'!$B$3:$E$200,2,0),"")</f>
        <v/>
      </c>
      <c r="E279" s="2" t="str">
        <f>IFERROR(VLOOKUP(C279,'Catálogo Productos'!$B$3:$E$200,3,0),"")</f>
        <v/>
      </c>
      <c r="F279" s="2" t="str">
        <f>IFERROR(VLOOKUP(C279,'Catálogo Productos'!$B$3:$E$200,4,0),"")</f>
        <v/>
      </c>
      <c r="G279" s="2" t="str">
        <f>IF(F279="","",IF(I279="SÍ",F279*'Configuración'!$C$5,0))</f>
        <v/>
      </c>
      <c r="H279" s="2"/>
      <c r="I279" s="2"/>
      <c r="J279" s="2" t="str">
        <f>IF(F279="","",IF(H279="SÍ",'Configuración'!$C$6,0))</f>
        <v/>
      </c>
      <c r="K279" s="2" t="str">
        <f t="shared" si="12"/>
        <v/>
      </c>
      <c r="L279" s="2" t="str">
        <f t="shared" si="17"/>
        <v/>
      </c>
      <c r="M279" s="2" t="str">
        <f t="shared" si="18"/>
        <v/>
      </c>
      <c r="N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5.75" customHeight="1">
      <c r="A280" s="2">
        <v>175.0</v>
      </c>
      <c r="B280" s="2"/>
      <c r="C280" s="2"/>
      <c r="D280" s="2" t="str">
        <f>IFERROR(VLOOKUP(C280,'Catálogo Productos'!$B$3:$E$200,2,0),"")</f>
        <v/>
      </c>
      <c r="E280" s="2" t="str">
        <f>IFERROR(VLOOKUP(C280,'Catálogo Productos'!$B$3:$E$200,3,0),"")</f>
        <v/>
      </c>
      <c r="F280" s="2" t="str">
        <f>IFERROR(VLOOKUP(C280,'Catálogo Productos'!$B$3:$E$200,4,0),"")</f>
        <v/>
      </c>
      <c r="G280" s="2" t="str">
        <f>IF(F280="","",IF(I280="SÍ",F280*'Configuración'!$C$5,0))</f>
        <v/>
      </c>
      <c r="H280" s="2"/>
      <c r="I280" s="2"/>
      <c r="J280" s="2" t="str">
        <f>IF(F280="","",IF(H280="SÍ",'Configuración'!$C$6,0))</f>
        <v/>
      </c>
      <c r="K280" s="2" t="str">
        <f t="shared" si="12"/>
        <v/>
      </c>
      <c r="L280" s="2" t="str">
        <f t="shared" si="17"/>
        <v/>
      </c>
      <c r="M280" s="2" t="str">
        <f t="shared" si="18"/>
        <v/>
      </c>
      <c r="N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5.75" customHeight="1">
      <c r="A281" s="2">
        <v>176.0</v>
      </c>
      <c r="B281" s="2"/>
      <c r="C281" s="2"/>
      <c r="D281" s="2" t="str">
        <f>IFERROR(VLOOKUP(C281,'Catálogo Productos'!$B$3:$E$200,2,0),"")</f>
        <v/>
      </c>
      <c r="E281" s="2" t="str">
        <f>IFERROR(VLOOKUP(C281,'Catálogo Productos'!$B$3:$E$200,3,0),"")</f>
        <v/>
      </c>
      <c r="F281" s="2" t="str">
        <f>IFERROR(VLOOKUP(C281,'Catálogo Productos'!$B$3:$E$200,4,0),"")</f>
        <v/>
      </c>
      <c r="G281" s="2" t="str">
        <f>IF(F281="","",IF(I281="SÍ",F281*'Configuración'!$C$5,0))</f>
        <v/>
      </c>
      <c r="H281" s="2"/>
      <c r="I281" s="2"/>
      <c r="J281" s="2" t="str">
        <f>IF(F281="","",IF(H281="SÍ",'Configuración'!$C$6,0))</f>
        <v/>
      </c>
      <c r="K281" s="2" t="str">
        <f t="shared" si="12"/>
        <v/>
      </c>
      <c r="L281" s="2" t="str">
        <f t="shared" si="17"/>
        <v/>
      </c>
      <c r="M281" s="2" t="str">
        <f t="shared" si="18"/>
        <v/>
      </c>
      <c r="N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5.75" customHeight="1">
      <c r="A282" s="2">
        <v>177.0</v>
      </c>
      <c r="B282" s="2"/>
      <c r="C282" s="2"/>
      <c r="D282" s="2" t="str">
        <f>IFERROR(VLOOKUP(C282,'Catálogo Productos'!$B$3:$E$200,2,0),"")</f>
        <v/>
      </c>
      <c r="E282" s="2" t="str">
        <f>IFERROR(VLOOKUP(C282,'Catálogo Productos'!$B$3:$E$200,3,0),"")</f>
        <v/>
      </c>
      <c r="F282" s="2" t="str">
        <f>IFERROR(VLOOKUP(C282,'Catálogo Productos'!$B$3:$E$200,4,0),"")</f>
        <v/>
      </c>
      <c r="G282" s="2" t="str">
        <f>IF(F282="","",IF(I282="SÍ",F282*'Configuración'!$C$5,0))</f>
        <v/>
      </c>
      <c r="H282" s="2"/>
      <c r="I282" s="2"/>
      <c r="J282" s="2" t="str">
        <f>IF(F282="","",IF(H282="SÍ",'Configuración'!$C$6,0))</f>
        <v/>
      </c>
      <c r="K282" s="2" t="str">
        <f t="shared" si="12"/>
        <v/>
      </c>
      <c r="L282" s="2" t="str">
        <f t="shared" si="17"/>
        <v/>
      </c>
      <c r="M282" s="2" t="str">
        <f t="shared" si="18"/>
        <v/>
      </c>
      <c r="N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5.75" customHeight="1">
      <c r="A283" s="2">
        <v>178.0</v>
      </c>
      <c r="B283" s="2"/>
      <c r="C283" s="2"/>
      <c r="D283" s="2" t="str">
        <f>IFERROR(VLOOKUP(C283,'Catálogo Productos'!$B$3:$E$200,2,0),"")</f>
        <v/>
      </c>
      <c r="E283" s="2" t="str">
        <f>IFERROR(VLOOKUP(C283,'Catálogo Productos'!$B$3:$E$200,3,0),"")</f>
        <v/>
      </c>
      <c r="F283" s="2" t="str">
        <f>IFERROR(VLOOKUP(C283,'Catálogo Productos'!$B$3:$E$200,4,0),"")</f>
        <v/>
      </c>
      <c r="G283" s="2" t="str">
        <f>IF(F283="","",IF(I283="SÍ",F283*'Configuración'!$C$5,0))</f>
        <v/>
      </c>
      <c r="H283" s="2"/>
      <c r="I283" s="2"/>
      <c r="J283" s="2" t="str">
        <f>IF(F283="","",IF(H283="SÍ",'Configuración'!$C$6,0))</f>
        <v/>
      </c>
      <c r="K283" s="2" t="str">
        <f t="shared" si="12"/>
        <v/>
      </c>
      <c r="L283" s="2" t="str">
        <f t="shared" si="17"/>
        <v/>
      </c>
      <c r="M283" s="2" t="str">
        <f t="shared" si="18"/>
        <v/>
      </c>
      <c r="N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5.75" customHeight="1">
      <c r="A284" s="2">
        <v>179.0</v>
      </c>
      <c r="B284" s="2"/>
      <c r="C284" s="2"/>
      <c r="D284" s="2" t="str">
        <f>IFERROR(VLOOKUP(C284,'Catálogo Productos'!$B$3:$E$200,2,0),"")</f>
        <v/>
      </c>
      <c r="E284" s="2" t="str">
        <f>IFERROR(VLOOKUP(C284,'Catálogo Productos'!$B$3:$E$200,3,0),"")</f>
        <v/>
      </c>
      <c r="F284" s="2" t="str">
        <f>IFERROR(VLOOKUP(C284,'Catálogo Productos'!$B$3:$E$200,4,0),"")</f>
        <v/>
      </c>
      <c r="G284" s="2" t="str">
        <f>IF(F284="","",IF(I284="SÍ",F284*'Configuración'!$C$5,0))</f>
        <v/>
      </c>
      <c r="H284" s="2"/>
      <c r="I284" s="2"/>
      <c r="J284" s="2" t="str">
        <f>IF(F284="","",IF(H284="SÍ",'Configuración'!$C$6,0))</f>
        <v/>
      </c>
      <c r="K284" s="2" t="str">
        <f t="shared" si="12"/>
        <v/>
      </c>
      <c r="L284" s="2" t="str">
        <f t="shared" si="17"/>
        <v/>
      </c>
      <c r="M284" s="2" t="str">
        <f t="shared" si="18"/>
        <v/>
      </c>
      <c r="N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5.75" customHeight="1">
      <c r="A285" s="2">
        <v>180.0</v>
      </c>
      <c r="B285" s="2"/>
      <c r="C285" s="2"/>
      <c r="D285" s="2" t="str">
        <f>IFERROR(VLOOKUP(C285,'Catálogo Productos'!$B$3:$E$200,2,0),"")</f>
        <v/>
      </c>
      <c r="E285" s="2" t="str">
        <f>IFERROR(VLOOKUP(C285,'Catálogo Productos'!$B$3:$E$200,3,0),"")</f>
        <v/>
      </c>
      <c r="F285" s="2" t="str">
        <f>IFERROR(VLOOKUP(C285,'Catálogo Productos'!$B$3:$E$200,4,0),"")</f>
        <v/>
      </c>
      <c r="G285" s="2" t="str">
        <f>IF(F285="","",IF(I285="SÍ",F285*'Configuración'!$C$5,0))</f>
        <v/>
      </c>
      <c r="H285" s="2"/>
      <c r="I285" s="2"/>
      <c r="J285" s="2" t="str">
        <f>IF(F285="","",IF(H285="SÍ",'Configuración'!$C$6,0))</f>
        <v/>
      </c>
      <c r="K285" s="2" t="str">
        <f t="shared" si="12"/>
        <v/>
      </c>
      <c r="L285" s="2" t="str">
        <f t="shared" si="17"/>
        <v/>
      </c>
      <c r="M285" s="2" t="str">
        <f t="shared" si="18"/>
        <v/>
      </c>
      <c r="N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5.75" customHeight="1">
      <c r="A286" s="2">
        <v>181.0</v>
      </c>
      <c r="B286" s="2"/>
      <c r="C286" s="2"/>
      <c r="D286" s="2" t="str">
        <f>IFERROR(VLOOKUP(C286,'Catálogo Productos'!$B$3:$E$200,2,0),"")</f>
        <v/>
      </c>
      <c r="E286" s="2" t="str">
        <f>IFERROR(VLOOKUP(C286,'Catálogo Productos'!$B$3:$E$200,3,0),"")</f>
        <v/>
      </c>
      <c r="F286" s="2" t="str">
        <f>IFERROR(VLOOKUP(C286,'Catálogo Productos'!$B$3:$E$200,4,0),"")</f>
        <v/>
      </c>
      <c r="G286" s="2" t="str">
        <f>IF(F286="","",IF(I286="SÍ",F286*'Configuración'!$C$5,0))</f>
        <v/>
      </c>
      <c r="H286" s="2"/>
      <c r="I286" s="2"/>
      <c r="J286" s="2" t="str">
        <f>IF(F286="","",IF(H286="SÍ",'Configuración'!$C$6,0))</f>
        <v/>
      </c>
      <c r="K286" s="2" t="str">
        <f t="shared" si="12"/>
        <v/>
      </c>
      <c r="L286" s="2" t="str">
        <f t="shared" si="17"/>
        <v/>
      </c>
      <c r="M286" s="2" t="str">
        <f t="shared" si="18"/>
        <v/>
      </c>
      <c r="N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5.75" customHeight="1">
      <c r="A287" s="2">
        <v>182.0</v>
      </c>
      <c r="B287" s="2"/>
      <c r="C287" s="2"/>
      <c r="D287" s="2" t="str">
        <f>IFERROR(VLOOKUP(C287,'Catálogo Productos'!$B$3:$E$200,2,0),"")</f>
        <v/>
      </c>
      <c r="E287" s="2" t="str">
        <f>IFERROR(VLOOKUP(C287,'Catálogo Productos'!$B$3:$E$200,3,0),"")</f>
        <v/>
      </c>
      <c r="F287" s="2" t="str">
        <f>IFERROR(VLOOKUP(C287,'Catálogo Productos'!$B$3:$E$200,4,0),"")</f>
        <v/>
      </c>
      <c r="G287" s="2" t="str">
        <f>IF(F287="","",IF(I287="SÍ",F287*'Configuración'!$C$5,0))</f>
        <v/>
      </c>
      <c r="H287" s="2"/>
      <c r="I287" s="2"/>
      <c r="J287" s="2" t="str">
        <f>IF(F287="","",IF(H287="SÍ",'Configuración'!$C$6,0))</f>
        <v/>
      </c>
      <c r="K287" s="2" t="str">
        <f t="shared" si="12"/>
        <v/>
      </c>
      <c r="L287" s="2" t="str">
        <f t="shared" si="17"/>
        <v/>
      </c>
      <c r="M287" s="2" t="str">
        <f t="shared" si="18"/>
        <v/>
      </c>
      <c r="N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5.75" customHeight="1">
      <c r="A288" s="2">
        <v>183.0</v>
      </c>
      <c r="B288" s="2"/>
      <c r="C288" s="2"/>
      <c r="D288" s="2" t="str">
        <f>IFERROR(VLOOKUP(C288,'Catálogo Productos'!$B$3:$E$200,2,0),"")</f>
        <v/>
      </c>
      <c r="E288" s="2" t="str">
        <f>IFERROR(VLOOKUP(C288,'Catálogo Productos'!$B$3:$E$200,3,0),"")</f>
        <v/>
      </c>
      <c r="F288" s="2" t="str">
        <f>IFERROR(VLOOKUP(C288,'Catálogo Productos'!$B$3:$E$200,4,0),"")</f>
        <v/>
      </c>
      <c r="G288" s="2" t="str">
        <f>IF(F288="","",IF(I288="SÍ",F288*'Configuración'!$C$5,0))</f>
        <v/>
      </c>
      <c r="H288" s="2"/>
      <c r="I288" s="2"/>
      <c r="J288" s="2" t="str">
        <f>IF(F288="","",IF(H288="SÍ",'Configuración'!$C$6,0))</f>
        <v/>
      </c>
      <c r="K288" s="2" t="str">
        <f t="shared" si="12"/>
        <v/>
      </c>
      <c r="L288" s="2" t="str">
        <f t="shared" si="17"/>
        <v/>
      </c>
      <c r="M288" s="2" t="str">
        <f t="shared" si="18"/>
        <v/>
      </c>
      <c r="N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5.75" customHeight="1">
      <c r="A289" s="2">
        <v>184.0</v>
      </c>
      <c r="B289" s="2"/>
      <c r="C289" s="2"/>
      <c r="D289" s="2" t="str">
        <f>IFERROR(VLOOKUP(C289,'Catálogo Productos'!$B$3:$E$200,2,0),"")</f>
        <v/>
      </c>
      <c r="E289" s="2" t="str">
        <f>IFERROR(VLOOKUP(C289,'Catálogo Productos'!$B$3:$E$200,3,0),"")</f>
        <v/>
      </c>
      <c r="F289" s="2" t="str">
        <f>IFERROR(VLOOKUP(C289,'Catálogo Productos'!$B$3:$E$200,4,0),"")</f>
        <v/>
      </c>
      <c r="G289" s="2" t="str">
        <f>IF(F289="","",IF(I289="SÍ",F289*'Configuración'!$C$5,0))</f>
        <v/>
      </c>
      <c r="H289" s="2"/>
      <c r="I289" s="2"/>
      <c r="J289" s="2" t="str">
        <f>IF(F289="","",IF(H289="SÍ",'Configuración'!$C$6,0))</f>
        <v/>
      </c>
      <c r="K289" s="2" t="str">
        <f t="shared" si="12"/>
        <v/>
      </c>
      <c r="L289" s="2" t="str">
        <f t="shared" si="17"/>
        <v/>
      </c>
      <c r="M289" s="2" t="str">
        <f t="shared" si="18"/>
        <v/>
      </c>
      <c r="N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5.75" customHeight="1">
      <c r="A290" s="2">
        <v>185.0</v>
      </c>
      <c r="B290" s="2"/>
      <c r="C290" s="2"/>
      <c r="D290" s="2" t="str">
        <f>IFERROR(VLOOKUP(C290,'Catálogo Productos'!$B$3:$E$200,2,0),"")</f>
        <v/>
      </c>
      <c r="E290" s="2" t="str">
        <f>IFERROR(VLOOKUP(C290,'Catálogo Productos'!$B$3:$E$200,3,0),"")</f>
        <v/>
      </c>
      <c r="F290" s="2" t="str">
        <f>IFERROR(VLOOKUP(C290,'Catálogo Productos'!$B$3:$E$200,4,0),"")</f>
        <v/>
      </c>
      <c r="G290" s="2" t="str">
        <f>IF(F290="","",IF(I290="SÍ",F290*'Configuración'!$C$5,0))</f>
        <v/>
      </c>
      <c r="H290" s="2"/>
      <c r="I290" s="2"/>
      <c r="J290" s="2" t="str">
        <f>IF(F290="","",IF(H290="SÍ",'Configuración'!$C$6,0))</f>
        <v/>
      </c>
      <c r="K290" s="2" t="str">
        <f t="shared" si="12"/>
        <v/>
      </c>
      <c r="L290" s="2" t="str">
        <f t="shared" si="17"/>
        <v/>
      </c>
      <c r="M290" s="2" t="str">
        <f t="shared" si="18"/>
        <v/>
      </c>
      <c r="N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5.75" customHeight="1">
      <c r="A291" s="2">
        <v>186.0</v>
      </c>
      <c r="B291" s="2"/>
      <c r="C291" s="2"/>
      <c r="D291" s="2" t="str">
        <f>IFERROR(VLOOKUP(C291,'Catálogo Productos'!$B$3:$E$200,2,0),"")</f>
        <v/>
      </c>
      <c r="E291" s="2" t="str">
        <f>IFERROR(VLOOKUP(C291,'Catálogo Productos'!$B$3:$E$200,3,0),"")</f>
        <v/>
      </c>
      <c r="F291" s="2" t="str">
        <f>IFERROR(VLOOKUP(C291,'Catálogo Productos'!$B$3:$E$200,4,0),"")</f>
        <v/>
      </c>
      <c r="G291" s="2" t="str">
        <f>IF(F291="","",IF(I291="SÍ",F291*'Configuración'!$C$5,0))</f>
        <v/>
      </c>
      <c r="H291" s="2"/>
      <c r="I291" s="2"/>
      <c r="J291" s="2" t="str">
        <f>IF(F291="","",IF(H291="SÍ",'Configuración'!$C$6,0))</f>
        <v/>
      </c>
      <c r="K291" s="2" t="str">
        <f t="shared" si="12"/>
        <v/>
      </c>
      <c r="L291" s="2" t="str">
        <f t="shared" si="17"/>
        <v/>
      </c>
      <c r="M291" s="2" t="str">
        <f t="shared" si="18"/>
        <v/>
      </c>
      <c r="N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5.75" customHeight="1">
      <c r="A292" s="2">
        <v>187.0</v>
      </c>
      <c r="B292" s="2"/>
      <c r="C292" s="2"/>
      <c r="D292" s="2" t="str">
        <f>IFERROR(VLOOKUP(C292,'Catálogo Productos'!$B$3:$E$200,2,0),"")</f>
        <v/>
      </c>
      <c r="E292" s="2" t="str">
        <f>IFERROR(VLOOKUP(C292,'Catálogo Productos'!$B$3:$E$200,3,0),"")</f>
        <v/>
      </c>
      <c r="F292" s="2" t="str">
        <f>IFERROR(VLOOKUP(C292,'Catálogo Productos'!$B$3:$E$200,4,0),"")</f>
        <v/>
      </c>
      <c r="G292" s="2" t="str">
        <f>IF(F292="","",IF(I292="SÍ",F292*'Configuración'!$C$5,0))</f>
        <v/>
      </c>
      <c r="H292" s="2"/>
      <c r="I292" s="2"/>
      <c r="J292" s="2" t="str">
        <f>IF(F292="","",IF(H292="SÍ",'Configuración'!$C$6,0))</f>
        <v/>
      </c>
      <c r="K292" s="2" t="str">
        <f t="shared" si="12"/>
        <v/>
      </c>
      <c r="L292" s="2" t="str">
        <f t="shared" si="17"/>
        <v/>
      </c>
      <c r="M292" s="2" t="str">
        <f t="shared" si="18"/>
        <v/>
      </c>
      <c r="N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5.75" customHeight="1">
      <c r="A293" s="2">
        <v>188.0</v>
      </c>
      <c r="B293" s="2"/>
      <c r="C293" s="2"/>
      <c r="D293" s="2" t="str">
        <f>IFERROR(VLOOKUP(C293,'Catálogo Productos'!$B$3:$E$200,2,0),"")</f>
        <v/>
      </c>
      <c r="E293" s="2" t="str">
        <f>IFERROR(VLOOKUP(C293,'Catálogo Productos'!$B$3:$E$200,3,0),"")</f>
        <v/>
      </c>
      <c r="F293" s="2" t="str">
        <f>IFERROR(VLOOKUP(C293,'Catálogo Productos'!$B$3:$E$200,4,0),"")</f>
        <v/>
      </c>
      <c r="G293" s="2" t="str">
        <f>IF(F293="","",IF(I293="SÍ",F293*'Configuración'!$C$5,0))</f>
        <v/>
      </c>
      <c r="H293" s="2"/>
      <c r="I293" s="2"/>
      <c r="J293" s="2" t="str">
        <f>IF(F293="","",IF(H293="SÍ",'Configuración'!$C$6,0))</f>
        <v/>
      </c>
      <c r="K293" s="2" t="str">
        <f t="shared" si="12"/>
        <v/>
      </c>
      <c r="L293" s="2" t="str">
        <f t="shared" si="17"/>
        <v/>
      </c>
      <c r="M293" s="2" t="str">
        <f t="shared" si="18"/>
        <v/>
      </c>
      <c r="N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5.75" customHeight="1">
      <c r="A294" s="2">
        <v>189.0</v>
      </c>
      <c r="B294" s="2"/>
      <c r="C294" s="2"/>
      <c r="D294" s="2" t="str">
        <f>IFERROR(VLOOKUP(C294,'Catálogo Productos'!$B$3:$E$200,2,0),"")</f>
        <v/>
      </c>
      <c r="E294" s="2" t="str">
        <f>IFERROR(VLOOKUP(C294,'Catálogo Productos'!$B$3:$E$200,3,0),"")</f>
        <v/>
      </c>
      <c r="F294" s="2" t="str">
        <f>IFERROR(VLOOKUP(C294,'Catálogo Productos'!$B$3:$E$200,4,0),"")</f>
        <v/>
      </c>
      <c r="G294" s="2" t="str">
        <f>IF(F294="","",IF(I294="SÍ",F294*'Configuración'!$C$5,0))</f>
        <v/>
      </c>
      <c r="H294" s="2"/>
      <c r="I294" s="2"/>
      <c r="J294" s="2" t="str">
        <f>IF(F294="","",IF(H294="SÍ",'Configuración'!$C$6,0))</f>
        <v/>
      </c>
      <c r="K294" s="2" t="str">
        <f t="shared" si="12"/>
        <v/>
      </c>
      <c r="L294" s="2" t="str">
        <f t="shared" si="17"/>
        <v/>
      </c>
      <c r="M294" s="2" t="str">
        <f t="shared" si="18"/>
        <v/>
      </c>
      <c r="N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5.75" customHeight="1">
      <c r="A295" s="2">
        <v>190.0</v>
      </c>
      <c r="B295" s="2"/>
      <c r="C295" s="2"/>
      <c r="D295" s="2" t="str">
        <f>IFERROR(VLOOKUP(C295,'Catálogo Productos'!$B$3:$E$200,2,0),"")</f>
        <v/>
      </c>
      <c r="E295" s="2" t="str">
        <f>IFERROR(VLOOKUP(C295,'Catálogo Productos'!$B$3:$E$200,3,0),"")</f>
        <v/>
      </c>
      <c r="F295" s="2" t="str">
        <f>IFERROR(VLOOKUP(C295,'Catálogo Productos'!$B$3:$E$200,4,0),"")</f>
        <v/>
      </c>
      <c r="G295" s="2" t="str">
        <f>IF(F295="","",IF(I295="SÍ",F295*'Configuración'!$C$5,0))</f>
        <v/>
      </c>
      <c r="H295" s="2"/>
      <c r="I295" s="2"/>
      <c r="J295" s="2" t="str">
        <f>IF(F295="","",IF(H295="SÍ",'Configuración'!$C$6,0))</f>
        <v/>
      </c>
      <c r="K295" s="2" t="str">
        <f t="shared" si="12"/>
        <v/>
      </c>
      <c r="L295" s="2" t="str">
        <f t="shared" si="17"/>
        <v/>
      </c>
      <c r="M295" s="2" t="str">
        <f t="shared" si="18"/>
        <v/>
      </c>
      <c r="N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5.75" customHeight="1">
      <c r="A296" s="2">
        <v>191.0</v>
      </c>
      <c r="B296" s="2"/>
      <c r="C296" s="2"/>
      <c r="D296" s="2" t="str">
        <f>IFERROR(VLOOKUP(C296,'Catálogo Productos'!$B$3:$E$200,2,0),"")</f>
        <v/>
      </c>
      <c r="E296" s="2" t="str">
        <f>IFERROR(VLOOKUP(C296,'Catálogo Productos'!$B$3:$E$200,3,0),"")</f>
        <v/>
      </c>
      <c r="F296" s="2" t="str">
        <f>IFERROR(VLOOKUP(C296,'Catálogo Productos'!$B$3:$E$200,4,0),"")</f>
        <v/>
      </c>
      <c r="G296" s="2" t="str">
        <f>IF(F296="","",IF(I296="SÍ",F296*'Configuración'!$C$5,0))</f>
        <v/>
      </c>
      <c r="H296" s="2"/>
      <c r="I296" s="2"/>
      <c r="J296" s="2" t="str">
        <f>IF(F296="","",IF(H296="SÍ",'Configuración'!$C$6,0))</f>
        <v/>
      </c>
      <c r="K296" s="2" t="str">
        <f t="shared" si="12"/>
        <v/>
      </c>
      <c r="L296" s="2" t="str">
        <f t="shared" si="17"/>
        <v/>
      </c>
      <c r="M296" s="2" t="str">
        <f t="shared" si="18"/>
        <v/>
      </c>
      <c r="N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5.75" customHeight="1">
      <c r="A297" s="2">
        <v>192.0</v>
      </c>
      <c r="B297" s="2"/>
      <c r="C297" s="2"/>
      <c r="D297" s="2" t="str">
        <f>IFERROR(VLOOKUP(C297,'Catálogo Productos'!$B$3:$E$200,2,0),"")</f>
        <v/>
      </c>
      <c r="E297" s="2" t="str">
        <f>IFERROR(VLOOKUP(C297,'Catálogo Productos'!$B$3:$E$200,3,0),"")</f>
        <v/>
      </c>
      <c r="F297" s="2" t="str">
        <f>IFERROR(VLOOKUP(C297,'Catálogo Productos'!$B$3:$E$200,4,0),"")</f>
        <v/>
      </c>
      <c r="G297" s="2" t="str">
        <f>IF(F297="","",IF(I297="SÍ",F297*'Configuración'!$C$5,0))</f>
        <v/>
      </c>
      <c r="H297" s="2"/>
      <c r="I297" s="2"/>
      <c r="J297" s="2" t="str">
        <f>IF(F297="","",IF(H297="SÍ",'Configuración'!$C$6,0))</f>
        <v/>
      </c>
      <c r="K297" s="2" t="str">
        <f t="shared" si="12"/>
        <v/>
      </c>
      <c r="L297" s="2" t="str">
        <f t="shared" si="17"/>
        <v/>
      </c>
      <c r="M297" s="2" t="str">
        <f t="shared" si="18"/>
        <v/>
      </c>
      <c r="N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5.75" customHeight="1">
      <c r="A298" s="2">
        <v>193.0</v>
      </c>
      <c r="B298" s="2"/>
      <c r="C298" s="2"/>
      <c r="D298" s="2" t="str">
        <f>IFERROR(VLOOKUP(C298,'Catálogo Productos'!$B$3:$E$200,2,0),"")</f>
        <v/>
      </c>
      <c r="E298" s="2" t="str">
        <f>IFERROR(VLOOKUP(C298,'Catálogo Productos'!$B$3:$E$200,3,0),"")</f>
        <v/>
      </c>
      <c r="F298" s="2" t="str">
        <f>IFERROR(VLOOKUP(C298,'Catálogo Productos'!$B$3:$E$200,4,0),"")</f>
        <v/>
      </c>
      <c r="G298" s="2" t="str">
        <f>IF(F298="","",IF(I298="SÍ",F298*'Configuración'!$C$5,0))</f>
        <v/>
      </c>
      <c r="H298" s="2"/>
      <c r="I298" s="2"/>
      <c r="J298" s="2" t="str">
        <f>IF(F298="","",IF(H298="SÍ",'Configuración'!$C$6,0))</f>
        <v/>
      </c>
      <c r="K298" s="2" t="str">
        <f t="shared" si="12"/>
        <v/>
      </c>
      <c r="L298" s="2" t="str">
        <f t="shared" si="17"/>
        <v/>
      </c>
      <c r="M298" s="2" t="str">
        <f t="shared" si="18"/>
        <v/>
      </c>
      <c r="N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5.75" customHeight="1">
      <c r="A299" s="2">
        <v>194.0</v>
      </c>
      <c r="B299" s="2"/>
      <c r="C299" s="2"/>
      <c r="D299" s="2" t="str">
        <f>IFERROR(VLOOKUP(C299,'Catálogo Productos'!$B$3:$E$200,2,0),"")</f>
        <v/>
      </c>
      <c r="E299" s="2" t="str">
        <f>IFERROR(VLOOKUP(C299,'Catálogo Productos'!$B$3:$E$200,3,0),"")</f>
        <v/>
      </c>
      <c r="F299" s="2" t="str">
        <f>IFERROR(VLOOKUP(C299,'Catálogo Productos'!$B$3:$E$200,4,0),"")</f>
        <v/>
      </c>
      <c r="G299" s="2" t="str">
        <f>IF(F299="","",IF(I299="SÍ",F299*'Configuración'!$C$5,0))</f>
        <v/>
      </c>
      <c r="H299" s="2"/>
      <c r="I299" s="2"/>
      <c r="J299" s="2" t="str">
        <f>IF(F299="","",IF(H299="SÍ",'Configuración'!$C$6,0))</f>
        <v/>
      </c>
      <c r="K299" s="2" t="str">
        <f t="shared" si="12"/>
        <v/>
      </c>
      <c r="L299" s="2" t="str">
        <f t="shared" si="17"/>
        <v/>
      </c>
      <c r="M299" s="2" t="str">
        <f t="shared" si="18"/>
        <v/>
      </c>
      <c r="N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5.75" customHeight="1">
      <c r="A300" s="2">
        <v>195.0</v>
      </c>
      <c r="B300" s="2"/>
      <c r="C300" s="2"/>
      <c r="D300" s="2" t="str">
        <f>IFERROR(VLOOKUP(C300,'Catálogo Productos'!$B$3:$E$200,2,0),"")</f>
        <v/>
      </c>
      <c r="E300" s="2" t="str">
        <f>IFERROR(VLOOKUP(C300,'Catálogo Productos'!$B$3:$E$200,3,0),"")</f>
        <v/>
      </c>
      <c r="F300" s="2" t="str">
        <f>IFERROR(VLOOKUP(C300,'Catálogo Productos'!$B$3:$E$200,4,0),"")</f>
        <v/>
      </c>
      <c r="G300" s="2" t="str">
        <f>IF(F300="","",IF(I300="SÍ",F300*'Configuración'!$C$5,0))</f>
        <v/>
      </c>
      <c r="H300" s="2"/>
      <c r="I300" s="2"/>
      <c r="J300" s="2" t="str">
        <f>IF(F300="","",IF(H300="SÍ",'Configuración'!$C$6,0))</f>
        <v/>
      </c>
      <c r="K300" s="2" t="str">
        <f t="shared" si="12"/>
        <v/>
      </c>
      <c r="L300" s="2" t="str">
        <f t="shared" si="17"/>
        <v/>
      </c>
      <c r="M300" s="2" t="str">
        <f t="shared" si="18"/>
        <v/>
      </c>
      <c r="N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5.75" customHeight="1">
      <c r="A301" s="2">
        <v>196.0</v>
      </c>
      <c r="B301" s="2"/>
      <c r="C301" s="2"/>
      <c r="D301" s="2" t="str">
        <f>IFERROR(VLOOKUP(C301,'Catálogo Productos'!$B$3:$E$200,2,0),"")</f>
        <v/>
      </c>
      <c r="E301" s="2" t="str">
        <f>IFERROR(VLOOKUP(C301,'Catálogo Productos'!$B$3:$E$200,3,0),"")</f>
        <v/>
      </c>
      <c r="F301" s="2" t="str">
        <f>IFERROR(VLOOKUP(C301,'Catálogo Productos'!$B$3:$E$200,4,0),"")</f>
        <v/>
      </c>
      <c r="G301" s="2" t="str">
        <f>IF(F301="","",IF(I301="SÍ",F301*'Configuración'!$C$5,0))</f>
        <v/>
      </c>
      <c r="H301" s="2"/>
      <c r="I301" s="2"/>
      <c r="J301" s="2" t="str">
        <f>IF(F301="","",IF(H301="SÍ",'Configuración'!$C$6,0))</f>
        <v/>
      </c>
      <c r="K301" s="2" t="str">
        <f t="shared" si="12"/>
        <v/>
      </c>
      <c r="L301" s="2" t="str">
        <f t="shared" si="17"/>
        <v/>
      </c>
      <c r="M301" s="2" t="str">
        <f t="shared" si="18"/>
        <v/>
      </c>
      <c r="N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5.75" customHeight="1">
      <c r="A302" s="2">
        <v>197.0</v>
      </c>
      <c r="B302" s="2"/>
      <c r="C302" s="2"/>
      <c r="D302" s="2" t="str">
        <f>IFERROR(VLOOKUP(C302,'Catálogo Productos'!$B$3:$E$200,2,0),"")</f>
        <v/>
      </c>
      <c r="E302" s="2" t="str">
        <f>IFERROR(VLOOKUP(C302,'Catálogo Productos'!$B$3:$E$200,3,0),"")</f>
        <v/>
      </c>
      <c r="F302" s="2" t="str">
        <f>IFERROR(VLOOKUP(C302,'Catálogo Productos'!$B$3:$E$200,4,0),"")</f>
        <v/>
      </c>
      <c r="G302" s="2" t="str">
        <f>IF(F302="","",IF(I302="SÍ",F302*'Configuración'!$C$5,0))</f>
        <v/>
      </c>
      <c r="H302" s="2"/>
      <c r="I302" s="2"/>
      <c r="J302" s="2" t="str">
        <f>IF(F302="","",IF(H302="SÍ",'Configuración'!$C$6,0))</f>
        <v/>
      </c>
      <c r="K302" s="2" t="str">
        <f t="shared" si="12"/>
        <v/>
      </c>
      <c r="L302" s="2" t="str">
        <f t="shared" si="17"/>
        <v/>
      </c>
      <c r="M302" s="2" t="str">
        <f t="shared" si="18"/>
        <v/>
      </c>
      <c r="N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5.75" customHeight="1">
      <c r="A303" s="2">
        <v>198.0</v>
      </c>
      <c r="B303" s="2"/>
      <c r="C303" s="2"/>
      <c r="D303" s="2" t="str">
        <f>IFERROR(VLOOKUP(C303,'Catálogo Productos'!$B$3:$E$200,2,0),"")</f>
        <v/>
      </c>
      <c r="E303" s="2" t="str">
        <f>IFERROR(VLOOKUP(C303,'Catálogo Productos'!$B$3:$E$200,3,0),"")</f>
        <v/>
      </c>
      <c r="F303" s="2" t="str">
        <f>IFERROR(VLOOKUP(C303,'Catálogo Productos'!$B$3:$E$200,4,0),"")</f>
        <v/>
      </c>
      <c r="G303" s="2" t="str">
        <f>IF(F303="","",IF(I303="SÍ",F303*'Configuración'!$C$5,0))</f>
        <v/>
      </c>
      <c r="H303" s="2"/>
      <c r="I303" s="2"/>
      <c r="J303" s="2" t="str">
        <f>IF(F303="","",IF(H303="SÍ",'Configuración'!$C$6,0))</f>
        <v/>
      </c>
      <c r="K303" s="2" t="str">
        <f t="shared" si="12"/>
        <v/>
      </c>
      <c r="L303" s="2" t="str">
        <f t="shared" si="17"/>
        <v/>
      </c>
      <c r="M303" s="2" t="str">
        <f t="shared" si="18"/>
        <v/>
      </c>
      <c r="N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5.75" customHeight="1">
      <c r="A304" s="2">
        <v>199.0</v>
      </c>
      <c r="B304" s="2"/>
      <c r="C304" s="2"/>
      <c r="D304" s="2" t="str">
        <f>IFERROR(VLOOKUP(C304,'Catálogo Productos'!$B$3:$E$200,2,0),"")</f>
        <v/>
      </c>
      <c r="E304" s="2" t="str">
        <f>IFERROR(VLOOKUP(C304,'Catálogo Productos'!$B$3:$E$200,3,0),"")</f>
        <v/>
      </c>
      <c r="F304" s="2" t="str">
        <f>IFERROR(VLOOKUP(C304,'Catálogo Productos'!$B$3:$E$200,4,0),"")</f>
        <v/>
      </c>
      <c r="G304" s="2" t="str">
        <f>IF(F304="","",IF(I304="SÍ",F304*'Configuración'!$C$5,0))</f>
        <v/>
      </c>
      <c r="H304" s="2"/>
      <c r="I304" s="2"/>
      <c r="J304" s="2" t="str">
        <f>IF(F304="","",IF(H304="SÍ",'Configuración'!$C$6,0))</f>
        <v/>
      </c>
      <c r="K304" s="2" t="str">
        <f t="shared" si="12"/>
        <v/>
      </c>
      <c r="L304" s="2" t="str">
        <f t="shared" si="17"/>
        <v/>
      </c>
      <c r="M304" s="2" t="str">
        <f t="shared" si="18"/>
        <v/>
      </c>
      <c r="N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5.75" customHeight="1">
      <c r="A305" s="2">
        <v>200.0</v>
      </c>
      <c r="B305" s="2"/>
      <c r="C305" s="2"/>
      <c r="D305" s="2" t="str">
        <f>IFERROR(VLOOKUP(C305,'Catálogo Productos'!$B$3:$E$200,2,0),"")</f>
        <v/>
      </c>
      <c r="E305" s="2" t="str">
        <f>IFERROR(VLOOKUP(C305,'Catálogo Productos'!$B$3:$E$200,3,0),"")</f>
        <v/>
      </c>
      <c r="F305" s="2" t="str">
        <f>IFERROR(VLOOKUP(C305,'Catálogo Productos'!$B$3:$E$200,4,0),"")</f>
        <v/>
      </c>
      <c r="G305" s="2" t="str">
        <f>IF(F305="","",IF(I305="SÍ",F305*'Configuración'!$C$5,0))</f>
        <v/>
      </c>
      <c r="H305" s="2"/>
      <c r="I305" s="2"/>
      <c r="J305" s="2" t="str">
        <f>IF(F305="","",IF(H305="SÍ",'Configuración'!$C$6,0))</f>
        <v/>
      </c>
      <c r="K305" s="2" t="str">
        <f t="shared" si="12"/>
        <v/>
      </c>
      <c r="L305" s="2" t="str">
        <f t="shared" si="17"/>
        <v/>
      </c>
      <c r="M305" s="2" t="str">
        <f t="shared" si="18"/>
        <v/>
      </c>
      <c r="N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</row>
    <row r="1001" ht="15.75" customHeight="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</row>
    <row r="1002" ht="15.75" customHeight="1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</row>
    <row r="1003" ht="15.75" customHeight="1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</row>
    <row r="1004" ht="15.75" customHeight="1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</row>
    <row r="1005" ht="15.75" customHeight="1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</row>
    <row r="1006" ht="15.75" customHeight="1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</row>
    <row r="1007" ht="15.75" customHeight="1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</row>
    <row r="1008" ht="15.75" customHeight="1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</row>
    <row r="1009" ht="15.75" customHeight="1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</row>
    <row r="1010" ht="15.75" customHeight="1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</row>
    <row r="1011" ht="15.75" customHeight="1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</row>
    <row r="1012" ht="15.75" customHeight="1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</row>
    <row r="1013" ht="15.75" customHeight="1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</row>
    <row r="1014" ht="15.75" customHeight="1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</row>
    <row r="1015" ht="15.75" customHeight="1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</row>
    <row r="1016" ht="15.75" customHeight="1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</row>
    <row r="1017" ht="15.75" customHeight="1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</row>
    <row r="1018" ht="15.75" customHeight="1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</row>
    <row r="1019" ht="15.75" customHeight="1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</row>
    <row r="1020" ht="15.75" customHeight="1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</row>
    <row r="1021" ht="15.75" customHeight="1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</row>
    <row r="1022" ht="15.75" customHeight="1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</row>
    <row r="1023" ht="15.75" customHeight="1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</row>
    <row r="1024" ht="15.75" customHeight="1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</row>
    <row r="1025" ht="15.75" customHeight="1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</row>
    <row r="1026" ht="15.75" customHeight="1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</row>
    <row r="1027" ht="15.75" customHeight="1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</row>
    <row r="1028" ht="15.75" customHeight="1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</row>
    <row r="1029" ht="15.75" customHeight="1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</row>
    <row r="1030" ht="15.75" customHeight="1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</row>
    <row r="1031" ht="15.75" customHeight="1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</row>
    <row r="1032" ht="15.75" customHeight="1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</row>
    <row r="1033" ht="15.75" customHeight="1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</row>
    <row r="1034" ht="15.75" customHeight="1">
      <c r="A1034" s="7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</row>
    <row r="1035" ht="15.75" customHeight="1">
      <c r="A1035" s="7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</row>
    <row r="1036" ht="15.75" customHeight="1">
      <c r="A1036" s="7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</row>
    <row r="1037" ht="15.75" customHeight="1">
      <c r="A1037" s="7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</row>
    <row r="1038" ht="15.75" customHeight="1">
      <c r="A1038" s="7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</row>
    <row r="1039" ht="15.75" customHeight="1">
      <c r="A1039" s="7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</row>
    <row r="1040" ht="15.75" customHeight="1">
      <c r="A1040" s="7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</row>
    <row r="1041" ht="15.75" customHeight="1">
      <c r="A1041" s="7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</row>
    <row r="1042" ht="15.75" customHeight="1">
      <c r="A1042" s="7"/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</row>
    <row r="1043" ht="15.75" customHeight="1">
      <c r="A1043" s="7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</row>
    <row r="1044" ht="15.75" customHeight="1">
      <c r="A1044" s="7"/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</row>
    <row r="1045" ht="15.75" customHeight="1">
      <c r="A1045" s="7"/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</row>
    <row r="1046" ht="15.75" customHeight="1">
      <c r="A1046" s="7"/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</row>
    <row r="1047" ht="15.75" customHeight="1">
      <c r="A1047" s="7"/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</row>
    <row r="1048" ht="15.75" customHeight="1">
      <c r="A1048" s="7"/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</row>
    <row r="1049" ht="15.75" customHeight="1">
      <c r="A1049" s="7"/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</row>
    <row r="1050" ht="15.75" customHeight="1">
      <c r="A1050" s="7"/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</row>
    <row r="1051" ht="15.75" customHeight="1">
      <c r="A1051" s="7"/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</row>
    <row r="1052" ht="15.75" customHeight="1">
      <c r="A1052" s="7"/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</row>
    <row r="1053" ht="15.75" customHeight="1">
      <c r="A1053" s="7"/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</row>
    <row r="1054" ht="15.75" customHeight="1">
      <c r="A1054" s="7"/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</row>
    <row r="1055" ht="15.75" customHeight="1">
      <c r="A1055" s="7"/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</row>
    <row r="1056" ht="15.75" customHeight="1">
      <c r="A1056" s="7"/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</row>
    <row r="1057" ht="15.75" customHeight="1">
      <c r="A1057" s="7"/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</row>
    <row r="1058" ht="15.75" customHeight="1">
      <c r="A1058" s="7"/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</row>
    <row r="1059" ht="15.75" customHeight="1">
      <c r="A1059" s="7"/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</row>
    <row r="1060" ht="15.75" customHeight="1">
      <c r="A1060" s="7"/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</row>
    <row r="1061" ht="15.75" customHeight="1">
      <c r="A1061" s="7"/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</row>
    <row r="1062" ht="15.75" customHeight="1">
      <c r="A1062" s="7"/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</row>
    <row r="1063" ht="15.75" customHeight="1">
      <c r="A1063" s="7"/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</row>
    <row r="1064" ht="15.75" customHeight="1">
      <c r="A1064" s="7"/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</row>
    <row r="1065" ht="15.75" customHeight="1">
      <c r="A1065" s="7"/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</row>
    <row r="1066" ht="15.75" customHeight="1">
      <c r="A1066" s="7"/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</row>
    <row r="1067" ht="15.75" customHeight="1">
      <c r="A1067" s="7"/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</row>
    <row r="1068" ht="15.75" customHeight="1">
      <c r="A1068" s="7"/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</row>
    <row r="1069" ht="15.75" customHeight="1">
      <c r="A1069" s="7"/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</row>
    <row r="1070" ht="15.75" customHeight="1">
      <c r="A1070" s="7"/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</row>
    <row r="1071" ht="15.75" customHeight="1">
      <c r="A1071" s="7"/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</row>
    <row r="1072" ht="15.75" customHeight="1">
      <c r="A1072" s="7"/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</row>
    <row r="1073" ht="15.75" customHeight="1">
      <c r="A1073" s="7"/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</row>
    <row r="1074" ht="15.75" customHeight="1">
      <c r="A1074" s="7"/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</row>
    <row r="1075" ht="15.75" customHeight="1">
      <c r="A1075" s="7"/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</row>
    <row r="1076" ht="15.75" customHeight="1">
      <c r="A1076" s="7"/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</row>
    <row r="1077" ht="15.75" customHeight="1">
      <c r="A1077" s="7"/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</row>
    <row r="1078" ht="15.75" customHeight="1">
      <c r="A1078" s="7"/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</row>
    <row r="1079" ht="15.75" customHeight="1">
      <c r="A1079" s="7"/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</row>
    <row r="1080" ht="15.75" customHeight="1">
      <c r="A1080" s="7"/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</row>
    <row r="1081" ht="15.75" customHeight="1">
      <c r="A1081" s="7"/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</row>
    <row r="1082" ht="15.75" customHeight="1">
      <c r="A1082" s="7"/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</row>
    <row r="1083" ht="15.75" customHeight="1">
      <c r="A1083" s="7"/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</row>
    <row r="1084" ht="15.75" customHeight="1">
      <c r="A1084" s="7"/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</row>
    <row r="1085" ht="15.75" customHeight="1">
      <c r="A1085" s="7"/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</row>
    <row r="1086" ht="15.75" customHeight="1">
      <c r="A1086" s="7"/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</row>
    <row r="1087" ht="15.75" customHeight="1">
      <c r="A1087" s="7"/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</row>
    <row r="1088" ht="15.75" customHeight="1">
      <c r="A1088" s="7"/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</row>
    <row r="1089" ht="15.75" customHeight="1">
      <c r="A1089" s="7"/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</row>
    <row r="1090" ht="15.75" customHeight="1">
      <c r="A1090" s="7"/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</row>
    <row r="1091" ht="15.75" customHeight="1">
      <c r="A1091" s="7"/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</row>
    <row r="1092" ht="15.75" customHeight="1">
      <c r="A1092" s="7"/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</row>
    <row r="1093" ht="15.75" customHeight="1">
      <c r="A1093" s="7"/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</row>
    <row r="1094" ht="15.75" customHeight="1">
      <c r="A1094" s="7"/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</row>
    <row r="1095" ht="15.75" customHeight="1">
      <c r="A1095" s="7"/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</row>
    <row r="1096" ht="15.75" customHeight="1">
      <c r="A1096" s="7"/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</row>
    <row r="1097" ht="15.75" customHeight="1">
      <c r="A1097" s="7"/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</row>
    <row r="1098" ht="15.75" customHeight="1">
      <c r="A1098" s="7"/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</row>
    <row r="1099" ht="15.75" customHeight="1">
      <c r="A1099" s="7"/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</row>
    <row r="1100" ht="15.75" customHeight="1">
      <c r="A1100" s="7"/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</row>
    <row r="1101" ht="15.75" customHeight="1">
      <c r="A1101" s="7"/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</row>
  </sheetData>
  <mergeCells count="3">
    <mergeCell ref="A1:P1"/>
    <mergeCell ref="A2:P2"/>
    <mergeCell ref="A158:D158"/>
  </mergeCells>
  <dataValidations>
    <dataValidation type="list" allowBlank="1" showErrorMessage="1" sqref="H5:H305">
      <formula1>"SÍ,No"</formula1>
    </dataValidation>
    <dataValidation type="list" allowBlank="1" showErrorMessage="1" sqref="C5:C157 C159:C305">
      <formula1>ListaProductos</formula1>
    </dataValidation>
    <dataValidation type="list" allowBlank="1" showErrorMessage="1" sqref="I5:I305">
      <formula1>"SÍ,NO"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AE60"/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35.0"/>
    <col customWidth="1" min="3" max="3" width="18.0"/>
    <col customWidth="1" min="4" max="4" width="12.0"/>
    <col customWidth="1" min="5" max="5" width="35.0"/>
    <col customWidth="1" min="6" max="6" width="8.71"/>
  </cols>
  <sheetData>
    <row r="1" ht="39.75" customHeight="1">
      <c r="A1" s="95" t="s">
        <v>96</v>
      </c>
      <c r="B1" s="9"/>
      <c r="C1" s="9"/>
      <c r="D1" s="9"/>
      <c r="E1" s="10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96" t="str">
        <f>'Configuración'!C20&amp;" "&amp;'Configuración'!C21</f>
        <v>Abril 2026</v>
      </c>
      <c r="B2" s="9"/>
      <c r="C2" s="9"/>
      <c r="D2" s="9"/>
      <c r="E2" s="10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A4" s="11" t="s">
        <v>114</v>
      </c>
      <c r="B4" s="9"/>
      <c r="C4" s="9"/>
      <c r="D4" s="9"/>
      <c r="E4" s="10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0" customHeight="1">
      <c r="A6" s="2"/>
      <c r="B6" s="15" t="s">
        <v>115</v>
      </c>
      <c r="C6" s="56">
        <f>'Abril 2026 - Ventas'!F158</f>
        <v>1120.87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2"/>
      <c r="B7" s="15" t="s">
        <v>116</v>
      </c>
      <c r="C7" s="56">
        <f>'Abril 2026 - Ventas'!G158</f>
        <v>101.3738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0" customHeight="1">
      <c r="A8" s="2"/>
      <c r="B8" s="15" t="s">
        <v>117</v>
      </c>
      <c r="C8" s="56">
        <f>'Abril 2026 - Ventas'!J158</f>
        <v>136.5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2"/>
      <c r="B9" s="15" t="s">
        <v>118</v>
      </c>
      <c r="C9" s="56">
        <f>'Abril 2026 - Ventas'!K158</f>
        <v>882.9962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2"/>
      <c r="B10" s="15" t="s">
        <v>119</v>
      </c>
      <c r="C10" s="56">
        <f>'Abril 2026 - Ventas'!E158</f>
        <v>206.65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2"/>
      <c r="B11" s="97" t="s">
        <v>120</v>
      </c>
      <c r="C11" s="98">
        <f>'Abril 2026 - Ventas'!L158</f>
        <v>666.3462</v>
      </c>
      <c r="D11" s="99"/>
      <c r="E11" s="99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0" customHeight="1">
      <c r="A13" s="100" t="s">
        <v>121</v>
      </c>
      <c r="B13" s="9"/>
      <c r="C13" s="9"/>
      <c r="D13" s="9"/>
      <c r="E13" s="10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0" customHeight="1">
      <c r="A15" s="2"/>
      <c r="B15" s="15" t="s">
        <v>122</v>
      </c>
      <c r="C15" s="56">
        <f>C9</f>
        <v>882.9962</v>
      </c>
      <c r="D15" s="2"/>
      <c r="E15" s="101" t="s">
        <v>123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0" customHeight="1">
      <c r="A16" s="2"/>
      <c r="B16" s="15" t="s">
        <v>124</v>
      </c>
      <c r="C16" s="56">
        <f>C11</f>
        <v>666.3462</v>
      </c>
      <c r="D16" s="2"/>
      <c r="E16" s="101" t="s">
        <v>125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0" customHeight="1">
      <c r="A17" s="2"/>
      <c r="B17" s="15" t="s">
        <v>126</v>
      </c>
      <c r="C17" s="56">
        <f>C10</f>
        <v>206.65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0" customHeight="1">
      <c r="A18" s="2"/>
      <c r="B18" s="102" t="s">
        <v>127</v>
      </c>
      <c r="C18" s="103">
        <f>C15-C10</f>
        <v>676.3462</v>
      </c>
      <c r="D18" s="104"/>
      <c r="E18" s="10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0" customHeight="1">
      <c r="A19" s="2"/>
      <c r="B19" s="105"/>
      <c r="C19" s="106"/>
      <c r="D19" s="2"/>
      <c r="E19" s="107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0" customHeight="1">
      <c r="A21" s="108" t="s">
        <v>128</v>
      </c>
      <c r="B21" s="9"/>
      <c r="C21" s="9"/>
      <c r="D21" s="9"/>
      <c r="E21" s="10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0" customHeight="1">
      <c r="A23" s="2"/>
      <c r="B23" s="15" t="s">
        <v>129</v>
      </c>
      <c r="C23" s="56">
        <f>C18</f>
        <v>676.3462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0" customHeight="1">
      <c r="A24" s="2"/>
      <c r="B24" s="15" t="s">
        <v>130</v>
      </c>
      <c r="C24" s="56">
        <f>IF(C23&gt;0,C23*'Configuración'!$C$14,0)</f>
        <v>473.44234</v>
      </c>
      <c r="D24" s="109">
        <f>'Configuración'!$C$14</f>
        <v>0.7</v>
      </c>
      <c r="E24" s="17" t="s">
        <v>131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0" customHeight="1">
      <c r="A25" s="2"/>
      <c r="B25" s="15" t="s">
        <v>132</v>
      </c>
      <c r="C25" s="56">
        <f>IF(C23&gt;0,C23*'Configuración'!$C$15,0)</f>
        <v>202.90386</v>
      </c>
      <c r="D25" s="109">
        <f>'Configuración'!$C$15</f>
        <v>0.3</v>
      </c>
      <c r="E25" s="17" t="s">
        <v>133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0" customHeight="1">
      <c r="A27" s="110" t="s">
        <v>134</v>
      </c>
      <c r="B27" s="9"/>
      <c r="C27" s="9"/>
      <c r="D27" s="9"/>
      <c r="E27" s="10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0" customHeight="1">
      <c r="A29" s="2"/>
      <c r="B29" s="15" t="s">
        <v>135</v>
      </c>
      <c r="C29" s="111">
        <f>'Abril 2026 - Ventas'!C160</f>
        <v>155</v>
      </c>
      <c r="D29" s="2"/>
      <c r="E29" s="101" t="s">
        <v>136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0" customHeight="1">
      <c r="A30" s="2"/>
      <c r="B30" s="15" t="s">
        <v>137</v>
      </c>
      <c r="C30" s="56">
        <f>IF(C29&gt;0,C6/C29,0)</f>
        <v>7.231419355</v>
      </c>
      <c r="D30" s="2"/>
      <c r="E30" s="101" t="s">
        <v>138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0" customHeight="1">
      <c r="A31" s="2"/>
      <c r="B31" s="15" t="s">
        <v>139</v>
      </c>
      <c r="C31" s="56">
        <f>IF(C29&gt;0,C18/C29,0)</f>
        <v>4.363523871</v>
      </c>
      <c r="D31" s="2"/>
      <c r="E31" s="101" t="s">
        <v>140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0" customHeight="1">
      <c r="A32" s="2"/>
      <c r="B32" s="15" t="s">
        <v>141</v>
      </c>
      <c r="C32" s="112">
        <f>IF(C9=0,0,C18/C9)</f>
        <v>0.7659672828</v>
      </c>
      <c r="D32" s="2"/>
      <c r="E32" s="101" t="s">
        <v>142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0" customHeight="1">
      <c r="A33" s="2"/>
      <c r="B33" s="15" t="s">
        <v>143</v>
      </c>
      <c r="C33" s="56" t="str">
        <f>'Abril 2026 - Ventas'!G158+'Febrero 2026 - Ventas'!J55</f>
        <v>#REF!</v>
      </c>
      <c r="D33" s="2"/>
      <c r="E33" s="101" t="s">
        <v>144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0" customHeight="1">
      <c r="A34" s="2"/>
      <c r="B34" s="15" t="s">
        <v>145</v>
      </c>
      <c r="C34" s="112">
        <f>IF(C10=0,0,C18/C10)</f>
        <v>3.272906847</v>
      </c>
      <c r="D34" s="2"/>
      <c r="E34" s="101" t="s">
        <v>146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0" customHeight="1">
      <c r="A36" s="110" t="s">
        <v>147</v>
      </c>
      <c r="B36" s="9"/>
      <c r="C36" s="9"/>
      <c r="D36" s="9"/>
      <c r="E36" s="10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0" customHeight="1">
      <c r="A38" s="2"/>
      <c r="B38" s="15" t="s">
        <v>148</v>
      </c>
      <c r="C38" s="113" t="str">
        <f>IF(C29=0,"—",IF(C18&gt;0,"✅ SÍ","❌ NO"))</f>
        <v>✅ SÍ</v>
      </c>
      <c r="D38" s="2"/>
      <c r="E38" s="101" t="s">
        <v>149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0" customHeight="1">
      <c r="A39" s="2"/>
      <c r="B39" s="15" t="s">
        <v>150</v>
      </c>
      <c r="C39" s="113" t="str">
        <f>IF(C29=0,"—",IF(C24&gt;0,"✅ SÍ","❌ NO"))</f>
        <v>✅ SÍ</v>
      </c>
      <c r="D39" s="2"/>
      <c r="E39" s="101" t="s">
        <v>151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0" customHeight="1">
      <c r="A40" s="2"/>
      <c r="B40" s="15" t="s">
        <v>152</v>
      </c>
      <c r="C40" s="113" t="str">
        <f>IF(C29=0,"—",IF(C25&gt;0,"✅ SÍ","❌ NO"))</f>
        <v>✅ SÍ</v>
      </c>
      <c r="D40" s="2"/>
      <c r="E40" s="101" t="s">
        <v>153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0" customHeight="1">
      <c r="A41" s="2"/>
      <c r="B41" s="15" t="s">
        <v>154</v>
      </c>
      <c r="C41" s="113" t="str">
        <f>IF(C29&gt;=50,"✅ SÍ — ¡Baja tu tarifa de envío!","❌ NO — Aún no")</f>
        <v>✅ SÍ — ¡Baja tu tarifa de envío!</v>
      </c>
      <c r="D41" s="2"/>
      <c r="E41" s="101" t="s">
        <v>155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7"/>
      <c r="B242" s="7"/>
      <c r="C242" s="7"/>
      <c r="D242" s="7"/>
      <c r="E242" s="7"/>
      <c r="F242" s="7"/>
    </row>
    <row r="243" ht="15.75" customHeight="1">
      <c r="A243" s="7"/>
      <c r="B243" s="7"/>
      <c r="C243" s="7"/>
      <c r="D243" s="7"/>
      <c r="E243" s="7"/>
      <c r="F243" s="7"/>
    </row>
    <row r="244" ht="15.75" customHeight="1">
      <c r="A244" s="7"/>
      <c r="B244" s="7"/>
      <c r="C244" s="7"/>
      <c r="D244" s="7"/>
      <c r="E244" s="7"/>
      <c r="F244" s="7"/>
    </row>
    <row r="245" ht="15.75" customHeight="1">
      <c r="A245" s="7"/>
      <c r="B245" s="7"/>
      <c r="C245" s="7"/>
      <c r="D245" s="7"/>
      <c r="E245" s="7"/>
      <c r="F245" s="7"/>
    </row>
    <row r="246" ht="15.75" customHeight="1">
      <c r="A246" s="7"/>
      <c r="B246" s="7"/>
      <c r="C246" s="7"/>
      <c r="D246" s="7"/>
      <c r="E246" s="7"/>
      <c r="F246" s="7"/>
    </row>
    <row r="247" ht="15.75" customHeight="1">
      <c r="A247" s="7"/>
      <c r="B247" s="7"/>
      <c r="C247" s="7"/>
      <c r="D247" s="7"/>
      <c r="E247" s="7"/>
      <c r="F247" s="7"/>
    </row>
    <row r="248" ht="15.75" customHeight="1">
      <c r="A248" s="7"/>
      <c r="B248" s="7"/>
      <c r="C248" s="7"/>
      <c r="D248" s="7"/>
      <c r="E248" s="7"/>
      <c r="F248" s="7"/>
    </row>
    <row r="249" ht="15.75" customHeight="1">
      <c r="A249" s="7"/>
      <c r="B249" s="7"/>
      <c r="C249" s="7"/>
      <c r="D249" s="7"/>
      <c r="E249" s="7"/>
      <c r="F249" s="7"/>
    </row>
    <row r="250" ht="15.75" customHeight="1">
      <c r="A250" s="7"/>
      <c r="B250" s="7"/>
      <c r="C250" s="7"/>
      <c r="D250" s="7"/>
      <c r="E250" s="7"/>
      <c r="F250" s="7"/>
    </row>
    <row r="251" ht="15.75" customHeight="1">
      <c r="A251" s="7"/>
      <c r="B251" s="7"/>
      <c r="C251" s="7"/>
      <c r="D251" s="7"/>
      <c r="E251" s="7"/>
      <c r="F251" s="7"/>
    </row>
    <row r="252" ht="15.75" customHeight="1">
      <c r="A252" s="7"/>
      <c r="B252" s="7"/>
      <c r="C252" s="7"/>
      <c r="D252" s="7"/>
      <c r="E252" s="7"/>
      <c r="F252" s="7"/>
    </row>
    <row r="253" ht="15.75" customHeight="1">
      <c r="A253" s="7"/>
      <c r="B253" s="7"/>
      <c r="C253" s="7"/>
      <c r="D253" s="7"/>
      <c r="E253" s="7"/>
      <c r="F253" s="7"/>
    </row>
    <row r="254" ht="15.75" customHeight="1">
      <c r="A254" s="7"/>
      <c r="B254" s="7"/>
      <c r="C254" s="7"/>
      <c r="D254" s="7"/>
      <c r="E254" s="7"/>
      <c r="F254" s="7"/>
    </row>
    <row r="255" ht="15.75" customHeight="1">
      <c r="A255" s="7"/>
      <c r="B255" s="7"/>
      <c r="C255" s="7"/>
      <c r="D255" s="7"/>
      <c r="E255" s="7"/>
      <c r="F255" s="7"/>
    </row>
    <row r="256" ht="15.75" customHeight="1">
      <c r="A256" s="7"/>
      <c r="B256" s="7"/>
      <c r="C256" s="7"/>
      <c r="D256" s="7"/>
      <c r="E256" s="7"/>
      <c r="F256" s="7"/>
    </row>
    <row r="257" ht="15.75" customHeight="1">
      <c r="A257" s="7"/>
      <c r="B257" s="7"/>
      <c r="C257" s="7"/>
      <c r="D257" s="7"/>
      <c r="E257" s="7"/>
      <c r="F257" s="7"/>
    </row>
    <row r="258" ht="15.75" customHeight="1">
      <c r="A258" s="7"/>
      <c r="B258" s="7"/>
      <c r="C258" s="7"/>
      <c r="D258" s="7"/>
      <c r="E258" s="7"/>
      <c r="F258" s="7"/>
    </row>
    <row r="259" ht="15.75" customHeight="1">
      <c r="A259" s="7"/>
      <c r="B259" s="7"/>
      <c r="C259" s="7"/>
      <c r="D259" s="7"/>
      <c r="E259" s="7"/>
      <c r="F259" s="7"/>
    </row>
    <row r="260" ht="15.75" customHeight="1">
      <c r="A260" s="7"/>
      <c r="B260" s="7"/>
      <c r="C260" s="7"/>
      <c r="D260" s="7"/>
      <c r="E260" s="7"/>
      <c r="F260" s="7"/>
    </row>
    <row r="261" ht="15.75" customHeight="1">
      <c r="A261" s="7"/>
      <c r="B261" s="7"/>
      <c r="C261" s="7"/>
      <c r="D261" s="7"/>
      <c r="E261" s="7"/>
      <c r="F261" s="7"/>
    </row>
    <row r="262" ht="15.75" customHeight="1">
      <c r="A262" s="7"/>
      <c r="B262" s="7"/>
      <c r="C262" s="7"/>
      <c r="D262" s="7"/>
      <c r="E262" s="7"/>
      <c r="F262" s="7"/>
    </row>
    <row r="263" ht="15.75" customHeight="1">
      <c r="A263" s="7"/>
      <c r="B263" s="7"/>
      <c r="C263" s="7"/>
      <c r="D263" s="7"/>
      <c r="E263" s="7"/>
      <c r="F263" s="7"/>
    </row>
    <row r="264" ht="15.75" customHeight="1">
      <c r="A264" s="7"/>
      <c r="B264" s="7"/>
      <c r="C264" s="7"/>
      <c r="D264" s="7"/>
      <c r="E264" s="7"/>
      <c r="F264" s="7"/>
    </row>
    <row r="265" ht="15.75" customHeight="1">
      <c r="A265" s="7"/>
      <c r="B265" s="7"/>
      <c r="C265" s="7"/>
      <c r="D265" s="7"/>
      <c r="E265" s="7"/>
      <c r="F265" s="7"/>
    </row>
    <row r="266" ht="15.75" customHeight="1">
      <c r="A266" s="7"/>
      <c r="B266" s="7"/>
      <c r="C266" s="7"/>
      <c r="D266" s="7"/>
      <c r="E266" s="7"/>
      <c r="F266" s="7"/>
    </row>
    <row r="267" ht="15.75" customHeight="1">
      <c r="A267" s="7"/>
      <c r="B267" s="7"/>
      <c r="C267" s="7"/>
      <c r="D267" s="7"/>
      <c r="E267" s="7"/>
      <c r="F267" s="7"/>
    </row>
    <row r="268" ht="15.75" customHeight="1">
      <c r="A268" s="7"/>
      <c r="B268" s="7"/>
      <c r="C268" s="7"/>
      <c r="D268" s="7"/>
      <c r="E268" s="7"/>
      <c r="F268" s="7"/>
    </row>
    <row r="269" ht="15.75" customHeight="1">
      <c r="A269" s="7"/>
      <c r="B269" s="7"/>
      <c r="C269" s="7"/>
      <c r="D269" s="7"/>
      <c r="E269" s="7"/>
      <c r="F269" s="7"/>
    </row>
    <row r="270" ht="15.75" customHeight="1">
      <c r="A270" s="7"/>
      <c r="B270" s="7"/>
      <c r="C270" s="7"/>
      <c r="D270" s="7"/>
      <c r="E270" s="7"/>
      <c r="F270" s="7"/>
    </row>
    <row r="271" ht="15.75" customHeight="1">
      <c r="A271" s="7"/>
      <c r="B271" s="7"/>
      <c r="C271" s="7"/>
      <c r="D271" s="7"/>
      <c r="E271" s="7"/>
      <c r="F271" s="7"/>
    </row>
    <row r="272" ht="15.75" customHeight="1">
      <c r="A272" s="7"/>
      <c r="B272" s="7"/>
      <c r="C272" s="7"/>
      <c r="D272" s="7"/>
      <c r="E272" s="7"/>
      <c r="F272" s="7"/>
    </row>
    <row r="273" ht="15.75" customHeight="1">
      <c r="A273" s="7"/>
      <c r="B273" s="7"/>
      <c r="C273" s="7"/>
      <c r="D273" s="7"/>
      <c r="E273" s="7"/>
      <c r="F273" s="7"/>
    </row>
    <row r="274" ht="15.75" customHeight="1">
      <c r="A274" s="7"/>
      <c r="B274" s="7"/>
      <c r="C274" s="7"/>
      <c r="D274" s="7"/>
      <c r="E274" s="7"/>
      <c r="F274" s="7"/>
    </row>
    <row r="275" ht="15.75" customHeight="1">
      <c r="A275" s="7"/>
      <c r="B275" s="7"/>
      <c r="C275" s="7"/>
      <c r="D275" s="7"/>
      <c r="E275" s="7"/>
      <c r="F275" s="7"/>
    </row>
    <row r="276" ht="15.75" customHeight="1">
      <c r="A276" s="7"/>
      <c r="B276" s="7"/>
      <c r="C276" s="7"/>
      <c r="D276" s="7"/>
      <c r="E276" s="7"/>
      <c r="F276" s="7"/>
    </row>
    <row r="277" ht="15.75" customHeight="1">
      <c r="A277" s="7"/>
      <c r="B277" s="7"/>
      <c r="C277" s="7"/>
      <c r="D277" s="7"/>
      <c r="E277" s="7"/>
      <c r="F277" s="7"/>
    </row>
    <row r="278" ht="15.75" customHeight="1">
      <c r="A278" s="7"/>
      <c r="B278" s="7"/>
      <c r="C278" s="7"/>
      <c r="D278" s="7"/>
      <c r="E278" s="7"/>
      <c r="F278" s="7"/>
    </row>
    <row r="279" ht="15.75" customHeight="1">
      <c r="A279" s="7"/>
      <c r="B279" s="7"/>
      <c r="C279" s="7"/>
      <c r="D279" s="7"/>
      <c r="E279" s="7"/>
      <c r="F279" s="7"/>
    </row>
    <row r="280" ht="15.75" customHeight="1">
      <c r="A280" s="7"/>
      <c r="B280" s="7"/>
      <c r="C280" s="7"/>
      <c r="D280" s="7"/>
      <c r="E280" s="7"/>
      <c r="F280" s="7"/>
    </row>
    <row r="281" ht="15.75" customHeight="1">
      <c r="A281" s="7"/>
      <c r="B281" s="7"/>
      <c r="C281" s="7"/>
      <c r="D281" s="7"/>
      <c r="E281" s="7"/>
      <c r="F281" s="7"/>
    </row>
    <row r="282" ht="15.75" customHeight="1">
      <c r="A282" s="7"/>
      <c r="B282" s="7"/>
      <c r="C282" s="7"/>
      <c r="D282" s="7"/>
      <c r="E282" s="7"/>
      <c r="F282" s="7"/>
    </row>
    <row r="283" ht="15.75" customHeight="1">
      <c r="A283" s="7"/>
      <c r="B283" s="7"/>
      <c r="C283" s="7"/>
      <c r="D283" s="7"/>
      <c r="E283" s="7"/>
      <c r="F283" s="7"/>
    </row>
    <row r="284" ht="15.75" customHeight="1">
      <c r="A284" s="7"/>
      <c r="B284" s="7"/>
      <c r="C284" s="7"/>
      <c r="D284" s="7"/>
      <c r="E284" s="7"/>
      <c r="F284" s="7"/>
    </row>
    <row r="285" ht="15.75" customHeight="1">
      <c r="A285" s="7"/>
      <c r="B285" s="7"/>
      <c r="C285" s="7"/>
      <c r="D285" s="7"/>
      <c r="E285" s="7"/>
      <c r="F285" s="7"/>
    </row>
    <row r="286" ht="15.75" customHeight="1">
      <c r="A286" s="7"/>
      <c r="B286" s="7"/>
      <c r="C286" s="7"/>
      <c r="D286" s="7"/>
      <c r="E286" s="7"/>
      <c r="F286" s="7"/>
    </row>
    <row r="287" ht="15.75" customHeight="1">
      <c r="A287" s="7"/>
      <c r="B287" s="7"/>
      <c r="C287" s="7"/>
      <c r="D287" s="7"/>
      <c r="E287" s="7"/>
      <c r="F287" s="7"/>
    </row>
    <row r="288" ht="15.75" customHeight="1">
      <c r="A288" s="7"/>
      <c r="B288" s="7"/>
      <c r="C288" s="7"/>
      <c r="D288" s="7"/>
      <c r="E288" s="7"/>
      <c r="F288" s="7"/>
    </row>
    <row r="289" ht="15.75" customHeight="1">
      <c r="A289" s="7"/>
      <c r="B289" s="7"/>
      <c r="C289" s="7"/>
      <c r="D289" s="7"/>
      <c r="E289" s="7"/>
      <c r="F289" s="7"/>
    </row>
    <row r="290" ht="15.75" customHeight="1">
      <c r="A290" s="7"/>
      <c r="B290" s="7"/>
      <c r="C290" s="7"/>
      <c r="D290" s="7"/>
      <c r="E290" s="7"/>
      <c r="F290" s="7"/>
    </row>
    <row r="291" ht="15.75" customHeight="1">
      <c r="A291" s="7"/>
      <c r="B291" s="7"/>
      <c r="C291" s="7"/>
      <c r="D291" s="7"/>
      <c r="E291" s="7"/>
      <c r="F291" s="7"/>
    </row>
    <row r="292" ht="15.75" customHeight="1">
      <c r="A292" s="7"/>
      <c r="B292" s="7"/>
      <c r="C292" s="7"/>
      <c r="D292" s="7"/>
      <c r="E292" s="7"/>
      <c r="F292" s="7"/>
    </row>
    <row r="293" ht="15.75" customHeight="1">
      <c r="A293" s="7"/>
      <c r="B293" s="7"/>
      <c r="C293" s="7"/>
      <c r="D293" s="7"/>
      <c r="E293" s="7"/>
      <c r="F293" s="7"/>
    </row>
    <row r="294" ht="15.75" customHeight="1">
      <c r="A294" s="7"/>
      <c r="B294" s="7"/>
      <c r="C294" s="7"/>
      <c r="D294" s="7"/>
      <c r="E294" s="7"/>
      <c r="F294" s="7"/>
    </row>
    <row r="295" ht="15.75" customHeight="1">
      <c r="A295" s="7"/>
      <c r="B295" s="7"/>
      <c r="C295" s="7"/>
      <c r="D295" s="7"/>
      <c r="E295" s="7"/>
      <c r="F295" s="7"/>
    </row>
    <row r="296" ht="15.75" customHeight="1">
      <c r="A296" s="7"/>
      <c r="B296" s="7"/>
      <c r="C296" s="7"/>
      <c r="D296" s="7"/>
      <c r="E296" s="7"/>
      <c r="F296" s="7"/>
    </row>
    <row r="297" ht="15.75" customHeight="1">
      <c r="A297" s="7"/>
      <c r="B297" s="7"/>
      <c r="C297" s="7"/>
      <c r="D297" s="7"/>
      <c r="E297" s="7"/>
      <c r="F297" s="7"/>
    </row>
    <row r="298" ht="15.75" customHeight="1">
      <c r="A298" s="7"/>
      <c r="B298" s="7"/>
      <c r="C298" s="7"/>
      <c r="D298" s="7"/>
      <c r="E298" s="7"/>
      <c r="F298" s="7"/>
    </row>
    <row r="299" ht="15.75" customHeight="1">
      <c r="A299" s="7"/>
      <c r="B299" s="7"/>
      <c r="C299" s="7"/>
      <c r="D299" s="7"/>
      <c r="E299" s="7"/>
      <c r="F299" s="7"/>
    </row>
    <row r="300" ht="15.75" customHeight="1">
      <c r="A300" s="7"/>
      <c r="B300" s="7"/>
      <c r="C300" s="7"/>
      <c r="D300" s="7"/>
      <c r="E300" s="7"/>
      <c r="F300" s="7"/>
    </row>
    <row r="301" ht="15.75" customHeight="1">
      <c r="A301" s="7"/>
      <c r="B301" s="7"/>
      <c r="C301" s="7"/>
      <c r="D301" s="7"/>
      <c r="E301" s="7"/>
      <c r="F301" s="7"/>
    </row>
    <row r="302" ht="15.75" customHeight="1">
      <c r="A302" s="7"/>
      <c r="B302" s="7"/>
      <c r="C302" s="7"/>
      <c r="D302" s="7"/>
      <c r="E302" s="7"/>
      <c r="F302" s="7"/>
    </row>
    <row r="303" ht="15.75" customHeight="1">
      <c r="A303" s="7"/>
      <c r="B303" s="7"/>
      <c r="C303" s="7"/>
      <c r="D303" s="7"/>
      <c r="E303" s="7"/>
      <c r="F303" s="7"/>
    </row>
    <row r="304" ht="15.75" customHeight="1">
      <c r="A304" s="7"/>
      <c r="B304" s="7"/>
      <c r="C304" s="7"/>
      <c r="D304" s="7"/>
      <c r="E304" s="7"/>
      <c r="F304" s="7"/>
    </row>
    <row r="305" ht="15.75" customHeight="1">
      <c r="A305" s="7"/>
      <c r="B305" s="7"/>
      <c r="C305" s="7"/>
      <c r="D305" s="7"/>
      <c r="E305" s="7"/>
      <c r="F305" s="7"/>
    </row>
    <row r="306" ht="15.75" customHeight="1">
      <c r="A306" s="7"/>
      <c r="B306" s="7"/>
      <c r="C306" s="7"/>
      <c r="D306" s="7"/>
      <c r="E306" s="7"/>
      <c r="F306" s="7"/>
    </row>
    <row r="307" ht="15.75" customHeight="1">
      <c r="A307" s="7"/>
      <c r="B307" s="7"/>
      <c r="C307" s="7"/>
      <c r="D307" s="7"/>
      <c r="E307" s="7"/>
      <c r="F307" s="7"/>
    </row>
    <row r="308" ht="15.75" customHeight="1">
      <c r="A308" s="7"/>
      <c r="B308" s="7"/>
      <c r="C308" s="7"/>
      <c r="D308" s="7"/>
      <c r="E308" s="7"/>
      <c r="F308" s="7"/>
    </row>
    <row r="309" ht="15.75" customHeight="1">
      <c r="A309" s="7"/>
      <c r="B309" s="7"/>
      <c r="C309" s="7"/>
      <c r="D309" s="7"/>
      <c r="E309" s="7"/>
      <c r="F309" s="7"/>
    </row>
    <row r="310" ht="15.75" customHeight="1">
      <c r="A310" s="7"/>
      <c r="B310" s="7"/>
      <c r="C310" s="7"/>
      <c r="D310" s="7"/>
      <c r="E310" s="7"/>
      <c r="F310" s="7"/>
    </row>
    <row r="311" ht="15.75" customHeight="1">
      <c r="A311" s="7"/>
      <c r="B311" s="7"/>
      <c r="C311" s="7"/>
      <c r="D311" s="7"/>
      <c r="E311" s="7"/>
      <c r="F311" s="7"/>
    </row>
    <row r="312" ht="15.75" customHeight="1">
      <c r="A312" s="7"/>
      <c r="B312" s="7"/>
      <c r="C312" s="7"/>
      <c r="D312" s="7"/>
      <c r="E312" s="7"/>
      <c r="F312" s="7"/>
    </row>
    <row r="313" ht="15.75" customHeight="1">
      <c r="A313" s="7"/>
      <c r="B313" s="7"/>
      <c r="C313" s="7"/>
      <c r="D313" s="7"/>
      <c r="E313" s="7"/>
      <c r="F313" s="7"/>
    </row>
    <row r="314" ht="15.75" customHeight="1">
      <c r="A314" s="7"/>
      <c r="B314" s="7"/>
      <c r="C314" s="7"/>
      <c r="D314" s="7"/>
      <c r="E314" s="7"/>
      <c r="F314" s="7"/>
    </row>
    <row r="315" ht="15.75" customHeight="1">
      <c r="A315" s="7"/>
      <c r="B315" s="7"/>
      <c r="C315" s="7"/>
      <c r="D315" s="7"/>
      <c r="E315" s="7"/>
      <c r="F315" s="7"/>
    </row>
    <row r="316" ht="15.75" customHeight="1">
      <c r="A316" s="7"/>
      <c r="B316" s="7"/>
      <c r="C316" s="7"/>
      <c r="D316" s="7"/>
      <c r="E316" s="7"/>
      <c r="F316" s="7"/>
    </row>
    <row r="317" ht="15.75" customHeight="1">
      <c r="A317" s="7"/>
      <c r="B317" s="7"/>
      <c r="C317" s="7"/>
      <c r="D317" s="7"/>
      <c r="E317" s="7"/>
      <c r="F317" s="7"/>
    </row>
    <row r="318" ht="15.75" customHeight="1">
      <c r="A318" s="7"/>
      <c r="B318" s="7"/>
      <c r="C318" s="7"/>
      <c r="D318" s="7"/>
      <c r="E318" s="7"/>
      <c r="F318" s="7"/>
    </row>
    <row r="319" ht="15.75" customHeight="1">
      <c r="A319" s="7"/>
      <c r="B319" s="7"/>
      <c r="C319" s="7"/>
      <c r="D319" s="7"/>
      <c r="E319" s="7"/>
      <c r="F319" s="7"/>
    </row>
    <row r="320" ht="15.75" customHeight="1">
      <c r="A320" s="7"/>
      <c r="B320" s="7"/>
      <c r="C320" s="7"/>
      <c r="D320" s="7"/>
      <c r="E320" s="7"/>
      <c r="F320" s="7"/>
    </row>
    <row r="321" ht="15.75" customHeight="1">
      <c r="A321" s="7"/>
      <c r="B321" s="7"/>
      <c r="C321" s="7"/>
      <c r="D321" s="7"/>
      <c r="E321" s="7"/>
      <c r="F321" s="7"/>
    </row>
    <row r="322" ht="15.75" customHeight="1">
      <c r="A322" s="7"/>
      <c r="B322" s="7"/>
      <c r="C322" s="7"/>
      <c r="D322" s="7"/>
      <c r="E322" s="7"/>
      <c r="F322" s="7"/>
    </row>
    <row r="323" ht="15.75" customHeight="1">
      <c r="A323" s="7"/>
      <c r="B323" s="7"/>
      <c r="C323" s="7"/>
      <c r="D323" s="7"/>
      <c r="E323" s="7"/>
      <c r="F323" s="7"/>
    </row>
    <row r="324" ht="15.75" customHeight="1">
      <c r="A324" s="7"/>
      <c r="B324" s="7"/>
      <c r="C324" s="7"/>
      <c r="D324" s="7"/>
      <c r="E324" s="7"/>
      <c r="F324" s="7"/>
    </row>
    <row r="325" ht="15.75" customHeight="1">
      <c r="A325" s="7"/>
      <c r="B325" s="7"/>
      <c r="C325" s="7"/>
      <c r="D325" s="7"/>
      <c r="E325" s="7"/>
      <c r="F325" s="7"/>
    </row>
    <row r="326" ht="15.75" customHeight="1">
      <c r="A326" s="7"/>
      <c r="B326" s="7"/>
      <c r="C326" s="7"/>
      <c r="D326" s="7"/>
      <c r="E326" s="7"/>
      <c r="F326" s="7"/>
    </row>
    <row r="327" ht="15.75" customHeight="1">
      <c r="A327" s="7"/>
      <c r="B327" s="7"/>
      <c r="C327" s="7"/>
      <c r="D327" s="7"/>
      <c r="E327" s="7"/>
      <c r="F327" s="7"/>
    </row>
    <row r="328" ht="15.75" customHeight="1">
      <c r="A328" s="7"/>
      <c r="B328" s="7"/>
      <c r="C328" s="7"/>
      <c r="D328" s="7"/>
      <c r="E328" s="7"/>
      <c r="F328" s="7"/>
    </row>
    <row r="329" ht="15.75" customHeight="1">
      <c r="A329" s="7"/>
      <c r="B329" s="7"/>
      <c r="C329" s="7"/>
      <c r="D329" s="7"/>
      <c r="E329" s="7"/>
      <c r="F329" s="7"/>
    </row>
    <row r="330" ht="15.75" customHeight="1">
      <c r="A330" s="7"/>
      <c r="B330" s="7"/>
      <c r="C330" s="7"/>
      <c r="D330" s="7"/>
      <c r="E330" s="7"/>
      <c r="F330" s="7"/>
    </row>
    <row r="331" ht="15.75" customHeight="1">
      <c r="A331" s="7"/>
      <c r="B331" s="7"/>
      <c r="C331" s="7"/>
      <c r="D331" s="7"/>
      <c r="E331" s="7"/>
      <c r="F331" s="7"/>
    </row>
    <row r="332" ht="15.75" customHeight="1">
      <c r="A332" s="7"/>
      <c r="B332" s="7"/>
      <c r="C332" s="7"/>
      <c r="D332" s="7"/>
      <c r="E332" s="7"/>
      <c r="F332" s="7"/>
    </row>
    <row r="333" ht="15.75" customHeight="1">
      <c r="A333" s="7"/>
      <c r="B333" s="7"/>
      <c r="C333" s="7"/>
      <c r="D333" s="7"/>
      <c r="E333" s="7"/>
      <c r="F333" s="7"/>
    </row>
    <row r="334" ht="15.75" customHeight="1">
      <c r="A334" s="7"/>
      <c r="B334" s="7"/>
      <c r="C334" s="7"/>
      <c r="D334" s="7"/>
      <c r="E334" s="7"/>
      <c r="F334" s="7"/>
    </row>
    <row r="335" ht="15.75" customHeight="1">
      <c r="A335" s="7"/>
      <c r="B335" s="7"/>
      <c r="C335" s="7"/>
      <c r="D335" s="7"/>
      <c r="E335" s="7"/>
      <c r="F335" s="7"/>
    </row>
    <row r="336" ht="15.75" customHeight="1">
      <c r="A336" s="7"/>
      <c r="B336" s="7"/>
      <c r="C336" s="7"/>
      <c r="D336" s="7"/>
      <c r="E336" s="7"/>
      <c r="F336" s="7"/>
    </row>
    <row r="337" ht="15.75" customHeight="1">
      <c r="A337" s="7"/>
      <c r="B337" s="7"/>
      <c r="C337" s="7"/>
      <c r="D337" s="7"/>
      <c r="E337" s="7"/>
      <c r="F337" s="7"/>
    </row>
    <row r="338" ht="15.75" customHeight="1">
      <c r="A338" s="7"/>
      <c r="B338" s="7"/>
      <c r="C338" s="7"/>
      <c r="D338" s="7"/>
      <c r="E338" s="7"/>
      <c r="F338" s="7"/>
    </row>
    <row r="339" ht="15.75" customHeight="1">
      <c r="A339" s="7"/>
      <c r="B339" s="7"/>
      <c r="C339" s="7"/>
      <c r="D339" s="7"/>
      <c r="E339" s="7"/>
      <c r="F339" s="7"/>
    </row>
    <row r="340" ht="15.75" customHeight="1">
      <c r="A340" s="7"/>
      <c r="B340" s="7"/>
      <c r="C340" s="7"/>
      <c r="D340" s="7"/>
      <c r="E340" s="7"/>
      <c r="F340" s="7"/>
    </row>
    <row r="341" ht="15.75" customHeight="1">
      <c r="A341" s="7"/>
      <c r="B341" s="7"/>
      <c r="C341" s="7"/>
      <c r="D341" s="7"/>
      <c r="E341" s="7"/>
      <c r="F341" s="7"/>
    </row>
    <row r="342" ht="15.75" customHeight="1">
      <c r="A342" s="7"/>
      <c r="B342" s="7"/>
      <c r="C342" s="7"/>
      <c r="D342" s="7"/>
      <c r="E342" s="7"/>
      <c r="F342" s="7"/>
    </row>
    <row r="343" ht="15.75" customHeight="1">
      <c r="A343" s="7"/>
      <c r="B343" s="7"/>
      <c r="C343" s="7"/>
      <c r="D343" s="7"/>
      <c r="E343" s="7"/>
      <c r="F343" s="7"/>
    </row>
    <row r="344" ht="15.75" customHeight="1">
      <c r="A344" s="7"/>
      <c r="B344" s="7"/>
      <c r="C344" s="7"/>
      <c r="D344" s="7"/>
      <c r="E344" s="7"/>
      <c r="F344" s="7"/>
    </row>
    <row r="345" ht="15.75" customHeight="1">
      <c r="A345" s="7"/>
      <c r="B345" s="7"/>
      <c r="C345" s="7"/>
      <c r="D345" s="7"/>
      <c r="E345" s="7"/>
      <c r="F345" s="7"/>
    </row>
    <row r="346" ht="15.75" customHeight="1">
      <c r="A346" s="7"/>
      <c r="B346" s="7"/>
      <c r="C346" s="7"/>
      <c r="D346" s="7"/>
      <c r="E346" s="7"/>
      <c r="F346" s="7"/>
    </row>
    <row r="347" ht="15.75" customHeight="1">
      <c r="A347" s="7"/>
      <c r="B347" s="7"/>
      <c r="C347" s="7"/>
      <c r="D347" s="7"/>
      <c r="E347" s="7"/>
      <c r="F347" s="7"/>
    </row>
    <row r="348" ht="15.75" customHeight="1">
      <c r="A348" s="7"/>
      <c r="B348" s="7"/>
      <c r="C348" s="7"/>
      <c r="D348" s="7"/>
      <c r="E348" s="7"/>
      <c r="F348" s="7"/>
    </row>
    <row r="349" ht="15.75" customHeight="1">
      <c r="A349" s="7"/>
      <c r="B349" s="7"/>
      <c r="C349" s="7"/>
      <c r="D349" s="7"/>
      <c r="E349" s="7"/>
      <c r="F349" s="7"/>
    </row>
    <row r="350" ht="15.75" customHeight="1">
      <c r="A350" s="7"/>
      <c r="B350" s="7"/>
      <c r="C350" s="7"/>
      <c r="D350" s="7"/>
      <c r="E350" s="7"/>
      <c r="F350" s="7"/>
    </row>
    <row r="351" ht="15.75" customHeight="1">
      <c r="A351" s="7"/>
      <c r="B351" s="7"/>
      <c r="C351" s="7"/>
      <c r="D351" s="7"/>
      <c r="E351" s="7"/>
      <c r="F351" s="7"/>
    </row>
    <row r="352" ht="15.75" customHeight="1">
      <c r="A352" s="7"/>
      <c r="B352" s="7"/>
      <c r="C352" s="7"/>
      <c r="D352" s="7"/>
      <c r="E352" s="7"/>
      <c r="F352" s="7"/>
    </row>
    <row r="353" ht="15.75" customHeight="1">
      <c r="A353" s="7"/>
      <c r="B353" s="7"/>
      <c r="C353" s="7"/>
      <c r="D353" s="7"/>
      <c r="E353" s="7"/>
      <c r="F353" s="7"/>
    </row>
    <row r="354" ht="15.75" customHeight="1">
      <c r="A354" s="7"/>
      <c r="B354" s="7"/>
      <c r="C354" s="7"/>
      <c r="D354" s="7"/>
      <c r="E354" s="7"/>
      <c r="F354" s="7"/>
    </row>
    <row r="355" ht="15.75" customHeight="1">
      <c r="A355" s="7"/>
      <c r="B355" s="7"/>
      <c r="C355" s="7"/>
      <c r="D355" s="7"/>
      <c r="E355" s="7"/>
      <c r="F355" s="7"/>
    </row>
    <row r="356" ht="15.75" customHeight="1">
      <c r="A356" s="7"/>
      <c r="B356" s="7"/>
      <c r="C356" s="7"/>
      <c r="D356" s="7"/>
      <c r="E356" s="7"/>
      <c r="F356" s="7"/>
    </row>
    <row r="357" ht="15.75" customHeight="1">
      <c r="A357" s="7"/>
      <c r="B357" s="7"/>
      <c r="C357" s="7"/>
      <c r="D357" s="7"/>
      <c r="E357" s="7"/>
      <c r="F357" s="7"/>
    </row>
    <row r="358" ht="15.75" customHeight="1">
      <c r="A358" s="7"/>
      <c r="B358" s="7"/>
      <c r="C358" s="7"/>
      <c r="D358" s="7"/>
      <c r="E358" s="7"/>
      <c r="F358" s="7"/>
    </row>
    <row r="359" ht="15.75" customHeight="1">
      <c r="A359" s="7"/>
      <c r="B359" s="7"/>
      <c r="C359" s="7"/>
      <c r="D359" s="7"/>
      <c r="E359" s="7"/>
      <c r="F359" s="7"/>
    </row>
    <row r="360" ht="15.75" customHeight="1">
      <c r="A360" s="7"/>
      <c r="B360" s="7"/>
      <c r="C360" s="7"/>
      <c r="D360" s="7"/>
      <c r="E360" s="7"/>
      <c r="F360" s="7"/>
    </row>
    <row r="361" ht="15.75" customHeight="1">
      <c r="A361" s="7"/>
      <c r="B361" s="7"/>
      <c r="C361" s="7"/>
      <c r="D361" s="7"/>
      <c r="E361" s="7"/>
      <c r="F361" s="7"/>
    </row>
    <row r="362" ht="15.75" customHeight="1">
      <c r="A362" s="7"/>
      <c r="B362" s="7"/>
      <c r="C362" s="7"/>
      <c r="D362" s="7"/>
      <c r="E362" s="7"/>
      <c r="F362" s="7"/>
    </row>
    <row r="363" ht="15.75" customHeight="1">
      <c r="A363" s="7"/>
      <c r="B363" s="7"/>
      <c r="C363" s="7"/>
      <c r="D363" s="7"/>
      <c r="E363" s="7"/>
      <c r="F363" s="7"/>
    </row>
    <row r="364" ht="15.75" customHeight="1">
      <c r="A364" s="7"/>
      <c r="B364" s="7"/>
      <c r="C364" s="7"/>
      <c r="D364" s="7"/>
      <c r="E364" s="7"/>
      <c r="F364" s="7"/>
    </row>
    <row r="365" ht="15.75" customHeight="1">
      <c r="A365" s="7"/>
      <c r="B365" s="7"/>
      <c r="C365" s="7"/>
      <c r="D365" s="7"/>
      <c r="E365" s="7"/>
      <c r="F365" s="7"/>
    </row>
    <row r="366" ht="15.75" customHeight="1">
      <c r="A366" s="7"/>
      <c r="B366" s="7"/>
      <c r="C366" s="7"/>
      <c r="D366" s="7"/>
      <c r="E366" s="7"/>
      <c r="F366" s="7"/>
    </row>
    <row r="367" ht="15.75" customHeight="1">
      <c r="A367" s="7"/>
      <c r="B367" s="7"/>
      <c r="C367" s="7"/>
      <c r="D367" s="7"/>
      <c r="E367" s="7"/>
      <c r="F367" s="7"/>
    </row>
    <row r="368" ht="15.75" customHeight="1">
      <c r="A368" s="7"/>
      <c r="B368" s="7"/>
      <c r="C368" s="7"/>
      <c r="D368" s="7"/>
      <c r="E368" s="7"/>
      <c r="F368" s="7"/>
    </row>
    <row r="369" ht="15.75" customHeight="1">
      <c r="A369" s="7"/>
      <c r="B369" s="7"/>
      <c r="C369" s="7"/>
      <c r="D369" s="7"/>
      <c r="E369" s="7"/>
      <c r="F369" s="7"/>
    </row>
    <row r="370" ht="15.75" customHeight="1">
      <c r="A370" s="7"/>
      <c r="B370" s="7"/>
      <c r="C370" s="7"/>
      <c r="D370" s="7"/>
      <c r="E370" s="7"/>
      <c r="F370" s="7"/>
    </row>
    <row r="371" ht="15.75" customHeight="1">
      <c r="A371" s="7"/>
      <c r="B371" s="7"/>
      <c r="C371" s="7"/>
      <c r="D371" s="7"/>
      <c r="E371" s="7"/>
      <c r="F371" s="7"/>
    </row>
    <row r="372" ht="15.75" customHeight="1">
      <c r="A372" s="7"/>
      <c r="B372" s="7"/>
      <c r="C372" s="7"/>
      <c r="D372" s="7"/>
      <c r="E372" s="7"/>
      <c r="F372" s="7"/>
    </row>
    <row r="373" ht="15.75" customHeight="1">
      <c r="A373" s="7"/>
      <c r="B373" s="7"/>
      <c r="C373" s="7"/>
      <c r="D373" s="7"/>
      <c r="E373" s="7"/>
      <c r="F373" s="7"/>
    </row>
    <row r="374" ht="15.75" customHeight="1">
      <c r="A374" s="7"/>
      <c r="B374" s="7"/>
      <c r="C374" s="7"/>
      <c r="D374" s="7"/>
      <c r="E374" s="7"/>
      <c r="F374" s="7"/>
    </row>
    <row r="375" ht="15.75" customHeight="1">
      <c r="A375" s="7"/>
      <c r="B375" s="7"/>
      <c r="C375" s="7"/>
      <c r="D375" s="7"/>
      <c r="E375" s="7"/>
      <c r="F375" s="7"/>
    </row>
    <row r="376" ht="15.75" customHeight="1">
      <c r="A376" s="7"/>
      <c r="B376" s="7"/>
      <c r="C376" s="7"/>
      <c r="D376" s="7"/>
      <c r="E376" s="7"/>
      <c r="F376" s="7"/>
    </row>
    <row r="377" ht="15.75" customHeight="1">
      <c r="A377" s="7"/>
      <c r="B377" s="7"/>
      <c r="C377" s="7"/>
      <c r="D377" s="7"/>
      <c r="E377" s="7"/>
      <c r="F377" s="7"/>
    </row>
    <row r="378" ht="15.75" customHeight="1">
      <c r="A378" s="7"/>
      <c r="B378" s="7"/>
      <c r="C378" s="7"/>
      <c r="D378" s="7"/>
      <c r="E378" s="7"/>
      <c r="F378" s="7"/>
    </row>
    <row r="379" ht="15.75" customHeight="1">
      <c r="A379" s="7"/>
      <c r="B379" s="7"/>
      <c r="C379" s="7"/>
      <c r="D379" s="7"/>
      <c r="E379" s="7"/>
      <c r="F379" s="7"/>
    </row>
    <row r="380" ht="15.75" customHeight="1">
      <c r="A380" s="7"/>
      <c r="B380" s="7"/>
      <c r="C380" s="7"/>
      <c r="D380" s="7"/>
      <c r="E380" s="7"/>
      <c r="F380" s="7"/>
    </row>
    <row r="381" ht="15.75" customHeight="1">
      <c r="A381" s="7"/>
      <c r="B381" s="7"/>
      <c r="C381" s="7"/>
      <c r="D381" s="7"/>
      <c r="E381" s="7"/>
      <c r="F381" s="7"/>
    </row>
    <row r="382" ht="15.75" customHeight="1">
      <c r="A382" s="7"/>
      <c r="B382" s="7"/>
      <c r="C382" s="7"/>
      <c r="D382" s="7"/>
      <c r="E382" s="7"/>
      <c r="F382" s="7"/>
    </row>
    <row r="383" ht="15.75" customHeight="1">
      <c r="A383" s="7"/>
      <c r="B383" s="7"/>
      <c r="C383" s="7"/>
      <c r="D383" s="7"/>
      <c r="E383" s="7"/>
      <c r="F383" s="7"/>
    </row>
    <row r="384" ht="15.75" customHeight="1">
      <c r="A384" s="7"/>
      <c r="B384" s="7"/>
      <c r="C384" s="7"/>
      <c r="D384" s="7"/>
      <c r="E384" s="7"/>
      <c r="F384" s="7"/>
    </row>
    <row r="385" ht="15.75" customHeight="1">
      <c r="A385" s="7"/>
      <c r="B385" s="7"/>
      <c r="C385" s="7"/>
      <c r="D385" s="7"/>
      <c r="E385" s="7"/>
      <c r="F385" s="7"/>
    </row>
    <row r="386" ht="15.75" customHeight="1">
      <c r="A386" s="7"/>
      <c r="B386" s="7"/>
      <c r="C386" s="7"/>
      <c r="D386" s="7"/>
      <c r="E386" s="7"/>
      <c r="F386" s="7"/>
    </row>
    <row r="387" ht="15.75" customHeight="1">
      <c r="A387" s="7"/>
      <c r="B387" s="7"/>
      <c r="C387" s="7"/>
      <c r="D387" s="7"/>
      <c r="E387" s="7"/>
      <c r="F387" s="7"/>
    </row>
    <row r="388" ht="15.75" customHeight="1">
      <c r="A388" s="7"/>
      <c r="B388" s="7"/>
      <c r="C388" s="7"/>
      <c r="D388" s="7"/>
      <c r="E388" s="7"/>
      <c r="F388" s="7"/>
    </row>
    <row r="389" ht="15.75" customHeight="1">
      <c r="A389" s="7"/>
      <c r="B389" s="7"/>
      <c r="C389" s="7"/>
      <c r="D389" s="7"/>
      <c r="E389" s="7"/>
      <c r="F389" s="7"/>
    </row>
    <row r="390" ht="15.75" customHeight="1">
      <c r="A390" s="7"/>
      <c r="B390" s="7"/>
      <c r="C390" s="7"/>
      <c r="D390" s="7"/>
      <c r="E390" s="7"/>
      <c r="F390" s="7"/>
    </row>
    <row r="391" ht="15.75" customHeight="1">
      <c r="A391" s="7"/>
      <c r="B391" s="7"/>
      <c r="C391" s="7"/>
      <c r="D391" s="7"/>
      <c r="E391" s="7"/>
      <c r="F391" s="7"/>
    </row>
    <row r="392" ht="15.75" customHeight="1">
      <c r="A392" s="7"/>
      <c r="B392" s="7"/>
      <c r="C392" s="7"/>
      <c r="D392" s="7"/>
      <c r="E392" s="7"/>
      <c r="F392" s="7"/>
    </row>
    <row r="393" ht="15.75" customHeight="1">
      <c r="A393" s="7"/>
      <c r="B393" s="7"/>
      <c r="C393" s="7"/>
      <c r="D393" s="7"/>
      <c r="E393" s="7"/>
      <c r="F393" s="7"/>
    </row>
    <row r="394" ht="15.75" customHeight="1">
      <c r="A394" s="7"/>
      <c r="B394" s="7"/>
      <c r="C394" s="7"/>
      <c r="D394" s="7"/>
      <c r="E394" s="7"/>
      <c r="F394" s="7"/>
    </row>
    <row r="395" ht="15.75" customHeight="1">
      <c r="A395" s="7"/>
      <c r="B395" s="7"/>
      <c r="C395" s="7"/>
      <c r="D395" s="7"/>
      <c r="E395" s="7"/>
      <c r="F395" s="7"/>
    </row>
    <row r="396" ht="15.75" customHeight="1">
      <c r="A396" s="7"/>
      <c r="B396" s="7"/>
      <c r="C396" s="7"/>
      <c r="D396" s="7"/>
      <c r="E396" s="7"/>
      <c r="F396" s="7"/>
    </row>
    <row r="397" ht="15.75" customHeight="1">
      <c r="A397" s="7"/>
      <c r="B397" s="7"/>
      <c r="C397" s="7"/>
      <c r="D397" s="7"/>
      <c r="E397" s="7"/>
      <c r="F397" s="7"/>
    </row>
    <row r="398" ht="15.75" customHeight="1">
      <c r="A398" s="7"/>
      <c r="B398" s="7"/>
      <c r="C398" s="7"/>
      <c r="D398" s="7"/>
      <c r="E398" s="7"/>
      <c r="F398" s="7"/>
    </row>
    <row r="399" ht="15.75" customHeight="1">
      <c r="A399" s="7"/>
      <c r="B399" s="7"/>
      <c r="C399" s="7"/>
      <c r="D399" s="7"/>
      <c r="E399" s="7"/>
      <c r="F399" s="7"/>
    </row>
    <row r="400" ht="15.75" customHeight="1">
      <c r="A400" s="7"/>
      <c r="B400" s="7"/>
      <c r="C400" s="7"/>
      <c r="D400" s="7"/>
      <c r="E400" s="7"/>
      <c r="F400" s="7"/>
    </row>
    <row r="401" ht="15.75" customHeight="1">
      <c r="A401" s="7"/>
      <c r="B401" s="7"/>
      <c r="C401" s="7"/>
      <c r="D401" s="7"/>
      <c r="E401" s="7"/>
      <c r="F401" s="7"/>
    </row>
    <row r="402" ht="15.75" customHeight="1">
      <c r="A402" s="7"/>
      <c r="B402" s="7"/>
      <c r="C402" s="7"/>
      <c r="D402" s="7"/>
      <c r="E402" s="7"/>
      <c r="F402" s="7"/>
    </row>
    <row r="403" ht="15.75" customHeight="1">
      <c r="A403" s="7"/>
      <c r="B403" s="7"/>
      <c r="C403" s="7"/>
      <c r="D403" s="7"/>
      <c r="E403" s="7"/>
      <c r="F403" s="7"/>
    </row>
    <row r="404" ht="15.75" customHeight="1">
      <c r="A404" s="7"/>
      <c r="B404" s="7"/>
      <c r="C404" s="7"/>
      <c r="D404" s="7"/>
      <c r="E404" s="7"/>
      <c r="F404" s="7"/>
    </row>
    <row r="405" ht="15.75" customHeight="1">
      <c r="A405" s="7"/>
      <c r="B405" s="7"/>
      <c r="C405" s="7"/>
      <c r="D405" s="7"/>
      <c r="E405" s="7"/>
      <c r="F405" s="7"/>
    </row>
    <row r="406" ht="15.75" customHeight="1">
      <c r="A406" s="7"/>
      <c r="B406" s="7"/>
      <c r="C406" s="7"/>
      <c r="D406" s="7"/>
      <c r="E406" s="7"/>
      <c r="F406" s="7"/>
    </row>
    <row r="407" ht="15.75" customHeight="1">
      <c r="A407" s="7"/>
      <c r="B407" s="7"/>
      <c r="C407" s="7"/>
      <c r="D407" s="7"/>
      <c r="E407" s="7"/>
      <c r="F407" s="7"/>
    </row>
    <row r="408" ht="15.75" customHeight="1">
      <c r="A408" s="7"/>
      <c r="B408" s="7"/>
      <c r="C408" s="7"/>
      <c r="D408" s="7"/>
      <c r="E408" s="7"/>
      <c r="F408" s="7"/>
    </row>
    <row r="409" ht="15.75" customHeight="1">
      <c r="A409" s="7"/>
      <c r="B409" s="7"/>
      <c r="C409" s="7"/>
      <c r="D409" s="7"/>
      <c r="E409" s="7"/>
      <c r="F409" s="7"/>
    </row>
    <row r="410" ht="15.75" customHeight="1">
      <c r="A410" s="7"/>
      <c r="B410" s="7"/>
      <c r="C410" s="7"/>
      <c r="D410" s="7"/>
      <c r="E410" s="7"/>
      <c r="F410" s="7"/>
    </row>
    <row r="411" ht="15.75" customHeight="1">
      <c r="A411" s="7"/>
      <c r="B411" s="7"/>
      <c r="C411" s="7"/>
      <c r="D411" s="7"/>
      <c r="E411" s="7"/>
      <c r="F411" s="7"/>
    </row>
    <row r="412" ht="15.75" customHeight="1">
      <c r="A412" s="7"/>
      <c r="B412" s="7"/>
      <c r="C412" s="7"/>
      <c r="D412" s="7"/>
      <c r="E412" s="7"/>
      <c r="F412" s="7"/>
    </row>
    <row r="413" ht="15.75" customHeight="1">
      <c r="A413" s="7"/>
      <c r="B413" s="7"/>
      <c r="C413" s="7"/>
      <c r="D413" s="7"/>
      <c r="E413" s="7"/>
      <c r="F413" s="7"/>
    </row>
    <row r="414" ht="15.75" customHeight="1">
      <c r="A414" s="7"/>
      <c r="B414" s="7"/>
      <c r="C414" s="7"/>
      <c r="D414" s="7"/>
      <c r="E414" s="7"/>
      <c r="F414" s="7"/>
    </row>
    <row r="415" ht="15.75" customHeight="1">
      <c r="A415" s="7"/>
      <c r="B415" s="7"/>
      <c r="C415" s="7"/>
      <c r="D415" s="7"/>
      <c r="E415" s="7"/>
      <c r="F415" s="7"/>
    </row>
    <row r="416" ht="15.75" customHeight="1">
      <c r="A416" s="7"/>
      <c r="B416" s="7"/>
      <c r="C416" s="7"/>
      <c r="D416" s="7"/>
      <c r="E416" s="7"/>
      <c r="F416" s="7"/>
    </row>
    <row r="417" ht="15.75" customHeight="1">
      <c r="A417" s="7"/>
      <c r="B417" s="7"/>
      <c r="C417" s="7"/>
      <c r="D417" s="7"/>
      <c r="E417" s="7"/>
      <c r="F417" s="7"/>
    </row>
    <row r="418" ht="15.75" customHeight="1">
      <c r="A418" s="7"/>
      <c r="B418" s="7"/>
      <c r="C418" s="7"/>
      <c r="D418" s="7"/>
      <c r="E418" s="7"/>
      <c r="F418" s="7"/>
    </row>
    <row r="419" ht="15.75" customHeight="1">
      <c r="A419" s="7"/>
      <c r="B419" s="7"/>
      <c r="C419" s="7"/>
      <c r="D419" s="7"/>
      <c r="E419" s="7"/>
      <c r="F419" s="7"/>
    </row>
    <row r="420" ht="15.75" customHeight="1">
      <c r="A420" s="7"/>
      <c r="B420" s="7"/>
      <c r="C420" s="7"/>
      <c r="D420" s="7"/>
      <c r="E420" s="7"/>
      <c r="F420" s="7"/>
    </row>
    <row r="421" ht="15.75" customHeight="1">
      <c r="A421" s="7"/>
      <c r="B421" s="7"/>
      <c r="C421" s="7"/>
      <c r="D421" s="7"/>
      <c r="E421" s="7"/>
      <c r="F421" s="7"/>
    </row>
    <row r="422" ht="15.75" customHeight="1">
      <c r="A422" s="7"/>
      <c r="B422" s="7"/>
      <c r="C422" s="7"/>
      <c r="D422" s="7"/>
      <c r="E422" s="7"/>
      <c r="F422" s="7"/>
    </row>
    <row r="423" ht="15.75" customHeight="1">
      <c r="A423" s="7"/>
      <c r="B423" s="7"/>
      <c r="C423" s="7"/>
      <c r="D423" s="7"/>
      <c r="E423" s="7"/>
      <c r="F423" s="7"/>
    </row>
    <row r="424" ht="15.75" customHeight="1">
      <c r="A424" s="7"/>
      <c r="B424" s="7"/>
      <c r="C424" s="7"/>
      <c r="D424" s="7"/>
      <c r="E424" s="7"/>
      <c r="F424" s="7"/>
    </row>
    <row r="425" ht="15.75" customHeight="1">
      <c r="A425" s="7"/>
      <c r="B425" s="7"/>
      <c r="C425" s="7"/>
      <c r="D425" s="7"/>
      <c r="E425" s="7"/>
      <c r="F425" s="7"/>
    </row>
    <row r="426" ht="15.75" customHeight="1">
      <c r="A426" s="7"/>
      <c r="B426" s="7"/>
      <c r="C426" s="7"/>
      <c r="D426" s="7"/>
      <c r="E426" s="7"/>
      <c r="F426" s="7"/>
    </row>
    <row r="427" ht="15.75" customHeight="1">
      <c r="A427" s="7"/>
      <c r="B427" s="7"/>
      <c r="C427" s="7"/>
      <c r="D427" s="7"/>
      <c r="E427" s="7"/>
      <c r="F427" s="7"/>
    </row>
    <row r="428" ht="15.75" customHeight="1">
      <c r="A428" s="7"/>
      <c r="B428" s="7"/>
      <c r="C428" s="7"/>
      <c r="D428" s="7"/>
      <c r="E428" s="7"/>
      <c r="F428" s="7"/>
    </row>
    <row r="429" ht="15.75" customHeight="1">
      <c r="A429" s="7"/>
      <c r="B429" s="7"/>
      <c r="C429" s="7"/>
      <c r="D429" s="7"/>
      <c r="E429" s="7"/>
      <c r="F429" s="7"/>
    </row>
    <row r="430" ht="15.75" customHeight="1">
      <c r="A430" s="7"/>
      <c r="B430" s="7"/>
      <c r="C430" s="7"/>
      <c r="D430" s="7"/>
      <c r="E430" s="7"/>
      <c r="F430" s="7"/>
    </row>
    <row r="431" ht="15.75" customHeight="1">
      <c r="A431" s="7"/>
      <c r="B431" s="7"/>
      <c r="C431" s="7"/>
      <c r="D431" s="7"/>
      <c r="E431" s="7"/>
      <c r="F431" s="7"/>
    </row>
    <row r="432" ht="15.75" customHeight="1">
      <c r="A432" s="7"/>
      <c r="B432" s="7"/>
      <c r="C432" s="7"/>
      <c r="D432" s="7"/>
      <c r="E432" s="7"/>
      <c r="F432" s="7"/>
    </row>
    <row r="433" ht="15.75" customHeight="1">
      <c r="A433" s="7"/>
      <c r="B433" s="7"/>
      <c r="C433" s="7"/>
      <c r="D433" s="7"/>
      <c r="E433" s="7"/>
      <c r="F433" s="7"/>
    </row>
    <row r="434" ht="15.75" customHeight="1">
      <c r="A434" s="7"/>
      <c r="B434" s="7"/>
      <c r="C434" s="7"/>
      <c r="D434" s="7"/>
      <c r="E434" s="7"/>
      <c r="F434" s="7"/>
    </row>
    <row r="435" ht="15.75" customHeight="1">
      <c r="A435" s="7"/>
      <c r="B435" s="7"/>
      <c r="C435" s="7"/>
      <c r="D435" s="7"/>
      <c r="E435" s="7"/>
      <c r="F435" s="7"/>
    </row>
    <row r="436" ht="15.75" customHeight="1">
      <c r="A436" s="7"/>
      <c r="B436" s="7"/>
      <c r="C436" s="7"/>
      <c r="D436" s="7"/>
      <c r="E436" s="7"/>
      <c r="F436" s="7"/>
    </row>
    <row r="437" ht="15.75" customHeight="1">
      <c r="A437" s="7"/>
      <c r="B437" s="7"/>
      <c r="C437" s="7"/>
      <c r="D437" s="7"/>
      <c r="E437" s="7"/>
      <c r="F437" s="7"/>
    </row>
    <row r="438" ht="15.75" customHeight="1">
      <c r="A438" s="7"/>
      <c r="B438" s="7"/>
      <c r="C438" s="7"/>
      <c r="D438" s="7"/>
      <c r="E438" s="7"/>
      <c r="F438" s="7"/>
    </row>
    <row r="439" ht="15.75" customHeight="1">
      <c r="A439" s="7"/>
      <c r="B439" s="7"/>
      <c r="C439" s="7"/>
      <c r="D439" s="7"/>
      <c r="E439" s="7"/>
      <c r="F439" s="7"/>
    </row>
    <row r="440" ht="15.75" customHeight="1">
      <c r="A440" s="7"/>
      <c r="B440" s="7"/>
      <c r="C440" s="7"/>
      <c r="D440" s="7"/>
      <c r="E440" s="7"/>
      <c r="F440" s="7"/>
    </row>
    <row r="441" ht="15.75" customHeight="1">
      <c r="A441" s="7"/>
      <c r="B441" s="7"/>
      <c r="C441" s="7"/>
      <c r="D441" s="7"/>
      <c r="E441" s="7"/>
      <c r="F441" s="7"/>
    </row>
    <row r="442" ht="15.75" customHeight="1">
      <c r="A442" s="7"/>
      <c r="B442" s="7"/>
      <c r="C442" s="7"/>
      <c r="D442" s="7"/>
      <c r="E442" s="7"/>
      <c r="F442" s="7"/>
    </row>
    <row r="443" ht="15.75" customHeight="1">
      <c r="A443" s="7"/>
      <c r="B443" s="7"/>
      <c r="C443" s="7"/>
      <c r="D443" s="7"/>
      <c r="E443" s="7"/>
      <c r="F443" s="7"/>
    </row>
    <row r="444" ht="15.75" customHeight="1">
      <c r="A444" s="7"/>
      <c r="B444" s="7"/>
      <c r="C444" s="7"/>
      <c r="D444" s="7"/>
      <c r="E444" s="7"/>
      <c r="F444" s="7"/>
    </row>
    <row r="445" ht="15.75" customHeight="1">
      <c r="A445" s="7"/>
      <c r="B445" s="7"/>
      <c r="C445" s="7"/>
      <c r="D445" s="7"/>
      <c r="E445" s="7"/>
      <c r="F445" s="7"/>
    </row>
    <row r="446" ht="15.75" customHeight="1">
      <c r="A446" s="7"/>
      <c r="B446" s="7"/>
      <c r="C446" s="7"/>
      <c r="D446" s="7"/>
      <c r="E446" s="7"/>
      <c r="F446" s="7"/>
    </row>
    <row r="447" ht="15.75" customHeight="1">
      <c r="A447" s="7"/>
      <c r="B447" s="7"/>
      <c r="C447" s="7"/>
      <c r="D447" s="7"/>
      <c r="E447" s="7"/>
      <c r="F447" s="7"/>
    </row>
    <row r="448" ht="15.75" customHeight="1">
      <c r="A448" s="7"/>
      <c r="B448" s="7"/>
      <c r="C448" s="7"/>
      <c r="D448" s="7"/>
      <c r="E448" s="7"/>
      <c r="F448" s="7"/>
    </row>
    <row r="449" ht="15.75" customHeight="1">
      <c r="A449" s="7"/>
      <c r="B449" s="7"/>
      <c r="C449" s="7"/>
      <c r="D449" s="7"/>
      <c r="E449" s="7"/>
      <c r="F449" s="7"/>
    </row>
    <row r="450" ht="15.75" customHeight="1">
      <c r="A450" s="7"/>
      <c r="B450" s="7"/>
      <c r="C450" s="7"/>
      <c r="D450" s="7"/>
      <c r="E450" s="7"/>
      <c r="F450" s="7"/>
    </row>
    <row r="451" ht="15.75" customHeight="1">
      <c r="A451" s="7"/>
      <c r="B451" s="7"/>
      <c r="C451" s="7"/>
      <c r="D451" s="7"/>
      <c r="E451" s="7"/>
      <c r="F451" s="7"/>
    </row>
    <row r="452" ht="15.75" customHeight="1">
      <c r="A452" s="7"/>
      <c r="B452" s="7"/>
      <c r="C452" s="7"/>
      <c r="D452" s="7"/>
      <c r="E452" s="7"/>
      <c r="F452" s="7"/>
    </row>
    <row r="453" ht="15.75" customHeight="1">
      <c r="A453" s="7"/>
      <c r="B453" s="7"/>
      <c r="C453" s="7"/>
      <c r="D453" s="7"/>
      <c r="E453" s="7"/>
      <c r="F453" s="7"/>
    </row>
    <row r="454" ht="15.75" customHeight="1">
      <c r="A454" s="7"/>
      <c r="B454" s="7"/>
      <c r="C454" s="7"/>
      <c r="D454" s="7"/>
      <c r="E454" s="7"/>
      <c r="F454" s="7"/>
    </row>
    <row r="455" ht="15.75" customHeight="1">
      <c r="A455" s="7"/>
      <c r="B455" s="7"/>
      <c r="C455" s="7"/>
      <c r="D455" s="7"/>
      <c r="E455" s="7"/>
      <c r="F455" s="7"/>
    </row>
    <row r="456" ht="15.75" customHeight="1">
      <c r="A456" s="7"/>
      <c r="B456" s="7"/>
      <c r="C456" s="7"/>
      <c r="D456" s="7"/>
      <c r="E456" s="7"/>
      <c r="F456" s="7"/>
    </row>
    <row r="457" ht="15.75" customHeight="1">
      <c r="A457" s="7"/>
      <c r="B457" s="7"/>
      <c r="C457" s="7"/>
      <c r="D457" s="7"/>
      <c r="E457" s="7"/>
      <c r="F457" s="7"/>
    </row>
    <row r="458" ht="15.75" customHeight="1">
      <c r="A458" s="7"/>
      <c r="B458" s="7"/>
      <c r="C458" s="7"/>
      <c r="D458" s="7"/>
      <c r="E458" s="7"/>
      <c r="F458" s="7"/>
    </row>
    <row r="459" ht="15.75" customHeight="1">
      <c r="A459" s="7"/>
      <c r="B459" s="7"/>
      <c r="C459" s="7"/>
      <c r="D459" s="7"/>
      <c r="E459" s="7"/>
      <c r="F459" s="7"/>
    </row>
    <row r="460" ht="15.75" customHeight="1">
      <c r="A460" s="7"/>
      <c r="B460" s="7"/>
      <c r="C460" s="7"/>
      <c r="D460" s="7"/>
      <c r="E460" s="7"/>
      <c r="F460" s="7"/>
    </row>
    <row r="461" ht="15.75" customHeight="1">
      <c r="A461" s="7"/>
      <c r="B461" s="7"/>
      <c r="C461" s="7"/>
      <c r="D461" s="7"/>
      <c r="E461" s="7"/>
      <c r="F461" s="7"/>
    </row>
    <row r="462" ht="15.75" customHeight="1">
      <c r="A462" s="7"/>
      <c r="B462" s="7"/>
      <c r="C462" s="7"/>
      <c r="D462" s="7"/>
      <c r="E462" s="7"/>
      <c r="F462" s="7"/>
    </row>
    <row r="463" ht="15.75" customHeight="1">
      <c r="A463" s="7"/>
      <c r="B463" s="7"/>
      <c r="C463" s="7"/>
      <c r="D463" s="7"/>
      <c r="E463" s="7"/>
      <c r="F463" s="7"/>
    </row>
    <row r="464" ht="15.75" customHeight="1">
      <c r="A464" s="7"/>
      <c r="B464" s="7"/>
      <c r="C464" s="7"/>
      <c r="D464" s="7"/>
      <c r="E464" s="7"/>
      <c r="F464" s="7"/>
    </row>
    <row r="465" ht="15.75" customHeight="1">
      <c r="A465" s="7"/>
      <c r="B465" s="7"/>
      <c r="C465" s="7"/>
      <c r="D465" s="7"/>
      <c r="E465" s="7"/>
      <c r="F465" s="7"/>
    </row>
    <row r="466" ht="15.75" customHeight="1">
      <c r="A466" s="7"/>
      <c r="B466" s="7"/>
      <c r="C466" s="7"/>
      <c r="D466" s="7"/>
      <c r="E466" s="7"/>
      <c r="F466" s="7"/>
    </row>
    <row r="467" ht="15.75" customHeight="1">
      <c r="A467" s="7"/>
      <c r="B467" s="7"/>
      <c r="C467" s="7"/>
      <c r="D467" s="7"/>
      <c r="E467" s="7"/>
      <c r="F467" s="7"/>
    </row>
    <row r="468" ht="15.75" customHeight="1">
      <c r="A468" s="7"/>
      <c r="B468" s="7"/>
      <c r="C468" s="7"/>
      <c r="D468" s="7"/>
      <c r="E468" s="7"/>
      <c r="F468" s="7"/>
    </row>
    <row r="469" ht="15.75" customHeight="1">
      <c r="A469" s="7"/>
      <c r="B469" s="7"/>
      <c r="C469" s="7"/>
      <c r="D469" s="7"/>
      <c r="E469" s="7"/>
      <c r="F469" s="7"/>
    </row>
    <row r="470" ht="15.75" customHeight="1">
      <c r="A470" s="7"/>
      <c r="B470" s="7"/>
      <c r="C470" s="7"/>
      <c r="D470" s="7"/>
      <c r="E470" s="7"/>
      <c r="F470" s="7"/>
    </row>
    <row r="471" ht="15.75" customHeight="1">
      <c r="A471" s="7"/>
      <c r="B471" s="7"/>
      <c r="C471" s="7"/>
      <c r="D471" s="7"/>
      <c r="E471" s="7"/>
      <c r="F471" s="7"/>
    </row>
    <row r="472" ht="15.75" customHeight="1">
      <c r="A472" s="7"/>
      <c r="B472" s="7"/>
      <c r="C472" s="7"/>
      <c r="D472" s="7"/>
      <c r="E472" s="7"/>
      <c r="F472" s="7"/>
    </row>
    <row r="473" ht="15.75" customHeight="1">
      <c r="A473" s="7"/>
      <c r="B473" s="7"/>
      <c r="C473" s="7"/>
      <c r="D473" s="7"/>
      <c r="E473" s="7"/>
      <c r="F473" s="7"/>
    </row>
    <row r="474" ht="15.75" customHeight="1">
      <c r="A474" s="7"/>
      <c r="B474" s="7"/>
      <c r="C474" s="7"/>
      <c r="D474" s="7"/>
      <c r="E474" s="7"/>
      <c r="F474" s="7"/>
    </row>
    <row r="475" ht="15.75" customHeight="1">
      <c r="A475" s="7"/>
      <c r="B475" s="7"/>
      <c r="C475" s="7"/>
      <c r="D475" s="7"/>
      <c r="E475" s="7"/>
      <c r="F475" s="7"/>
    </row>
    <row r="476" ht="15.75" customHeight="1">
      <c r="A476" s="7"/>
      <c r="B476" s="7"/>
      <c r="C476" s="7"/>
      <c r="D476" s="7"/>
      <c r="E476" s="7"/>
      <c r="F476" s="7"/>
    </row>
    <row r="477" ht="15.75" customHeight="1">
      <c r="A477" s="7"/>
      <c r="B477" s="7"/>
      <c r="C477" s="7"/>
      <c r="D477" s="7"/>
      <c r="E477" s="7"/>
      <c r="F477" s="7"/>
    </row>
    <row r="478" ht="15.75" customHeight="1">
      <c r="A478" s="7"/>
      <c r="B478" s="7"/>
      <c r="C478" s="7"/>
      <c r="D478" s="7"/>
      <c r="E478" s="7"/>
      <c r="F478" s="7"/>
    </row>
    <row r="479" ht="15.75" customHeight="1">
      <c r="A479" s="7"/>
      <c r="B479" s="7"/>
      <c r="C479" s="7"/>
      <c r="D479" s="7"/>
      <c r="E479" s="7"/>
      <c r="F479" s="7"/>
    </row>
    <row r="480" ht="15.75" customHeight="1">
      <c r="A480" s="7"/>
      <c r="B480" s="7"/>
      <c r="C480" s="7"/>
      <c r="D480" s="7"/>
      <c r="E480" s="7"/>
      <c r="F480" s="7"/>
    </row>
    <row r="481" ht="15.75" customHeight="1">
      <c r="A481" s="7"/>
      <c r="B481" s="7"/>
      <c r="C481" s="7"/>
      <c r="D481" s="7"/>
      <c r="E481" s="7"/>
      <c r="F481" s="7"/>
    </row>
    <row r="482" ht="15.75" customHeight="1">
      <c r="A482" s="7"/>
      <c r="B482" s="7"/>
      <c r="C482" s="7"/>
      <c r="D482" s="7"/>
      <c r="E482" s="7"/>
      <c r="F482" s="7"/>
    </row>
    <row r="483" ht="15.75" customHeight="1">
      <c r="A483" s="7"/>
      <c r="B483" s="7"/>
      <c r="C483" s="7"/>
      <c r="D483" s="7"/>
      <c r="E483" s="7"/>
      <c r="F483" s="7"/>
    </row>
    <row r="484" ht="15.75" customHeight="1">
      <c r="A484" s="7"/>
      <c r="B484" s="7"/>
      <c r="C484" s="7"/>
      <c r="D484" s="7"/>
      <c r="E484" s="7"/>
      <c r="F484" s="7"/>
    </row>
    <row r="485" ht="15.75" customHeight="1">
      <c r="A485" s="7"/>
      <c r="B485" s="7"/>
      <c r="C485" s="7"/>
      <c r="D485" s="7"/>
      <c r="E485" s="7"/>
      <c r="F485" s="7"/>
    </row>
    <row r="486" ht="15.75" customHeight="1">
      <c r="A486" s="7"/>
      <c r="B486" s="7"/>
      <c r="C486" s="7"/>
      <c r="D486" s="7"/>
      <c r="E486" s="7"/>
      <c r="F486" s="7"/>
    </row>
    <row r="487" ht="15.75" customHeight="1">
      <c r="A487" s="7"/>
      <c r="B487" s="7"/>
      <c r="C487" s="7"/>
      <c r="D487" s="7"/>
      <c r="E487" s="7"/>
      <c r="F487" s="7"/>
    </row>
    <row r="488" ht="15.75" customHeight="1">
      <c r="A488" s="7"/>
      <c r="B488" s="7"/>
      <c r="C488" s="7"/>
      <c r="D488" s="7"/>
      <c r="E488" s="7"/>
      <c r="F488" s="7"/>
    </row>
    <row r="489" ht="15.75" customHeight="1">
      <c r="A489" s="7"/>
      <c r="B489" s="7"/>
      <c r="C489" s="7"/>
      <c r="D489" s="7"/>
      <c r="E489" s="7"/>
      <c r="F489" s="7"/>
    </row>
    <row r="490" ht="15.75" customHeight="1">
      <c r="A490" s="7"/>
      <c r="B490" s="7"/>
      <c r="C490" s="7"/>
      <c r="D490" s="7"/>
      <c r="E490" s="7"/>
      <c r="F490" s="7"/>
    </row>
    <row r="491" ht="15.75" customHeight="1">
      <c r="A491" s="7"/>
      <c r="B491" s="7"/>
      <c r="C491" s="7"/>
      <c r="D491" s="7"/>
      <c r="E491" s="7"/>
      <c r="F491" s="7"/>
    </row>
    <row r="492" ht="15.75" customHeight="1">
      <c r="A492" s="7"/>
      <c r="B492" s="7"/>
      <c r="C492" s="7"/>
      <c r="D492" s="7"/>
      <c r="E492" s="7"/>
      <c r="F492" s="7"/>
    </row>
    <row r="493" ht="15.75" customHeight="1">
      <c r="A493" s="7"/>
      <c r="B493" s="7"/>
      <c r="C493" s="7"/>
      <c r="D493" s="7"/>
      <c r="E493" s="7"/>
      <c r="F493" s="7"/>
    </row>
    <row r="494" ht="15.75" customHeight="1">
      <c r="A494" s="7"/>
      <c r="B494" s="7"/>
      <c r="C494" s="7"/>
      <c r="D494" s="7"/>
      <c r="E494" s="7"/>
      <c r="F494" s="7"/>
    </row>
    <row r="495" ht="15.75" customHeight="1">
      <c r="A495" s="7"/>
      <c r="B495" s="7"/>
      <c r="C495" s="7"/>
      <c r="D495" s="7"/>
      <c r="E495" s="7"/>
      <c r="F495" s="7"/>
    </row>
    <row r="496" ht="15.75" customHeight="1">
      <c r="A496" s="7"/>
      <c r="B496" s="7"/>
      <c r="C496" s="7"/>
      <c r="D496" s="7"/>
      <c r="E496" s="7"/>
      <c r="F496" s="7"/>
    </row>
    <row r="497" ht="15.75" customHeight="1">
      <c r="A497" s="7"/>
      <c r="B497" s="7"/>
      <c r="C497" s="7"/>
      <c r="D497" s="7"/>
      <c r="E497" s="7"/>
      <c r="F497" s="7"/>
    </row>
    <row r="498" ht="15.75" customHeight="1">
      <c r="A498" s="7"/>
      <c r="B498" s="7"/>
      <c r="C498" s="7"/>
      <c r="D498" s="7"/>
      <c r="E498" s="7"/>
      <c r="F498" s="7"/>
    </row>
    <row r="499" ht="15.75" customHeight="1">
      <c r="A499" s="7"/>
      <c r="B499" s="7"/>
      <c r="C499" s="7"/>
      <c r="D499" s="7"/>
      <c r="E499" s="7"/>
      <c r="F499" s="7"/>
    </row>
    <row r="500" ht="15.75" customHeight="1">
      <c r="A500" s="7"/>
      <c r="B500" s="7"/>
      <c r="C500" s="7"/>
      <c r="D500" s="7"/>
      <c r="E500" s="7"/>
      <c r="F500" s="7"/>
    </row>
    <row r="501" ht="15.75" customHeight="1">
      <c r="A501" s="7"/>
      <c r="B501" s="7"/>
      <c r="C501" s="7"/>
      <c r="D501" s="7"/>
      <c r="E501" s="7"/>
      <c r="F501" s="7"/>
    </row>
    <row r="502" ht="15.75" customHeight="1">
      <c r="A502" s="7"/>
      <c r="B502" s="7"/>
      <c r="C502" s="7"/>
      <c r="D502" s="7"/>
      <c r="E502" s="7"/>
      <c r="F502" s="7"/>
    </row>
    <row r="503" ht="15.75" customHeight="1">
      <c r="A503" s="7"/>
      <c r="B503" s="7"/>
      <c r="C503" s="7"/>
      <c r="D503" s="7"/>
      <c r="E503" s="7"/>
      <c r="F503" s="7"/>
    </row>
    <row r="504" ht="15.75" customHeight="1">
      <c r="A504" s="7"/>
      <c r="B504" s="7"/>
      <c r="C504" s="7"/>
      <c r="D504" s="7"/>
      <c r="E504" s="7"/>
      <c r="F504" s="7"/>
    </row>
    <row r="505" ht="15.75" customHeight="1">
      <c r="A505" s="7"/>
      <c r="B505" s="7"/>
      <c r="C505" s="7"/>
      <c r="D505" s="7"/>
      <c r="E505" s="7"/>
      <c r="F505" s="7"/>
    </row>
    <row r="506" ht="15.75" customHeight="1">
      <c r="A506" s="7"/>
      <c r="B506" s="7"/>
      <c r="C506" s="7"/>
      <c r="D506" s="7"/>
      <c r="E506" s="7"/>
      <c r="F506" s="7"/>
    </row>
    <row r="507" ht="15.75" customHeight="1">
      <c r="A507" s="7"/>
      <c r="B507" s="7"/>
      <c r="C507" s="7"/>
      <c r="D507" s="7"/>
      <c r="E507" s="7"/>
      <c r="F507" s="7"/>
    </row>
    <row r="508" ht="15.75" customHeight="1">
      <c r="A508" s="7"/>
      <c r="B508" s="7"/>
      <c r="C508" s="7"/>
      <c r="D508" s="7"/>
      <c r="E508" s="7"/>
      <c r="F508" s="7"/>
    </row>
    <row r="509" ht="15.75" customHeight="1">
      <c r="A509" s="7"/>
      <c r="B509" s="7"/>
      <c r="C509" s="7"/>
      <c r="D509" s="7"/>
      <c r="E509" s="7"/>
      <c r="F509" s="7"/>
    </row>
    <row r="510" ht="15.75" customHeight="1">
      <c r="A510" s="7"/>
      <c r="B510" s="7"/>
      <c r="C510" s="7"/>
      <c r="D510" s="7"/>
      <c r="E510" s="7"/>
      <c r="F510" s="7"/>
    </row>
    <row r="511" ht="15.75" customHeight="1">
      <c r="A511" s="7"/>
      <c r="B511" s="7"/>
      <c r="C511" s="7"/>
      <c r="D511" s="7"/>
      <c r="E511" s="7"/>
      <c r="F511" s="7"/>
    </row>
    <row r="512" ht="15.75" customHeight="1">
      <c r="A512" s="7"/>
      <c r="B512" s="7"/>
      <c r="C512" s="7"/>
      <c r="D512" s="7"/>
      <c r="E512" s="7"/>
      <c r="F512" s="7"/>
    </row>
    <row r="513" ht="15.75" customHeight="1">
      <c r="A513" s="7"/>
      <c r="B513" s="7"/>
      <c r="C513" s="7"/>
      <c r="D513" s="7"/>
      <c r="E513" s="7"/>
      <c r="F513" s="7"/>
    </row>
    <row r="514" ht="15.75" customHeight="1">
      <c r="A514" s="7"/>
      <c r="B514" s="7"/>
      <c r="C514" s="7"/>
      <c r="D514" s="7"/>
      <c r="E514" s="7"/>
      <c r="F514" s="7"/>
    </row>
    <row r="515" ht="15.75" customHeight="1">
      <c r="A515" s="7"/>
      <c r="B515" s="7"/>
      <c r="C515" s="7"/>
      <c r="D515" s="7"/>
      <c r="E515" s="7"/>
      <c r="F515" s="7"/>
    </row>
    <row r="516" ht="15.75" customHeight="1">
      <c r="A516" s="7"/>
      <c r="B516" s="7"/>
      <c r="C516" s="7"/>
      <c r="D516" s="7"/>
      <c r="E516" s="7"/>
      <c r="F516" s="7"/>
    </row>
    <row r="517" ht="15.75" customHeight="1">
      <c r="A517" s="7"/>
      <c r="B517" s="7"/>
      <c r="C517" s="7"/>
      <c r="D517" s="7"/>
      <c r="E517" s="7"/>
      <c r="F517" s="7"/>
    </row>
    <row r="518" ht="15.75" customHeight="1">
      <c r="A518" s="7"/>
      <c r="B518" s="7"/>
      <c r="C518" s="7"/>
      <c r="D518" s="7"/>
      <c r="E518" s="7"/>
      <c r="F518" s="7"/>
    </row>
    <row r="519" ht="15.75" customHeight="1">
      <c r="A519" s="7"/>
      <c r="B519" s="7"/>
      <c r="C519" s="7"/>
      <c r="D519" s="7"/>
      <c r="E519" s="7"/>
      <c r="F519" s="7"/>
    </row>
    <row r="520" ht="15.75" customHeight="1">
      <c r="A520" s="7"/>
      <c r="B520" s="7"/>
      <c r="C520" s="7"/>
      <c r="D520" s="7"/>
      <c r="E520" s="7"/>
      <c r="F520" s="7"/>
    </row>
    <row r="521" ht="15.75" customHeight="1">
      <c r="A521" s="7"/>
      <c r="B521" s="7"/>
      <c r="C521" s="7"/>
      <c r="D521" s="7"/>
      <c r="E521" s="7"/>
      <c r="F521" s="7"/>
    </row>
    <row r="522" ht="15.75" customHeight="1">
      <c r="A522" s="7"/>
      <c r="B522" s="7"/>
      <c r="C522" s="7"/>
      <c r="D522" s="7"/>
      <c r="E522" s="7"/>
      <c r="F522" s="7"/>
    </row>
    <row r="523" ht="15.75" customHeight="1">
      <c r="A523" s="7"/>
      <c r="B523" s="7"/>
      <c r="C523" s="7"/>
      <c r="D523" s="7"/>
      <c r="E523" s="7"/>
      <c r="F523" s="7"/>
    </row>
    <row r="524" ht="15.75" customHeight="1">
      <c r="A524" s="7"/>
      <c r="B524" s="7"/>
      <c r="C524" s="7"/>
      <c r="D524" s="7"/>
      <c r="E524" s="7"/>
      <c r="F524" s="7"/>
    </row>
    <row r="525" ht="15.75" customHeight="1">
      <c r="A525" s="7"/>
      <c r="B525" s="7"/>
      <c r="C525" s="7"/>
      <c r="D525" s="7"/>
      <c r="E525" s="7"/>
      <c r="F525" s="7"/>
    </row>
    <row r="526" ht="15.75" customHeight="1">
      <c r="A526" s="7"/>
      <c r="B526" s="7"/>
      <c r="C526" s="7"/>
      <c r="D526" s="7"/>
      <c r="E526" s="7"/>
      <c r="F526" s="7"/>
    </row>
    <row r="527" ht="15.75" customHeight="1">
      <c r="A527" s="7"/>
      <c r="B527" s="7"/>
      <c r="C527" s="7"/>
      <c r="D527" s="7"/>
      <c r="E527" s="7"/>
      <c r="F527" s="7"/>
    </row>
    <row r="528" ht="15.75" customHeight="1">
      <c r="A528" s="7"/>
      <c r="B528" s="7"/>
      <c r="C528" s="7"/>
      <c r="D528" s="7"/>
      <c r="E528" s="7"/>
      <c r="F528" s="7"/>
    </row>
    <row r="529" ht="15.75" customHeight="1">
      <c r="A529" s="7"/>
      <c r="B529" s="7"/>
      <c r="C529" s="7"/>
      <c r="D529" s="7"/>
      <c r="E529" s="7"/>
      <c r="F529" s="7"/>
    </row>
    <row r="530" ht="15.75" customHeight="1">
      <c r="A530" s="7"/>
      <c r="B530" s="7"/>
      <c r="C530" s="7"/>
      <c r="D530" s="7"/>
      <c r="E530" s="7"/>
      <c r="F530" s="7"/>
    </row>
    <row r="531" ht="15.75" customHeight="1">
      <c r="A531" s="7"/>
      <c r="B531" s="7"/>
      <c r="C531" s="7"/>
      <c r="D531" s="7"/>
      <c r="E531" s="7"/>
      <c r="F531" s="7"/>
    </row>
    <row r="532" ht="15.75" customHeight="1">
      <c r="A532" s="7"/>
      <c r="B532" s="7"/>
      <c r="C532" s="7"/>
      <c r="D532" s="7"/>
      <c r="E532" s="7"/>
      <c r="F532" s="7"/>
    </row>
    <row r="533" ht="15.75" customHeight="1">
      <c r="A533" s="7"/>
      <c r="B533" s="7"/>
      <c r="C533" s="7"/>
      <c r="D533" s="7"/>
      <c r="E533" s="7"/>
      <c r="F533" s="7"/>
    </row>
    <row r="534" ht="15.75" customHeight="1">
      <c r="A534" s="7"/>
      <c r="B534" s="7"/>
      <c r="C534" s="7"/>
      <c r="D534" s="7"/>
      <c r="E534" s="7"/>
      <c r="F534" s="7"/>
    </row>
    <row r="535" ht="15.75" customHeight="1">
      <c r="A535" s="7"/>
      <c r="B535" s="7"/>
      <c r="C535" s="7"/>
      <c r="D535" s="7"/>
      <c r="E535" s="7"/>
      <c r="F535" s="7"/>
    </row>
    <row r="536" ht="15.75" customHeight="1">
      <c r="A536" s="7"/>
      <c r="B536" s="7"/>
      <c r="C536" s="7"/>
      <c r="D536" s="7"/>
      <c r="E536" s="7"/>
      <c r="F536" s="7"/>
    </row>
    <row r="537" ht="15.75" customHeight="1">
      <c r="A537" s="7"/>
      <c r="B537" s="7"/>
      <c r="C537" s="7"/>
      <c r="D537" s="7"/>
      <c r="E537" s="7"/>
      <c r="F537" s="7"/>
    </row>
    <row r="538" ht="15.75" customHeight="1">
      <c r="A538" s="7"/>
      <c r="B538" s="7"/>
      <c r="C538" s="7"/>
      <c r="D538" s="7"/>
      <c r="E538" s="7"/>
      <c r="F538" s="7"/>
    </row>
    <row r="539" ht="15.75" customHeight="1">
      <c r="A539" s="7"/>
      <c r="B539" s="7"/>
      <c r="C539" s="7"/>
      <c r="D539" s="7"/>
      <c r="E539" s="7"/>
      <c r="F539" s="7"/>
    </row>
    <row r="540" ht="15.75" customHeight="1">
      <c r="A540" s="7"/>
      <c r="B540" s="7"/>
      <c r="C540" s="7"/>
      <c r="D540" s="7"/>
      <c r="E540" s="7"/>
      <c r="F540" s="7"/>
    </row>
    <row r="541" ht="15.75" customHeight="1">
      <c r="A541" s="7"/>
      <c r="B541" s="7"/>
      <c r="C541" s="7"/>
      <c r="D541" s="7"/>
      <c r="E541" s="7"/>
      <c r="F541" s="7"/>
    </row>
    <row r="542" ht="15.75" customHeight="1">
      <c r="A542" s="7"/>
      <c r="B542" s="7"/>
      <c r="C542" s="7"/>
      <c r="D542" s="7"/>
      <c r="E542" s="7"/>
      <c r="F542" s="7"/>
    </row>
    <row r="543" ht="15.75" customHeight="1">
      <c r="A543" s="7"/>
      <c r="B543" s="7"/>
      <c r="C543" s="7"/>
      <c r="D543" s="7"/>
      <c r="E543" s="7"/>
      <c r="F543" s="7"/>
    </row>
    <row r="544" ht="15.75" customHeight="1">
      <c r="A544" s="7"/>
      <c r="B544" s="7"/>
      <c r="C544" s="7"/>
      <c r="D544" s="7"/>
      <c r="E544" s="7"/>
      <c r="F544" s="7"/>
    </row>
    <row r="545" ht="15.75" customHeight="1">
      <c r="A545" s="7"/>
      <c r="B545" s="7"/>
      <c r="C545" s="7"/>
      <c r="D545" s="7"/>
      <c r="E545" s="7"/>
      <c r="F545" s="7"/>
    </row>
    <row r="546" ht="15.75" customHeight="1">
      <c r="A546" s="7"/>
      <c r="B546" s="7"/>
      <c r="C546" s="7"/>
      <c r="D546" s="7"/>
      <c r="E546" s="7"/>
      <c r="F546" s="7"/>
    </row>
    <row r="547" ht="15.75" customHeight="1">
      <c r="A547" s="7"/>
      <c r="B547" s="7"/>
      <c r="C547" s="7"/>
      <c r="D547" s="7"/>
      <c r="E547" s="7"/>
      <c r="F547" s="7"/>
    </row>
    <row r="548" ht="15.75" customHeight="1">
      <c r="A548" s="7"/>
      <c r="B548" s="7"/>
      <c r="C548" s="7"/>
      <c r="D548" s="7"/>
      <c r="E548" s="7"/>
      <c r="F548" s="7"/>
    </row>
    <row r="549" ht="15.75" customHeight="1">
      <c r="A549" s="7"/>
      <c r="B549" s="7"/>
      <c r="C549" s="7"/>
      <c r="D549" s="7"/>
      <c r="E549" s="7"/>
      <c r="F549" s="7"/>
    </row>
    <row r="550" ht="15.75" customHeight="1">
      <c r="A550" s="7"/>
      <c r="B550" s="7"/>
      <c r="C550" s="7"/>
      <c r="D550" s="7"/>
      <c r="E550" s="7"/>
      <c r="F550" s="7"/>
    </row>
    <row r="551" ht="15.75" customHeight="1">
      <c r="A551" s="7"/>
      <c r="B551" s="7"/>
      <c r="C551" s="7"/>
      <c r="D551" s="7"/>
      <c r="E551" s="7"/>
      <c r="F551" s="7"/>
    </row>
    <row r="552" ht="15.75" customHeight="1">
      <c r="A552" s="7"/>
      <c r="B552" s="7"/>
      <c r="C552" s="7"/>
      <c r="D552" s="7"/>
      <c r="E552" s="7"/>
      <c r="F552" s="7"/>
    </row>
    <row r="553" ht="15.75" customHeight="1">
      <c r="A553" s="7"/>
      <c r="B553" s="7"/>
      <c r="C553" s="7"/>
      <c r="D553" s="7"/>
      <c r="E553" s="7"/>
      <c r="F553" s="7"/>
    </row>
    <row r="554" ht="15.75" customHeight="1">
      <c r="A554" s="7"/>
      <c r="B554" s="7"/>
      <c r="C554" s="7"/>
      <c r="D554" s="7"/>
      <c r="E554" s="7"/>
      <c r="F554" s="7"/>
    </row>
    <row r="555" ht="15.75" customHeight="1">
      <c r="A555" s="7"/>
      <c r="B555" s="7"/>
      <c r="C555" s="7"/>
      <c r="D555" s="7"/>
      <c r="E555" s="7"/>
      <c r="F555" s="7"/>
    </row>
    <row r="556" ht="15.75" customHeight="1">
      <c r="A556" s="7"/>
      <c r="B556" s="7"/>
      <c r="C556" s="7"/>
      <c r="D556" s="7"/>
      <c r="E556" s="7"/>
      <c r="F556" s="7"/>
    </row>
    <row r="557" ht="15.75" customHeight="1">
      <c r="A557" s="7"/>
      <c r="B557" s="7"/>
      <c r="C557" s="7"/>
      <c r="D557" s="7"/>
      <c r="E557" s="7"/>
      <c r="F557" s="7"/>
    </row>
    <row r="558" ht="15.75" customHeight="1">
      <c r="A558" s="7"/>
      <c r="B558" s="7"/>
      <c r="C558" s="7"/>
      <c r="D558" s="7"/>
      <c r="E558" s="7"/>
      <c r="F558" s="7"/>
    </row>
    <row r="559" ht="15.75" customHeight="1">
      <c r="A559" s="7"/>
      <c r="B559" s="7"/>
      <c r="C559" s="7"/>
      <c r="D559" s="7"/>
      <c r="E559" s="7"/>
      <c r="F559" s="7"/>
    </row>
    <row r="560" ht="15.75" customHeight="1">
      <c r="A560" s="7"/>
      <c r="B560" s="7"/>
      <c r="C560" s="7"/>
      <c r="D560" s="7"/>
      <c r="E560" s="7"/>
      <c r="F560" s="7"/>
    </row>
    <row r="561" ht="15.75" customHeight="1">
      <c r="A561" s="7"/>
      <c r="B561" s="7"/>
      <c r="C561" s="7"/>
      <c r="D561" s="7"/>
      <c r="E561" s="7"/>
      <c r="F561" s="7"/>
    </row>
    <row r="562" ht="15.75" customHeight="1">
      <c r="A562" s="7"/>
      <c r="B562" s="7"/>
      <c r="C562" s="7"/>
      <c r="D562" s="7"/>
      <c r="E562" s="7"/>
      <c r="F562" s="7"/>
    </row>
    <row r="563" ht="15.75" customHeight="1">
      <c r="A563" s="7"/>
      <c r="B563" s="7"/>
      <c r="C563" s="7"/>
      <c r="D563" s="7"/>
      <c r="E563" s="7"/>
      <c r="F563" s="7"/>
    </row>
    <row r="564" ht="15.75" customHeight="1">
      <c r="A564" s="7"/>
      <c r="B564" s="7"/>
      <c r="C564" s="7"/>
      <c r="D564" s="7"/>
      <c r="E564" s="7"/>
      <c r="F564" s="7"/>
    </row>
    <row r="565" ht="15.75" customHeight="1">
      <c r="A565" s="7"/>
      <c r="B565" s="7"/>
      <c r="C565" s="7"/>
      <c r="D565" s="7"/>
      <c r="E565" s="7"/>
      <c r="F565" s="7"/>
    </row>
    <row r="566" ht="15.75" customHeight="1">
      <c r="A566" s="7"/>
      <c r="B566" s="7"/>
      <c r="C566" s="7"/>
      <c r="D566" s="7"/>
      <c r="E566" s="7"/>
      <c r="F566" s="7"/>
    </row>
    <row r="567" ht="15.75" customHeight="1">
      <c r="A567" s="7"/>
      <c r="B567" s="7"/>
      <c r="C567" s="7"/>
      <c r="D567" s="7"/>
      <c r="E567" s="7"/>
      <c r="F567" s="7"/>
    </row>
    <row r="568" ht="15.75" customHeight="1">
      <c r="A568" s="7"/>
      <c r="B568" s="7"/>
      <c r="C568" s="7"/>
      <c r="D568" s="7"/>
      <c r="E568" s="7"/>
      <c r="F568" s="7"/>
    </row>
    <row r="569" ht="15.75" customHeight="1">
      <c r="A569" s="7"/>
      <c r="B569" s="7"/>
      <c r="C569" s="7"/>
      <c r="D569" s="7"/>
      <c r="E569" s="7"/>
      <c r="F569" s="7"/>
    </row>
    <row r="570" ht="15.75" customHeight="1">
      <c r="A570" s="7"/>
      <c r="B570" s="7"/>
      <c r="C570" s="7"/>
      <c r="D570" s="7"/>
      <c r="E570" s="7"/>
      <c r="F570" s="7"/>
    </row>
    <row r="571" ht="15.75" customHeight="1">
      <c r="A571" s="7"/>
      <c r="B571" s="7"/>
      <c r="C571" s="7"/>
      <c r="D571" s="7"/>
      <c r="E571" s="7"/>
      <c r="F571" s="7"/>
    </row>
    <row r="572" ht="15.75" customHeight="1">
      <c r="A572" s="7"/>
      <c r="B572" s="7"/>
      <c r="C572" s="7"/>
      <c r="D572" s="7"/>
      <c r="E572" s="7"/>
      <c r="F572" s="7"/>
    </row>
    <row r="573" ht="15.75" customHeight="1">
      <c r="A573" s="7"/>
      <c r="B573" s="7"/>
      <c r="C573" s="7"/>
      <c r="D573" s="7"/>
      <c r="E573" s="7"/>
      <c r="F573" s="7"/>
    </row>
    <row r="574" ht="15.75" customHeight="1">
      <c r="A574" s="7"/>
      <c r="B574" s="7"/>
      <c r="C574" s="7"/>
      <c r="D574" s="7"/>
      <c r="E574" s="7"/>
      <c r="F574" s="7"/>
    </row>
    <row r="575" ht="15.75" customHeight="1">
      <c r="A575" s="7"/>
      <c r="B575" s="7"/>
      <c r="C575" s="7"/>
      <c r="D575" s="7"/>
      <c r="E575" s="7"/>
      <c r="F575" s="7"/>
    </row>
    <row r="576" ht="15.75" customHeight="1">
      <c r="A576" s="7"/>
      <c r="B576" s="7"/>
      <c r="C576" s="7"/>
      <c r="D576" s="7"/>
      <c r="E576" s="7"/>
      <c r="F576" s="7"/>
    </row>
    <row r="577" ht="15.75" customHeight="1">
      <c r="A577" s="7"/>
      <c r="B577" s="7"/>
      <c r="C577" s="7"/>
      <c r="D577" s="7"/>
      <c r="E577" s="7"/>
      <c r="F577" s="7"/>
    </row>
    <row r="578" ht="15.75" customHeight="1">
      <c r="A578" s="7"/>
      <c r="B578" s="7"/>
      <c r="C578" s="7"/>
      <c r="D578" s="7"/>
      <c r="E578" s="7"/>
      <c r="F578" s="7"/>
    </row>
    <row r="579" ht="15.75" customHeight="1">
      <c r="A579" s="7"/>
      <c r="B579" s="7"/>
      <c r="C579" s="7"/>
      <c r="D579" s="7"/>
      <c r="E579" s="7"/>
      <c r="F579" s="7"/>
    </row>
    <row r="580" ht="15.75" customHeight="1">
      <c r="A580" s="7"/>
      <c r="B580" s="7"/>
      <c r="C580" s="7"/>
      <c r="D580" s="7"/>
      <c r="E580" s="7"/>
      <c r="F580" s="7"/>
    </row>
    <row r="581" ht="15.75" customHeight="1">
      <c r="A581" s="7"/>
      <c r="B581" s="7"/>
      <c r="C581" s="7"/>
      <c r="D581" s="7"/>
      <c r="E581" s="7"/>
      <c r="F581" s="7"/>
    </row>
    <row r="582" ht="15.75" customHeight="1">
      <c r="A582" s="7"/>
      <c r="B582" s="7"/>
      <c r="C582" s="7"/>
      <c r="D582" s="7"/>
      <c r="E582" s="7"/>
      <c r="F582" s="7"/>
    </row>
    <row r="583" ht="15.75" customHeight="1">
      <c r="A583" s="7"/>
      <c r="B583" s="7"/>
      <c r="C583" s="7"/>
      <c r="D583" s="7"/>
      <c r="E583" s="7"/>
      <c r="F583" s="7"/>
    </row>
    <row r="584" ht="15.75" customHeight="1">
      <c r="A584" s="7"/>
      <c r="B584" s="7"/>
      <c r="C584" s="7"/>
      <c r="D584" s="7"/>
      <c r="E584" s="7"/>
      <c r="F584" s="7"/>
    </row>
    <row r="585" ht="15.75" customHeight="1">
      <c r="A585" s="7"/>
      <c r="B585" s="7"/>
      <c r="C585" s="7"/>
      <c r="D585" s="7"/>
      <c r="E585" s="7"/>
      <c r="F585" s="7"/>
    </row>
    <row r="586" ht="15.75" customHeight="1">
      <c r="A586" s="7"/>
      <c r="B586" s="7"/>
      <c r="C586" s="7"/>
      <c r="D586" s="7"/>
      <c r="E586" s="7"/>
      <c r="F586" s="7"/>
    </row>
    <row r="587" ht="15.75" customHeight="1">
      <c r="A587" s="7"/>
      <c r="B587" s="7"/>
      <c r="C587" s="7"/>
      <c r="D587" s="7"/>
      <c r="E587" s="7"/>
      <c r="F587" s="7"/>
    </row>
    <row r="588" ht="15.75" customHeight="1">
      <c r="A588" s="7"/>
      <c r="B588" s="7"/>
      <c r="C588" s="7"/>
      <c r="D588" s="7"/>
      <c r="E588" s="7"/>
      <c r="F588" s="7"/>
    </row>
    <row r="589" ht="15.75" customHeight="1">
      <c r="A589" s="7"/>
      <c r="B589" s="7"/>
      <c r="C589" s="7"/>
      <c r="D589" s="7"/>
      <c r="E589" s="7"/>
      <c r="F589" s="7"/>
    </row>
    <row r="590" ht="15.75" customHeight="1">
      <c r="A590" s="7"/>
      <c r="B590" s="7"/>
      <c r="C590" s="7"/>
      <c r="D590" s="7"/>
      <c r="E590" s="7"/>
      <c r="F590" s="7"/>
    </row>
    <row r="591" ht="15.75" customHeight="1">
      <c r="A591" s="7"/>
      <c r="B591" s="7"/>
      <c r="C591" s="7"/>
      <c r="D591" s="7"/>
      <c r="E591" s="7"/>
      <c r="F591" s="7"/>
    </row>
    <row r="592" ht="15.75" customHeight="1">
      <c r="A592" s="7"/>
      <c r="B592" s="7"/>
      <c r="C592" s="7"/>
      <c r="D592" s="7"/>
      <c r="E592" s="7"/>
      <c r="F592" s="7"/>
    </row>
    <row r="593" ht="15.75" customHeight="1">
      <c r="A593" s="7"/>
      <c r="B593" s="7"/>
      <c r="C593" s="7"/>
      <c r="D593" s="7"/>
      <c r="E593" s="7"/>
      <c r="F593" s="7"/>
    </row>
    <row r="594" ht="15.75" customHeight="1">
      <c r="A594" s="7"/>
      <c r="B594" s="7"/>
      <c r="C594" s="7"/>
      <c r="D594" s="7"/>
      <c r="E594" s="7"/>
      <c r="F594" s="7"/>
    </row>
    <row r="595" ht="15.75" customHeight="1">
      <c r="A595" s="7"/>
      <c r="B595" s="7"/>
      <c r="C595" s="7"/>
      <c r="D595" s="7"/>
      <c r="E595" s="7"/>
      <c r="F595" s="7"/>
    </row>
    <row r="596" ht="15.75" customHeight="1">
      <c r="A596" s="7"/>
      <c r="B596" s="7"/>
      <c r="C596" s="7"/>
      <c r="D596" s="7"/>
      <c r="E596" s="7"/>
      <c r="F596" s="7"/>
    </row>
    <row r="597" ht="15.75" customHeight="1">
      <c r="A597" s="7"/>
      <c r="B597" s="7"/>
      <c r="C597" s="7"/>
      <c r="D597" s="7"/>
      <c r="E597" s="7"/>
      <c r="F597" s="7"/>
    </row>
    <row r="598" ht="15.75" customHeight="1">
      <c r="A598" s="7"/>
      <c r="B598" s="7"/>
      <c r="C598" s="7"/>
      <c r="D598" s="7"/>
      <c r="E598" s="7"/>
      <c r="F598" s="7"/>
    </row>
    <row r="599" ht="15.75" customHeight="1">
      <c r="A599" s="7"/>
      <c r="B599" s="7"/>
      <c r="C599" s="7"/>
      <c r="D599" s="7"/>
      <c r="E599" s="7"/>
      <c r="F599" s="7"/>
    </row>
    <row r="600" ht="15.75" customHeight="1">
      <c r="A600" s="7"/>
      <c r="B600" s="7"/>
      <c r="C600" s="7"/>
      <c r="D600" s="7"/>
      <c r="E600" s="7"/>
      <c r="F600" s="7"/>
    </row>
    <row r="601" ht="15.75" customHeight="1">
      <c r="A601" s="7"/>
      <c r="B601" s="7"/>
      <c r="C601" s="7"/>
      <c r="D601" s="7"/>
      <c r="E601" s="7"/>
      <c r="F601" s="7"/>
    </row>
    <row r="602" ht="15.75" customHeight="1">
      <c r="A602" s="7"/>
      <c r="B602" s="7"/>
      <c r="C602" s="7"/>
      <c r="D602" s="7"/>
      <c r="E602" s="7"/>
      <c r="F602" s="7"/>
    </row>
    <row r="603" ht="15.75" customHeight="1">
      <c r="A603" s="7"/>
      <c r="B603" s="7"/>
      <c r="C603" s="7"/>
      <c r="D603" s="7"/>
      <c r="E603" s="7"/>
      <c r="F603" s="7"/>
    </row>
    <row r="604" ht="15.75" customHeight="1">
      <c r="A604" s="7"/>
      <c r="B604" s="7"/>
      <c r="C604" s="7"/>
      <c r="D604" s="7"/>
      <c r="E604" s="7"/>
      <c r="F604" s="7"/>
    </row>
    <row r="605" ht="15.75" customHeight="1">
      <c r="A605" s="7"/>
      <c r="B605" s="7"/>
      <c r="C605" s="7"/>
      <c r="D605" s="7"/>
      <c r="E605" s="7"/>
      <c r="F605" s="7"/>
    </row>
    <row r="606" ht="15.75" customHeight="1">
      <c r="A606" s="7"/>
      <c r="B606" s="7"/>
      <c r="C606" s="7"/>
      <c r="D606" s="7"/>
      <c r="E606" s="7"/>
      <c r="F606" s="7"/>
    </row>
    <row r="607" ht="15.75" customHeight="1">
      <c r="A607" s="7"/>
      <c r="B607" s="7"/>
      <c r="C607" s="7"/>
      <c r="D607" s="7"/>
      <c r="E607" s="7"/>
      <c r="F607" s="7"/>
    </row>
    <row r="608" ht="15.75" customHeight="1">
      <c r="A608" s="7"/>
      <c r="B608" s="7"/>
      <c r="C608" s="7"/>
      <c r="D608" s="7"/>
      <c r="E608" s="7"/>
      <c r="F608" s="7"/>
    </row>
    <row r="609" ht="15.75" customHeight="1">
      <c r="A609" s="7"/>
      <c r="B609" s="7"/>
      <c r="C609" s="7"/>
      <c r="D609" s="7"/>
      <c r="E609" s="7"/>
      <c r="F609" s="7"/>
    </row>
    <row r="610" ht="15.75" customHeight="1">
      <c r="A610" s="7"/>
      <c r="B610" s="7"/>
      <c r="C610" s="7"/>
      <c r="D610" s="7"/>
      <c r="E610" s="7"/>
      <c r="F610" s="7"/>
    </row>
    <row r="611" ht="15.75" customHeight="1">
      <c r="A611" s="7"/>
      <c r="B611" s="7"/>
      <c r="C611" s="7"/>
      <c r="D611" s="7"/>
      <c r="E611" s="7"/>
      <c r="F611" s="7"/>
    </row>
    <row r="612" ht="15.75" customHeight="1">
      <c r="A612" s="7"/>
      <c r="B612" s="7"/>
      <c r="C612" s="7"/>
      <c r="D612" s="7"/>
      <c r="E612" s="7"/>
      <c r="F612" s="7"/>
    </row>
    <row r="613" ht="15.75" customHeight="1">
      <c r="A613" s="7"/>
      <c r="B613" s="7"/>
      <c r="C613" s="7"/>
      <c r="D613" s="7"/>
      <c r="E613" s="7"/>
      <c r="F613" s="7"/>
    </row>
    <row r="614" ht="15.75" customHeight="1">
      <c r="A614" s="7"/>
      <c r="B614" s="7"/>
      <c r="C614" s="7"/>
      <c r="D614" s="7"/>
      <c r="E614" s="7"/>
      <c r="F614" s="7"/>
    </row>
    <row r="615" ht="15.75" customHeight="1">
      <c r="A615" s="7"/>
      <c r="B615" s="7"/>
      <c r="C615" s="7"/>
      <c r="D615" s="7"/>
      <c r="E615" s="7"/>
      <c r="F615" s="7"/>
    </row>
    <row r="616" ht="15.75" customHeight="1">
      <c r="A616" s="7"/>
      <c r="B616" s="7"/>
      <c r="C616" s="7"/>
      <c r="D616" s="7"/>
      <c r="E616" s="7"/>
      <c r="F616" s="7"/>
    </row>
    <row r="617" ht="15.75" customHeight="1">
      <c r="A617" s="7"/>
      <c r="B617" s="7"/>
      <c r="C617" s="7"/>
      <c r="D617" s="7"/>
      <c r="E617" s="7"/>
      <c r="F617" s="7"/>
    </row>
    <row r="618" ht="15.75" customHeight="1">
      <c r="A618" s="7"/>
      <c r="B618" s="7"/>
      <c r="C618" s="7"/>
      <c r="D618" s="7"/>
      <c r="E618" s="7"/>
      <c r="F618" s="7"/>
    </row>
    <row r="619" ht="15.75" customHeight="1">
      <c r="A619" s="7"/>
      <c r="B619" s="7"/>
      <c r="C619" s="7"/>
      <c r="D619" s="7"/>
      <c r="E619" s="7"/>
      <c r="F619" s="7"/>
    </row>
    <row r="620" ht="15.75" customHeight="1">
      <c r="A620" s="7"/>
      <c r="B620" s="7"/>
      <c r="C620" s="7"/>
      <c r="D620" s="7"/>
      <c r="E620" s="7"/>
      <c r="F620" s="7"/>
    </row>
    <row r="621" ht="15.75" customHeight="1">
      <c r="A621" s="7"/>
      <c r="B621" s="7"/>
      <c r="C621" s="7"/>
      <c r="D621" s="7"/>
      <c r="E621" s="7"/>
      <c r="F621" s="7"/>
    </row>
    <row r="622" ht="15.75" customHeight="1">
      <c r="A622" s="7"/>
      <c r="B622" s="7"/>
      <c r="C622" s="7"/>
      <c r="D622" s="7"/>
      <c r="E622" s="7"/>
      <c r="F622" s="7"/>
    </row>
    <row r="623" ht="15.75" customHeight="1">
      <c r="A623" s="7"/>
      <c r="B623" s="7"/>
      <c r="C623" s="7"/>
      <c r="D623" s="7"/>
      <c r="E623" s="7"/>
      <c r="F623" s="7"/>
    </row>
    <row r="624" ht="15.75" customHeight="1">
      <c r="A624" s="7"/>
      <c r="B624" s="7"/>
      <c r="C624" s="7"/>
      <c r="D624" s="7"/>
      <c r="E624" s="7"/>
      <c r="F624" s="7"/>
    </row>
    <row r="625" ht="15.75" customHeight="1">
      <c r="A625" s="7"/>
      <c r="B625" s="7"/>
      <c r="C625" s="7"/>
      <c r="D625" s="7"/>
      <c r="E625" s="7"/>
      <c r="F625" s="7"/>
    </row>
    <row r="626" ht="15.75" customHeight="1">
      <c r="A626" s="7"/>
      <c r="B626" s="7"/>
      <c r="C626" s="7"/>
      <c r="D626" s="7"/>
      <c r="E626" s="7"/>
      <c r="F626" s="7"/>
    </row>
    <row r="627" ht="15.75" customHeight="1">
      <c r="A627" s="7"/>
      <c r="B627" s="7"/>
      <c r="C627" s="7"/>
      <c r="D627" s="7"/>
      <c r="E627" s="7"/>
      <c r="F627" s="7"/>
    </row>
    <row r="628" ht="15.75" customHeight="1">
      <c r="A628" s="7"/>
      <c r="B628" s="7"/>
      <c r="C628" s="7"/>
      <c r="D628" s="7"/>
      <c r="E628" s="7"/>
      <c r="F628" s="7"/>
    </row>
    <row r="629" ht="15.75" customHeight="1">
      <c r="A629" s="7"/>
      <c r="B629" s="7"/>
      <c r="C629" s="7"/>
      <c r="D629" s="7"/>
      <c r="E629" s="7"/>
      <c r="F629" s="7"/>
    </row>
    <row r="630" ht="15.75" customHeight="1">
      <c r="A630" s="7"/>
      <c r="B630" s="7"/>
      <c r="C630" s="7"/>
      <c r="D630" s="7"/>
      <c r="E630" s="7"/>
      <c r="F630" s="7"/>
    </row>
    <row r="631" ht="15.75" customHeight="1">
      <c r="A631" s="7"/>
      <c r="B631" s="7"/>
      <c r="C631" s="7"/>
      <c r="D631" s="7"/>
      <c r="E631" s="7"/>
      <c r="F631" s="7"/>
    </row>
    <row r="632" ht="15.75" customHeight="1">
      <c r="A632" s="7"/>
      <c r="B632" s="7"/>
      <c r="C632" s="7"/>
      <c r="D632" s="7"/>
      <c r="E632" s="7"/>
      <c r="F632" s="7"/>
    </row>
    <row r="633" ht="15.75" customHeight="1">
      <c r="A633" s="7"/>
      <c r="B633" s="7"/>
      <c r="C633" s="7"/>
      <c r="D633" s="7"/>
      <c r="E633" s="7"/>
      <c r="F633" s="7"/>
    </row>
    <row r="634" ht="15.75" customHeight="1">
      <c r="A634" s="7"/>
      <c r="B634" s="7"/>
      <c r="C634" s="7"/>
      <c r="D634" s="7"/>
      <c r="E634" s="7"/>
      <c r="F634" s="7"/>
    </row>
    <row r="635" ht="15.75" customHeight="1">
      <c r="A635" s="7"/>
      <c r="B635" s="7"/>
      <c r="C635" s="7"/>
      <c r="D635" s="7"/>
      <c r="E635" s="7"/>
      <c r="F635" s="7"/>
    </row>
    <row r="636" ht="15.75" customHeight="1">
      <c r="A636" s="7"/>
      <c r="B636" s="7"/>
      <c r="C636" s="7"/>
      <c r="D636" s="7"/>
      <c r="E636" s="7"/>
      <c r="F636" s="7"/>
    </row>
    <row r="637" ht="15.75" customHeight="1">
      <c r="A637" s="7"/>
      <c r="B637" s="7"/>
      <c r="C637" s="7"/>
      <c r="D637" s="7"/>
      <c r="E637" s="7"/>
      <c r="F637" s="7"/>
    </row>
    <row r="638" ht="15.75" customHeight="1">
      <c r="A638" s="7"/>
      <c r="B638" s="7"/>
      <c r="C638" s="7"/>
      <c r="D638" s="7"/>
      <c r="E638" s="7"/>
      <c r="F638" s="7"/>
    </row>
    <row r="639" ht="15.75" customHeight="1">
      <c r="A639" s="7"/>
      <c r="B639" s="7"/>
      <c r="C639" s="7"/>
      <c r="D639" s="7"/>
      <c r="E639" s="7"/>
      <c r="F639" s="7"/>
    </row>
    <row r="640" ht="15.75" customHeight="1">
      <c r="A640" s="7"/>
      <c r="B640" s="7"/>
      <c r="C640" s="7"/>
      <c r="D640" s="7"/>
      <c r="E640" s="7"/>
      <c r="F640" s="7"/>
    </row>
    <row r="641" ht="15.75" customHeight="1">
      <c r="A641" s="7"/>
      <c r="B641" s="7"/>
      <c r="C641" s="7"/>
      <c r="D641" s="7"/>
      <c r="E641" s="7"/>
      <c r="F641" s="7"/>
    </row>
    <row r="642" ht="15.75" customHeight="1">
      <c r="A642" s="7"/>
      <c r="B642" s="7"/>
      <c r="C642" s="7"/>
      <c r="D642" s="7"/>
      <c r="E642" s="7"/>
      <c r="F642" s="7"/>
    </row>
    <row r="643" ht="15.75" customHeight="1">
      <c r="A643" s="7"/>
      <c r="B643" s="7"/>
      <c r="C643" s="7"/>
      <c r="D643" s="7"/>
      <c r="E643" s="7"/>
      <c r="F643" s="7"/>
    </row>
    <row r="644" ht="15.75" customHeight="1">
      <c r="A644" s="7"/>
      <c r="B644" s="7"/>
      <c r="C644" s="7"/>
      <c r="D644" s="7"/>
      <c r="E644" s="7"/>
      <c r="F644" s="7"/>
    </row>
    <row r="645" ht="15.75" customHeight="1">
      <c r="A645" s="7"/>
      <c r="B645" s="7"/>
      <c r="C645" s="7"/>
      <c r="D645" s="7"/>
      <c r="E645" s="7"/>
      <c r="F645" s="7"/>
    </row>
    <row r="646" ht="15.75" customHeight="1">
      <c r="A646" s="7"/>
      <c r="B646" s="7"/>
      <c r="C646" s="7"/>
      <c r="D646" s="7"/>
      <c r="E646" s="7"/>
      <c r="F646" s="7"/>
    </row>
    <row r="647" ht="15.75" customHeight="1">
      <c r="A647" s="7"/>
      <c r="B647" s="7"/>
      <c r="C647" s="7"/>
      <c r="D647" s="7"/>
      <c r="E647" s="7"/>
      <c r="F647" s="7"/>
    </row>
    <row r="648" ht="15.75" customHeight="1">
      <c r="A648" s="7"/>
      <c r="B648" s="7"/>
      <c r="C648" s="7"/>
      <c r="D648" s="7"/>
      <c r="E648" s="7"/>
      <c r="F648" s="7"/>
    </row>
    <row r="649" ht="15.75" customHeight="1">
      <c r="A649" s="7"/>
      <c r="B649" s="7"/>
      <c r="C649" s="7"/>
      <c r="D649" s="7"/>
      <c r="E649" s="7"/>
      <c r="F649" s="7"/>
    </row>
    <row r="650" ht="15.75" customHeight="1">
      <c r="A650" s="7"/>
      <c r="B650" s="7"/>
      <c r="C650" s="7"/>
      <c r="D650" s="7"/>
      <c r="E650" s="7"/>
      <c r="F650" s="7"/>
    </row>
    <row r="651" ht="15.75" customHeight="1">
      <c r="A651" s="7"/>
      <c r="B651" s="7"/>
      <c r="C651" s="7"/>
      <c r="D651" s="7"/>
      <c r="E651" s="7"/>
      <c r="F651" s="7"/>
    </row>
    <row r="652" ht="15.75" customHeight="1">
      <c r="A652" s="7"/>
      <c r="B652" s="7"/>
      <c r="C652" s="7"/>
      <c r="D652" s="7"/>
      <c r="E652" s="7"/>
      <c r="F652" s="7"/>
    </row>
    <row r="653" ht="15.75" customHeight="1">
      <c r="A653" s="7"/>
      <c r="B653" s="7"/>
      <c r="C653" s="7"/>
      <c r="D653" s="7"/>
      <c r="E653" s="7"/>
      <c r="F653" s="7"/>
    </row>
    <row r="654" ht="15.75" customHeight="1">
      <c r="A654" s="7"/>
      <c r="B654" s="7"/>
      <c r="C654" s="7"/>
      <c r="D654" s="7"/>
      <c r="E654" s="7"/>
      <c r="F654" s="7"/>
    </row>
    <row r="655" ht="15.75" customHeight="1">
      <c r="A655" s="7"/>
      <c r="B655" s="7"/>
      <c r="C655" s="7"/>
      <c r="D655" s="7"/>
      <c r="E655" s="7"/>
      <c r="F655" s="7"/>
    </row>
    <row r="656" ht="15.75" customHeight="1">
      <c r="A656" s="7"/>
      <c r="B656" s="7"/>
      <c r="C656" s="7"/>
      <c r="D656" s="7"/>
      <c r="E656" s="7"/>
      <c r="F656" s="7"/>
    </row>
    <row r="657" ht="15.75" customHeight="1">
      <c r="A657" s="7"/>
      <c r="B657" s="7"/>
      <c r="C657" s="7"/>
      <c r="D657" s="7"/>
      <c r="E657" s="7"/>
      <c r="F657" s="7"/>
    </row>
    <row r="658" ht="15.75" customHeight="1">
      <c r="A658" s="7"/>
      <c r="B658" s="7"/>
      <c r="C658" s="7"/>
      <c r="D658" s="7"/>
      <c r="E658" s="7"/>
      <c r="F658" s="7"/>
    </row>
    <row r="659" ht="15.75" customHeight="1">
      <c r="A659" s="7"/>
      <c r="B659" s="7"/>
      <c r="C659" s="7"/>
      <c r="D659" s="7"/>
      <c r="E659" s="7"/>
      <c r="F659" s="7"/>
    </row>
    <row r="660" ht="15.75" customHeight="1">
      <c r="A660" s="7"/>
      <c r="B660" s="7"/>
      <c r="C660" s="7"/>
      <c r="D660" s="7"/>
      <c r="E660" s="7"/>
      <c r="F660" s="7"/>
    </row>
    <row r="661" ht="15.75" customHeight="1">
      <c r="A661" s="7"/>
      <c r="B661" s="7"/>
      <c r="C661" s="7"/>
      <c r="D661" s="7"/>
      <c r="E661" s="7"/>
      <c r="F661" s="7"/>
    </row>
    <row r="662" ht="15.75" customHeight="1">
      <c r="A662" s="7"/>
      <c r="B662" s="7"/>
      <c r="C662" s="7"/>
      <c r="D662" s="7"/>
      <c r="E662" s="7"/>
      <c r="F662" s="7"/>
    </row>
    <row r="663" ht="15.75" customHeight="1">
      <c r="A663" s="7"/>
      <c r="B663" s="7"/>
      <c r="C663" s="7"/>
      <c r="D663" s="7"/>
      <c r="E663" s="7"/>
      <c r="F663" s="7"/>
    </row>
    <row r="664" ht="15.75" customHeight="1">
      <c r="A664" s="7"/>
      <c r="B664" s="7"/>
      <c r="C664" s="7"/>
      <c r="D664" s="7"/>
      <c r="E664" s="7"/>
      <c r="F664" s="7"/>
    </row>
    <row r="665" ht="15.75" customHeight="1">
      <c r="A665" s="7"/>
      <c r="B665" s="7"/>
      <c r="C665" s="7"/>
      <c r="D665" s="7"/>
      <c r="E665" s="7"/>
      <c r="F665" s="7"/>
    </row>
    <row r="666" ht="15.75" customHeight="1">
      <c r="A666" s="7"/>
      <c r="B666" s="7"/>
      <c r="C666" s="7"/>
      <c r="D666" s="7"/>
      <c r="E666" s="7"/>
      <c r="F666" s="7"/>
    </row>
    <row r="667" ht="15.75" customHeight="1">
      <c r="A667" s="7"/>
      <c r="B667" s="7"/>
      <c r="C667" s="7"/>
      <c r="D667" s="7"/>
      <c r="E667" s="7"/>
      <c r="F667" s="7"/>
    </row>
    <row r="668" ht="15.75" customHeight="1">
      <c r="A668" s="7"/>
      <c r="B668" s="7"/>
      <c r="C668" s="7"/>
      <c r="D668" s="7"/>
      <c r="E668" s="7"/>
      <c r="F668" s="7"/>
    </row>
    <row r="669" ht="15.75" customHeight="1">
      <c r="A669" s="7"/>
      <c r="B669" s="7"/>
      <c r="C669" s="7"/>
      <c r="D669" s="7"/>
      <c r="E669" s="7"/>
      <c r="F669" s="7"/>
    </row>
    <row r="670" ht="15.75" customHeight="1">
      <c r="A670" s="7"/>
      <c r="B670" s="7"/>
      <c r="C670" s="7"/>
      <c r="D670" s="7"/>
      <c r="E670" s="7"/>
      <c r="F670" s="7"/>
    </row>
    <row r="671" ht="15.75" customHeight="1">
      <c r="A671" s="7"/>
      <c r="B671" s="7"/>
      <c r="C671" s="7"/>
      <c r="D671" s="7"/>
      <c r="E671" s="7"/>
      <c r="F671" s="7"/>
    </row>
    <row r="672" ht="15.75" customHeight="1">
      <c r="A672" s="7"/>
      <c r="B672" s="7"/>
      <c r="C672" s="7"/>
      <c r="D672" s="7"/>
      <c r="E672" s="7"/>
      <c r="F672" s="7"/>
    </row>
    <row r="673" ht="15.75" customHeight="1">
      <c r="A673" s="7"/>
      <c r="B673" s="7"/>
      <c r="C673" s="7"/>
      <c r="D673" s="7"/>
      <c r="E673" s="7"/>
      <c r="F673" s="7"/>
    </row>
    <row r="674" ht="15.75" customHeight="1">
      <c r="A674" s="7"/>
      <c r="B674" s="7"/>
      <c r="C674" s="7"/>
      <c r="D674" s="7"/>
      <c r="E674" s="7"/>
      <c r="F674" s="7"/>
    </row>
    <row r="675" ht="15.75" customHeight="1">
      <c r="A675" s="7"/>
      <c r="B675" s="7"/>
      <c r="C675" s="7"/>
      <c r="D675" s="7"/>
      <c r="E675" s="7"/>
      <c r="F675" s="7"/>
    </row>
    <row r="676" ht="15.75" customHeight="1">
      <c r="A676" s="7"/>
      <c r="B676" s="7"/>
      <c r="C676" s="7"/>
      <c r="D676" s="7"/>
      <c r="E676" s="7"/>
      <c r="F676" s="7"/>
    </row>
    <row r="677" ht="15.75" customHeight="1">
      <c r="A677" s="7"/>
      <c r="B677" s="7"/>
      <c r="C677" s="7"/>
      <c r="D677" s="7"/>
      <c r="E677" s="7"/>
      <c r="F677" s="7"/>
    </row>
    <row r="678" ht="15.75" customHeight="1">
      <c r="A678" s="7"/>
      <c r="B678" s="7"/>
      <c r="C678" s="7"/>
      <c r="D678" s="7"/>
      <c r="E678" s="7"/>
      <c r="F678" s="7"/>
    </row>
    <row r="679" ht="15.75" customHeight="1">
      <c r="A679" s="7"/>
      <c r="B679" s="7"/>
      <c r="C679" s="7"/>
      <c r="D679" s="7"/>
      <c r="E679" s="7"/>
      <c r="F679" s="7"/>
    </row>
    <row r="680" ht="15.75" customHeight="1">
      <c r="A680" s="7"/>
      <c r="B680" s="7"/>
      <c r="C680" s="7"/>
      <c r="D680" s="7"/>
      <c r="E680" s="7"/>
      <c r="F680" s="7"/>
    </row>
    <row r="681" ht="15.75" customHeight="1">
      <c r="A681" s="7"/>
      <c r="B681" s="7"/>
      <c r="C681" s="7"/>
      <c r="D681" s="7"/>
      <c r="E681" s="7"/>
      <c r="F681" s="7"/>
    </row>
    <row r="682" ht="15.75" customHeight="1">
      <c r="A682" s="7"/>
      <c r="B682" s="7"/>
      <c r="C682" s="7"/>
      <c r="D682" s="7"/>
      <c r="E682" s="7"/>
      <c r="F682" s="7"/>
    </row>
    <row r="683" ht="15.75" customHeight="1">
      <c r="A683" s="7"/>
      <c r="B683" s="7"/>
      <c r="C683" s="7"/>
      <c r="D683" s="7"/>
      <c r="E683" s="7"/>
      <c r="F683" s="7"/>
    </row>
    <row r="684" ht="15.75" customHeight="1">
      <c r="A684" s="7"/>
      <c r="B684" s="7"/>
      <c r="C684" s="7"/>
      <c r="D684" s="7"/>
      <c r="E684" s="7"/>
      <c r="F684" s="7"/>
    </row>
    <row r="685" ht="15.75" customHeight="1">
      <c r="A685" s="7"/>
      <c r="B685" s="7"/>
      <c r="C685" s="7"/>
      <c r="D685" s="7"/>
      <c r="E685" s="7"/>
      <c r="F685" s="7"/>
    </row>
    <row r="686" ht="15.75" customHeight="1">
      <c r="A686" s="7"/>
      <c r="B686" s="7"/>
      <c r="C686" s="7"/>
      <c r="D686" s="7"/>
      <c r="E686" s="7"/>
      <c r="F686" s="7"/>
    </row>
    <row r="687" ht="15.75" customHeight="1">
      <c r="A687" s="7"/>
      <c r="B687" s="7"/>
      <c r="C687" s="7"/>
      <c r="D687" s="7"/>
      <c r="E687" s="7"/>
      <c r="F687" s="7"/>
    </row>
    <row r="688" ht="15.75" customHeight="1">
      <c r="A688" s="7"/>
      <c r="B688" s="7"/>
      <c r="C688" s="7"/>
      <c r="D688" s="7"/>
      <c r="E688" s="7"/>
      <c r="F688" s="7"/>
    </row>
    <row r="689" ht="15.75" customHeight="1">
      <c r="A689" s="7"/>
      <c r="B689" s="7"/>
      <c r="C689" s="7"/>
      <c r="D689" s="7"/>
      <c r="E689" s="7"/>
      <c r="F689" s="7"/>
    </row>
    <row r="690" ht="15.75" customHeight="1">
      <c r="A690" s="7"/>
      <c r="B690" s="7"/>
      <c r="C690" s="7"/>
      <c r="D690" s="7"/>
      <c r="E690" s="7"/>
      <c r="F690" s="7"/>
    </row>
    <row r="691" ht="15.75" customHeight="1">
      <c r="A691" s="7"/>
      <c r="B691" s="7"/>
      <c r="C691" s="7"/>
      <c r="D691" s="7"/>
      <c r="E691" s="7"/>
      <c r="F691" s="7"/>
    </row>
    <row r="692" ht="15.75" customHeight="1">
      <c r="A692" s="7"/>
      <c r="B692" s="7"/>
      <c r="C692" s="7"/>
      <c r="D692" s="7"/>
      <c r="E692" s="7"/>
      <c r="F692" s="7"/>
    </row>
    <row r="693" ht="15.75" customHeight="1">
      <c r="A693" s="7"/>
      <c r="B693" s="7"/>
      <c r="C693" s="7"/>
      <c r="D693" s="7"/>
      <c r="E693" s="7"/>
      <c r="F693" s="7"/>
    </row>
    <row r="694" ht="15.75" customHeight="1">
      <c r="A694" s="7"/>
      <c r="B694" s="7"/>
      <c r="C694" s="7"/>
      <c r="D694" s="7"/>
      <c r="E694" s="7"/>
      <c r="F694" s="7"/>
    </row>
    <row r="695" ht="15.75" customHeight="1">
      <c r="A695" s="7"/>
      <c r="B695" s="7"/>
      <c r="C695" s="7"/>
      <c r="D695" s="7"/>
      <c r="E695" s="7"/>
      <c r="F695" s="7"/>
    </row>
    <row r="696" ht="15.75" customHeight="1">
      <c r="A696" s="7"/>
      <c r="B696" s="7"/>
      <c r="C696" s="7"/>
      <c r="D696" s="7"/>
      <c r="E696" s="7"/>
      <c r="F696" s="7"/>
    </row>
    <row r="697" ht="15.75" customHeight="1">
      <c r="A697" s="7"/>
      <c r="B697" s="7"/>
      <c r="C697" s="7"/>
      <c r="D697" s="7"/>
      <c r="E697" s="7"/>
      <c r="F697" s="7"/>
    </row>
    <row r="698" ht="15.75" customHeight="1">
      <c r="A698" s="7"/>
      <c r="B698" s="7"/>
      <c r="C698" s="7"/>
      <c r="D698" s="7"/>
      <c r="E698" s="7"/>
      <c r="F698" s="7"/>
    </row>
    <row r="699" ht="15.75" customHeight="1">
      <c r="A699" s="7"/>
      <c r="B699" s="7"/>
      <c r="C699" s="7"/>
      <c r="D699" s="7"/>
      <c r="E699" s="7"/>
      <c r="F699" s="7"/>
    </row>
    <row r="700" ht="15.75" customHeight="1">
      <c r="A700" s="7"/>
      <c r="B700" s="7"/>
      <c r="C700" s="7"/>
      <c r="D700" s="7"/>
      <c r="E700" s="7"/>
      <c r="F700" s="7"/>
    </row>
    <row r="701" ht="15.75" customHeight="1">
      <c r="A701" s="7"/>
      <c r="B701" s="7"/>
      <c r="C701" s="7"/>
      <c r="D701" s="7"/>
      <c r="E701" s="7"/>
      <c r="F701" s="7"/>
    </row>
    <row r="702" ht="15.75" customHeight="1">
      <c r="A702" s="7"/>
      <c r="B702" s="7"/>
      <c r="C702" s="7"/>
      <c r="D702" s="7"/>
      <c r="E702" s="7"/>
      <c r="F702" s="7"/>
    </row>
    <row r="703" ht="15.75" customHeight="1">
      <c r="A703" s="7"/>
      <c r="B703" s="7"/>
      <c r="C703" s="7"/>
      <c r="D703" s="7"/>
      <c r="E703" s="7"/>
      <c r="F703" s="7"/>
    </row>
    <row r="704" ht="15.75" customHeight="1">
      <c r="A704" s="7"/>
      <c r="B704" s="7"/>
      <c r="C704" s="7"/>
      <c r="D704" s="7"/>
      <c r="E704" s="7"/>
      <c r="F704" s="7"/>
    </row>
    <row r="705" ht="15.75" customHeight="1">
      <c r="A705" s="7"/>
      <c r="B705" s="7"/>
      <c r="C705" s="7"/>
      <c r="D705" s="7"/>
      <c r="E705" s="7"/>
      <c r="F705" s="7"/>
    </row>
    <row r="706" ht="15.75" customHeight="1">
      <c r="A706" s="7"/>
      <c r="B706" s="7"/>
      <c r="C706" s="7"/>
      <c r="D706" s="7"/>
      <c r="E706" s="7"/>
      <c r="F706" s="7"/>
    </row>
    <row r="707" ht="15.75" customHeight="1">
      <c r="A707" s="7"/>
      <c r="B707" s="7"/>
      <c r="C707" s="7"/>
      <c r="D707" s="7"/>
      <c r="E707" s="7"/>
      <c r="F707" s="7"/>
    </row>
    <row r="708" ht="15.75" customHeight="1">
      <c r="A708" s="7"/>
      <c r="B708" s="7"/>
      <c r="C708" s="7"/>
      <c r="D708" s="7"/>
      <c r="E708" s="7"/>
      <c r="F708" s="7"/>
    </row>
    <row r="709" ht="15.75" customHeight="1">
      <c r="A709" s="7"/>
      <c r="B709" s="7"/>
      <c r="C709" s="7"/>
      <c r="D709" s="7"/>
      <c r="E709" s="7"/>
      <c r="F709" s="7"/>
    </row>
    <row r="710" ht="15.75" customHeight="1">
      <c r="A710" s="7"/>
      <c r="B710" s="7"/>
      <c r="C710" s="7"/>
      <c r="D710" s="7"/>
      <c r="E710" s="7"/>
      <c r="F710" s="7"/>
    </row>
    <row r="711" ht="15.75" customHeight="1">
      <c r="A711" s="7"/>
      <c r="B711" s="7"/>
      <c r="C711" s="7"/>
      <c r="D711" s="7"/>
      <c r="E711" s="7"/>
      <c r="F711" s="7"/>
    </row>
    <row r="712" ht="15.75" customHeight="1">
      <c r="A712" s="7"/>
      <c r="B712" s="7"/>
      <c r="C712" s="7"/>
      <c r="D712" s="7"/>
      <c r="E712" s="7"/>
      <c r="F712" s="7"/>
    </row>
    <row r="713" ht="15.75" customHeight="1">
      <c r="A713" s="7"/>
      <c r="B713" s="7"/>
      <c r="C713" s="7"/>
      <c r="D713" s="7"/>
      <c r="E713" s="7"/>
      <c r="F713" s="7"/>
    </row>
    <row r="714" ht="15.75" customHeight="1">
      <c r="A714" s="7"/>
      <c r="B714" s="7"/>
      <c r="C714" s="7"/>
      <c r="D714" s="7"/>
      <c r="E714" s="7"/>
      <c r="F714" s="7"/>
    </row>
    <row r="715" ht="15.75" customHeight="1">
      <c r="A715" s="7"/>
      <c r="B715" s="7"/>
      <c r="C715" s="7"/>
      <c r="D715" s="7"/>
      <c r="E715" s="7"/>
      <c r="F715" s="7"/>
    </row>
    <row r="716" ht="15.75" customHeight="1">
      <c r="A716" s="7"/>
      <c r="B716" s="7"/>
      <c r="C716" s="7"/>
      <c r="D716" s="7"/>
      <c r="E716" s="7"/>
      <c r="F716" s="7"/>
    </row>
    <row r="717" ht="15.75" customHeight="1">
      <c r="A717" s="7"/>
      <c r="B717" s="7"/>
      <c r="C717" s="7"/>
      <c r="D717" s="7"/>
      <c r="E717" s="7"/>
      <c r="F717" s="7"/>
    </row>
    <row r="718" ht="15.75" customHeight="1">
      <c r="A718" s="7"/>
      <c r="B718" s="7"/>
      <c r="C718" s="7"/>
      <c r="D718" s="7"/>
      <c r="E718" s="7"/>
      <c r="F718" s="7"/>
    </row>
    <row r="719" ht="15.75" customHeight="1">
      <c r="A719" s="7"/>
      <c r="B719" s="7"/>
      <c r="C719" s="7"/>
      <c r="D719" s="7"/>
      <c r="E719" s="7"/>
      <c r="F719" s="7"/>
    </row>
    <row r="720" ht="15.75" customHeight="1">
      <c r="A720" s="7"/>
      <c r="B720" s="7"/>
      <c r="C720" s="7"/>
      <c r="D720" s="7"/>
      <c r="E720" s="7"/>
      <c r="F720" s="7"/>
    </row>
    <row r="721" ht="15.75" customHeight="1">
      <c r="A721" s="7"/>
      <c r="B721" s="7"/>
      <c r="C721" s="7"/>
      <c r="D721" s="7"/>
      <c r="E721" s="7"/>
      <c r="F721" s="7"/>
    </row>
    <row r="722" ht="15.75" customHeight="1">
      <c r="A722" s="7"/>
      <c r="B722" s="7"/>
      <c r="C722" s="7"/>
      <c r="D722" s="7"/>
      <c r="E722" s="7"/>
      <c r="F722" s="7"/>
    </row>
    <row r="723" ht="15.75" customHeight="1">
      <c r="A723" s="7"/>
      <c r="B723" s="7"/>
      <c r="C723" s="7"/>
      <c r="D723" s="7"/>
      <c r="E723" s="7"/>
      <c r="F723" s="7"/>
    </row>
    <row r="724" ht="15.75" customHeight="1">
      <c r="A724" s="7"/>
      <c r="B724" s="7"/>
      <c r="C724" s="7"/>
      <c r="D724" s="7"/>
      <c r="E724" s="7"/>
      <c r="F724" s="7"/>
    </row>
    <row r="725" ht="15.75" customHeight="1">
      <c r="A725" s="7"/>
      <c r="B725" s="7"/>
      <c r="C725" s="7"/>
      <c r="D725" s="7"/>
      <c r="E725" s="7"/>
      <c r="F725" s="7"/>
    </row>
    <row r="726" ht="15.75" customHeight="1">
      <c r="A726" s="7"/>
      <c r="B726" s="7"/>
      <c r="C726" s="7"/>
      <c r="D726" s="7"/>
      <c r="E726" s="7"/>
      <c r="F726" s="7"/>
    </row>
    <row r="727" ht="15.75" customHeight="1">
      <c r="A727" s="7"/>
      <c r="B727" s="7"/>
      <c r="C727" s="7"/>
      <c r="D727" s="7"/>
      <c r="E727" s="7"/>
      <c r="F727" s="7"/>
    </row>
    <row r="728" ht="15.75" customHeight="1">
      <c r="A728" s="7"/>
      <c r="B728" s="7"/>
      <c r="C728" s="7"/>
      <c r="D728" s="7"/>
      <c r="E728" s="7"/>
      <c r="F728" s="7"/>
    </row>
    <row r="729" ht="15.75" customHeight="1">
      <c r="A729" s="7"/>
      <c r="B729" s="7"/>
      <c r="C729" s="7"/>
      <c r="D729" s="7"/>
      <c r="E729" s="7"/>
      <c r="F729" s="7"/>
    </row>
    <row r="730" ht="15.75" customHeight="1">
      <c r="A730" s="7"/>
      <c r="B730" s="7"/>
      <c r="C730" s="7"/>
      <c r="D730" s="7"/>
      <c r="E730" s="7"/>
      <c r="F730" s="7"/>
    </row>
    <row r="731" ht="15.75" customHeight="1">
      <c r="A731" s="7"/>
      <c r="B731" s="7"/>
      <c r="C731" s="7"/>
      <c r="D731" s="7"/>
      <c r="E731" s="7"/>
      <c r="F731" s="7"/>
    </row>
    <row r="732" ht="15.75" customHeight="1">
      <c r="A732" s="7"/>
      <c r="B732" s="7"/>
      <c r="C732" s="7"/>
      <c r="D732" s="7"/>
      <c r="E732" s="7"/>
      <c r="F732" s="7"/>
    </row>
    <row r="733" ht="15.75" customHeight="1">
      <c r="A733" s="7"/>
      <c r="B733" s="7"/>
      <c r="C733" s="7"/>
      <c r="D733" s="7"/>
      <c r="E733" s="7"/>
      <c r="F733" s="7"/>
    </row>
    <row r="734" ht="15.75" customHeight="1">
      <c r="A734" s="7"/>
      <c r="B734" s="7"/>
      <c r="C734" s="7"/>
      <c r="D734" s="7"/>
      <c r="E734" s="7"/>
      <c r="F734" s="7"/>
    </row>
    <row r="735" ht="15.75" customHeight="1">
      <c r="A735" s="7"/>
      <c r="B735" s="7"/>
      <c r="C735" s="7"/>
      <c r="D735" s="7"/>
      <c r="E735" s="7"/>
      <c r="F735" s="7"/>
    </row>
    <row r="736" ht="15.75" customHeight="1">
      <c r="A736" s="7"/>
      <c r="B736" s="7"/>
      <c r="C736" s="7"/>
      <c r="D736" s="7"/>
      <c r="E736" s="7"/>
      <c r="F736" s="7"/>
    </row>
    <row r="737" ht="15.75" customHeight="1">
      <c r="A737" s="7"/>
      <c r="B737" s="7"/>
      <c r="C737" s="7"/>
      <c r="D737" s="7"/>
      <c r="E737" s="7"/>
      <c r="F737" s="7"/>
    </row>
    <row r="738" ht="15.75" customHeight="1">
      <c r="A738" s="7"/>
      <c r="B738" s="7"/>
      <c r="C738" s="7"/>
      <c r="D738" s="7"/>
      <c r="E738" s="7"/>
      <c r="F738" s="7"/>
    </row>
    <row r="739" ht="15.75" customHeight="1">
      <c r="A739" s="7"/>
      <c r="B739" s="7"/>
      <c r="C739" s="7"/>
      <c r="D739" s="7"/>
      <c r="E739" s="7"/>
      <c r="F739" s="7"/>
    </row>
    <row r="740" ht="15.75" customHeight="1">
      <c r="A740" s="7"/>
      <c r="B740" s="7"/>
      <c r="C740" s="7"/>
      <c r="D740" s="7"/>
      <c r="E740" s="7"/>
      <c r="F740" s="7"/>
    </row>
    <row r="741" ht="15.75" customHeight="1">
      <c r="A741" s="7"/>
      <c r="B741" s="7"/>
      <c r="C741" s="7"/>
      <c r="D741" s="7"/>
      <c r="E741" s="7"/>
      <c r="F741" s="7"/>
    </row>
    <row r="742" ht="15.75" customHeight="1">
      <c r="A742" s="7"/>
      <c r="B742" s="7"/>
      <c r="C742" s="7"/>
      <c r="D742" s="7"/>
      <c r="E742" s="7"/>
      <c r="F742" s="7"/>
    </row>
    <row r="743" ht="15.75" customHeight="1">
      <c r="A743" s="7"/>
      <c r="B743" s="7"/>
      <c r="C743" s="7"/>
      <c r="D743" s="7"/>
      <c r="E743" s="7"/>
      <c r="F743" s="7"/>
    </row>
    <row r="744" ht="15.75" customHeight="1">
      <c r="A744" s="7"/>
      <c r="B744" s="7"/>
      <c r="C744" s="7"/>
      <c r="D744" s="7"/>
      <c r="E744" s="7"/>
      <c r="F744" s="7"/>
    </row>
    <row r="745" ht="15.75" customHeight="1">
      <c r="A745" s="7"/>
      <c r="B745" s="7"/>
      <c r="C745" s="7"/>
      <c r="D745" s="7"/>
      <c r="E745" s="7"/>
      <c r="F745" s="7"/>
    </row>
    <row r="746" ht="15.75" customHeight="1">
      <c r="A746" s="7"/>
      <c r="B746" s="7"/>
      <c r="C746" s="7"/>
      <c r="D746" s="7"/>
      <c r="E746" s="7"/>
      <c r="F746" s="7"/>
    </row>
    <row r="747" ht="15.75" customHeight="1">
      <c r="A747" s="7"/>
      <c r="B747" s="7"/>
      <c r="C747" s="7"/>
      <c r="D747" s="7"/>
      <c r="E747" s="7"/>
      <c r="F747" s="7"/>
    </row>
    <row r="748" ht="15.75" customHeight="1">
      <c r="A748" s="7"/>
      <c r="B748" s="7"/>
      <c r="C748" s="7"/>
      <c r="D748" s="7"/>
      <c r="E748" s="7"/>
      <c r="F748" s="7"/>
    </row>
    <row r="749" ht="15.75" customHeight="1">
      <c r="A749" s="7"/>
      <c r="B749" s="7"/>
      <c r="C749" s="7"/>
      <c r="D749" s="7"/>
      <c r="E749" s="7"/>
      <c r="F749" s="7"/>
    </row>
    <row r="750" ht="15.75" customHeight="1">
      <c r="A750" s="7"/>
      <c r="B750" s="7"/>
      <c r="C750" s="7"/>
      <c r="D750" s="7"/>
      <c r="E750" s="7"/>
      <c r="F750" s="7"/>
    </row>
    <row r="751" ht="15.75" customHeight="1">
      <c r="A751" s="7"/>
      <c r="B751" s="7"/>
      <c r="C751" s="7"/>
      <c r="D751" s="7"/>
      <c r="E751" s="7"/>
      <c r="F751" s="7"/>
    </row>
    <row r="752" ht="15.75" customHeight="1">
      <c r="A752" s="7"/>
      <c r="B752" s="7"/>
      <c r="C752" s="7"/>
      <c r="D752" s="7"/>
      <c r="E752" s="7"/>
      <c r="F752" s="7"/>
    </row>
    <row r="753" ht="15.75" customHeight="1">
      <c r="A753" s="7"/>
      <c r="B753" s="7"/>
      <c r="C753" s="7"/>
      <c r="D753" s="7"/>
      <c r="E753" s="7"/>
      <c r="F753" s="7"/>
    </row>
    <row r="754" ht="15.75" customHeight="1">
      <c r="A754" s="7"/>
      <c r="B754" s="7"/>
      <c r="C754" s="7"/>
      <c r="D754" s="7"/>
      <c r="E754" s="7"/>
      <c r="F754" s="7"/>
    </row>
    <row r="755" ht="15.75" customHeight="1">
      <c r="A755" s="7"/>
      <c r="B755" s="7"/>
      <c r="C755" s="7"/>
      <c r="D755" s="7"/>
      <c r="E755" s="7"/>
      <c r="F755" s="7"/>
    </row>
    <row r="756" ht="15.75" customHeight="1">
      <c r="A756" s="7"/>
      <c r="B756" s="7"/>
      <c r="C756" s="7"/>
      <c r="D756" s="7"/>
      <c r="E756" s="7"/>
      <c r="F756" s="7"/>
    </row>
    <row r="757" ht="15.75" customHeight="1">
      <c r="A757" s="7"/>
      <c r="B757" s="7"/>
      <c r="C757" s="7"/>
      <c r="D757" s="7"/>
      <c r="E757" s="7"/>
      <c r="F757" s="7"/>
    </row>
    <row r="758" ht="15.75" customHeight="1">
      <c r="A758" s="7"/>
      <c r="B758" s="7"/>
      <c r="C758" s="7"/>
      <c r="D758" s="7"/>
      <c r="E758" s="7"/>
      <c r="F758" s="7"/>
    </row>
    <row r="759" ht="15.75" customHeight="1">
      <c r="A759" s="7"/>
      <c r="B759" s="7"/>
      <c r="C759" s="7"/>
      <c r="D759" s="7"/>
      <c r="E759" s="7"/>
      <c r="F759" s="7"/>
    </row>
    <row r="760" ht="15.75" customHeight="1">
      <c r="A760" s="7"/>
      <c r="B760" s="7"/>
      <c r="C760" s="7"/>
      <c r="D760" s="7"/>
      <c r="E760" s="7"/>
      <c r="F760" s="7"/>
    </row>
    <row r="761" ht="15.75" customHeight="1">
      <c r="A761" s="7"/>
      <c r="B761" s="7"/>
      <c r="C761" s="7"/>
      <c r="D761" s="7"/>
      <c r="E761" s="7"/>
      <c r="F761" s="7"/>
    </row>
    <row r="762" ht="15.75" customHeight="1">
      <c r="A762" s="7"/>
      <c r="B762" s="7"/>
      <c r="C762" s="7"/>
      <c r="D762" s="7"/>
      <c r="E762" s="7"/>
      <c r="F762" s="7"/>
    </row>
    <row r="763" ht="15.75" customHeight="1">
      <c r="A763" s="7"/>
      <c r="B763" s="7"/>
      <c r="C763" s="7"/>
      <c r="D763" s="7"/>
      <c r="E763" s="7"/>
      <c r="F763" s="7"/>
    </row>
    <row r="764" ht="15.75" customHeight="1">
      <c r="A764" s="7"/>
      <c r="B764" s="7"/>
      <c r="C764" s="7"/>
      <c r="D764" s="7"/>
      <c r="E764" s="7"/>
      <c r="F764" s="7"/>
    </row>
    <row r="765" ht="15.75" customHeight="1">
      <c r="A765" s="7"/>
      <c r="B765" s="7"/>
      <c r="C765" s="7"/>
      <c r="D765" s="7"/>
      <c r="E765" s="7"/>
      <c r="F765" s="7"/>
    </row>
    <row r="766" ht="15.75" customHeight="1">
      <c r="A766" s="7"/>
      <c r="B766" s="7"/>
      <c r="C766" s="7"/>
      <c r="D766" s="7"/>
      <c r="E766" s="7"/>
      <c r="F766" s="7"/>
    </row>
    <row r="767" ht="15.75" customHeight="1">
      <c r="A767" s="7"/>
      <c r="B767" s="7"/>
      <c r="C767" s="7"/>
      <c r="D767" s="7"/>
      <c r="E767" s="7"/>
      <c r="F767" s="7"/>
    </row>
    <row r="768" ht="15.75" customHeight="1">
      <c r="A768" s="7"/>
      <c r="B768" s="7"/>
      <c r="C768" s="7"/>
      <c r="D768" s="7"/>
      <c r="E768" s="7"/>
      <c r="F768" s="7"/>
    </row>
    <row r="769" ht="15.75" customHeight="1">
      <c r="A769" s="7"/>
      <c r="B769" s="7"/>
      <c r="C769" s="7"/>
      <c r="D769" s="7"/>
      <c r="E769" s="7"/>
      <c r="F769" s="7"/>
    </row>
    <row r="770" ht="15.75" customHeight="1">
      <c r="A770" s="7"/>
      <c r="B770" s="7"/>
      <c r="C770" s="7"/>
      <c r="D770" s="7"/>
      <c r="E770" s="7"/>
      <c r="F770" s="7"/>
    </row>
    <row r="771" ht="15.75" customHeight="1">
      <c r="A771" s="7"/>
      <c r="B771" s="7"/>
      <c r="C771" s="7"/>
      <c r="D771" s="7"/>
      <c r="E771" s="7"/>
      <c r="F771" s="7"/>
    </row>
    <row r="772" ht="15.75" customHeight="1">
      <c r="A772" s="7"/>
      <c r="B772" s="7"/>
      <c r="C772" s="7"/>
      <c r="D772" s="7"/>
      <c r="E772" s="7"/>
      <c r="F772" s="7"/>
    </row>
    <row r="773" ht="15.75" customHeight="1">
      <c r="A773" s="7"/>
      <c r="B773" s="7"/>
      <c r="C773" s="7"/>
      <c r="D773" s="7"/>
      <c r="E773" s="7"/>
      <c r="F773" s="7"/>
    </row>
    <row r="774" ht="15.75" customHeight="1">
      <c r="A774" s="7"/>
      <c r="B774" s="7"/>
      <c r="C774" s="7"/>
      <c r="D774" s="7"/>
      <c r="E774" s="7"/>
      <c r="F774" s="7"/>
    </row>
    <row r="775" ht="15.75" customHeight="1">
      <c r="A775" s="7"/>
      <c r="B775" s="7"/>
      <c r="C775" s="7"/>
      <c r="D775" s="7"/>
      <c r="E775" s="7"/>
      <c r="F775" s="7"/>
    </row>
    <row r="776" ht="15.75" customHeight="1">
      <c r="A776" s="7"/>
      <c r="B776" s="7"/>
      <c r="C776" s="7"/>
      <c r="D776" s="7"/>
      <c r="E776" s="7"/>
      <c r="F776" s="7"/>
    </row>
    <row r="777" ht="15.75" customHeight="1">
      <c r="A777" s="7"/>
      <c r="B777" s="7"/>
      <c r="C777" s="7"/>
      <c r="D777" s="7"/>
      <c r="E777" s="7"/>
      <c r="F777" s="7"/>
    </row>
    <row r="778" ht="15.75" customHeight="1">
      <c r="A778" s="7"/>
      <c r="B778" s="7"/>
      <c r="C778" s="7"/>
      <c r="D778" s="7"/>
      <c r="E778" s="7"/>
      <c r="F778" s="7"/>
    </row>
    <row r="779" ht="15.75" customHeight="1">
      <c r="A779" s="7"/>
      <c r="B779" s="7"/>
      <c r="C779" s="7"/>
      <c r="D779" s="7"/>
      <c r="E779" s="7"/>
      <c r="F779" s="7"/>
    </row>
    <row r="780" ht="15.75" customHeight="1">
      <c r="A780" s="7"/>
      <c r="B780" s="7"/>
      <c r="C780" s="7"/>
      <c r="D780" s="7"/>
      <c r="E780" s="7"/>
      <c r="F780" s="7"/>
    </row>
    <row r="781" ht="15.75" customHeight="1">
      <c r="A781" s="7"/>
      <c r="B781" s="7"/>
      <c r="C781" s="7"/>
      <c r="D781" s="7"/>
      <c r="E781" s="7"/>
      <c r="F781" s="7"/>
    </row>
    <row r="782" ht="15.75" customHeight="1">
      <c r="A782" s="7"/>
      <c r="B782" s="7"/>
      <c r="C782" s="7"/>
      <c r="D782" s="7"/>
      <c r="E782" s="7"/>
      <c r="F782" s="7"/>
    </row>
    <row r="783" ht="15.75" customHeight="1">
      <c r="A783" s="7"/>
      <c r="B783" s="7"/>
      <c r="C783" s="7"/>
      <c r="D783" s="7"/>
      <c r="E783" s="7"/>
      <c r="F783" s="7"/>
    </row>
    <row r="784" ht="15.75" customHeight="1">
      <c r="A784" s="7"/>
      <c r="B784" s="7"/>
      <c r="C784" s="7"/>
      <c r="D784" s="7"/>
      <c r="E784" s="7"/>
      <c r="F784" s="7"/>
    </row>
    <row r="785" ht="15.75" customHeight="1">
      <c r="A785" s="7"/>
      <c r="B785" s="7"/>
      <c r="C785" s="7"/>
      <c r="D785" s="7"/>
      <c r="E785" s="7"/>
      <c r="F785" s="7"/>
    </row>
    <row r="786" ht="15.75" customHeight="1">
      <c r="A786" s="7"/>
      <c r="B786" s="7"/>
      <c r="C786" s="7"/>
      <c r="D786" s="7"/>
      <c r="E786" s="7"/>
      <c r="F786" s="7"/>
    </row>
    <row r="787" ht="15.75" customHeight="1">
      <c r="A787" s="7"/>
      <c r="B787" s="7"/>
      <c r="C787" s="7"/>
      <c r="D787" s="7"/>
      <c r="E787" s="7"/>
      <c r="F787" s="7"/>
    </row>
    <row r="788" ht="15.75" customHeight="1">
      <c r="A788" s="7"/>
      <c r="B788" s="7"/>
      <c r="C788" s="7"/>
      <c r="D788" s="7"/>
      <c r="E788" s="7"/>
      <c r="F788" s="7"/>
    </row>
    <row r="789" ht="15.75" customHeight="1">
      <c r="A789" s="7"/>
      <c r="B789" s="7"/>
      <c r="C789" s="7"/>
      <c r="D789" s="7"/>
      <c r="E789" s="7"/>
      <c r="F789" s="7"/>
    </row>
    <row r="790" ht="15.75" customHeight="1">
      <c r="A790" s="7"/>
      <c r="B790" s="7"/>
      <c r="C790" s="7"/>
      <c r="D790" s="7"/>
      <c r="E790" s="7"/>
      <c r="F790" s="7"/>
    </row>
    <row r="791" ht="15.75" customHeight="1">
      <c r="A791" s="7"/>
      <c r="B791" s="7"/>
      <c r="C791" s="7"/>
      <c r="D791" s="7"/>
      <c r="E791" s="7"/>
      <c r="F791" s="7"/>
    </row>
    <row r="792" ht="15.75" customHeight="1">
      <c r="A792" s="7"/>
      <c r="B792" s="7"/>
      <c r="C792" s="7"/>
      <c r="D792" s="7"/>
      <c r="E792" s="7"/>
      <c r="F792" s="7"/>
    </row>
    <row r="793" ht="15.75" customHeight="1">
      <c r="A793" s="7"/>
      <c r="B793" s="7"/>
      <c r="C793" s="7"/>
      <c r="D793" s="7"/>
      <c r="E793" s="7"/>
      <c r="F793" s="7"/>
    </row>
    <row r="794" ht="15.75" customHeight="1">
      <c r="A794" s="7"/>
      <c r="B794" s="7"/>
      <c r="C794" s="7"/>
      <c r="D794" s="7"/>
      <c r="E794" s="7"/>
      <c r="F794" s="7"/>
    </row>
    <row r="795" ht="15.75" customHeight="1">
      <c r="A795" s="7"/>
      <c r="B795" s="7"/>
      <c r="C795" s="7"/>
      <c r="D795" s="7"/>
      <c r="E795" s="7"/>
      <c r="F795" s="7"/>
    </row>
    <row r="796" ht="15.75" customHeight="1">
      <c r="A796" s="7"/>
      <c r="B796" s="7"/>
      <c r="C796" s="7"/>
      <c r="D796" s="7"/>
      <c r="E796" s="7"/>
      <c r="F796" s="7"/>
    </row>
    <row r="797" ht="15.75" customHeight="1">
      <c r="A797" s="7"/>
      <c r="B797" s="7"/>
      <c r="C797" s="7"/>
      <c r="D797" s="7"/>
      <c r="E797" s="7"/>
      <c r="F797" s="7"/>
    </row>
    <row r="798" ht="15.75" customHeight="1">
      <c r="A798" s="7"/>
      <c r="B798" s="7"/>
      <c r="C798" s="7"/>
      <c r="D798" s="7"/>
      <c r="E798" s="7"/>
      <c r="F798" s="7"/>
    </row>
    <row r="799" ht="15.75" customHeight="1">
      <c r="A799" s="7"/>
      <c r="B799" s="7"/>
      <c r="C799" s="7"/>
      <c r="D799" s="7"/>
      <c r="E799" s="7"/>
      <c r="F799" s="7"/>
    </row>
    <row r="800" ht="15.75" customHeight="1">
      <c r="A800" s="7"/>
      <c r="B800" s="7"/>
      <c r="C800" s="7"/>
      <c r="D800" s="7"/>
      <c r="E800" s="7"/>
      <c r="F800" s="7"/>
    </row>
    <row r="801" ht="15.75" customHeight="1">
      <c r="A801" s="7"/>
      <c r="B801" s="7"/>
      <c r="C801" s="7"/>
      <c r="D801" s="7"/>
      <c r="E801" s="7"/>
      <c r="F801" s="7"/>
    </row>
    <row r="802" ht="15.75" customHeight="1">
      <c r="A802" s="7"/>
      <c r="B802" s="7"/>
      <c r="C802" s="7"/>
      <c r="D802" s="7"/>
      <c r="E802" s="7"/>
      <c r="F802" s="7"/>
    </row>
    <row r="803" ht="15.75" customHeight="1">
      <c r="A803" s="7"/>
      <c r="B803" s="7"/>
      <c r="C803" s="7"/>
      <c r="D803" s="7"/>
      <c r="E803" s="7"/>
      <c r="F803" s="7"/>
    </row>
    <row r="804" ht="15.75" customHeight="1">
      <c r="A804" s="7"/>
      <c r="B804" s="7"/>
      <c r="C804" s="7"/>
      <c r="D804" s="7"/>
      <c r="E804" s="7"/>
      <c r="F804" s="7"/>
    </row>
    <row r="805" ht="15.75" customHeight="1">
      <c r="A805" s="7"/>
      <c r="B805" s="7"/>
      <c r="C805" s="7"/>
      <c r="D805" s="7"/>
      <c r="E805" s="7"/>
      <c r="F805" s="7"/>
    </row>
    <row r="806" ht="15.75" customHeight="1">
      <c r="A806" s="7"/>
      <c r="B806" s="7"/>
      <c r="C806" s="7"/>
      <c r="D806" s="7"/>
      <c r="E806" s="7"/>
      <c r="F806" s="7"/>
    </row>
    <row r="807" ht="15.75" customHeight="1">
      <c r="A807" s="7"/>
      <c r="B807" s="7"/>
      <c r="C807" s="7"/>
      <c r="D807" s="7"/>
      <c r="E807" s="7"/>
      <c r="F807" s="7"/>
    </row>
    <row r="808" ht="15.75" customHeight="1">
      <c r="A808" s="7"/>
      <c r="B808" s="7"/>
      <c r="C808" s="7"/>
      <c r="D808" s="7"/>
      <c r="E808" s="7"/>
      <c r="F808" s="7"/>
    </row>
    <row r="809" ht="15.75" customHeight="1">
      <c r="A809" s="7"/>
      <c r="B809" s="7"/>
      <c r="C809" s="7"/>
      <c r="D809" s="7"/>
      <c r="E809" s="7"/>
      <c r="F809" s="7"/>
    </row>
    <row r="810" ht="15.75" customHeight="1">
      <c r="A810" s="7"/>
      <c r="B810" s="7"/>
      <c r="C810" s="7"/>
      <c r="D810" s="7"/>
      <c r="E810" s="7"/>
      <c r="F810" s="7"/>
    </row>
    <row r="811" ht="15.75" customHeight="1">
      <c r="A811" s="7"/>
      <c r="B811" s="7"/>
      <c r="C811" s="7"/>
      <c r="D811" s="7"/>
      <c r="E811" s="7"/>
      <c r="F811" s="7"/>
    </row>
    <row r="812" ht="15.75" customHeight="1">
      <c r="A812" s="7"/>
      <c r="B812" s="7"/>
      <c r="C812" s="7"/>
      <c r="D812" s="7"/>
      <c r="E812" s="7"/>
      <c r="F812" s="7"/>
    </row>
    <row r="813" ht="15.75" customHeight="1">
      <c r="A813" s="7"/>
      <c r="B813" s="7"/>
      <c r="C813" s="7"/>
      <c r="D813" s="7"/>
      <c r="E813" s="7"/>
      <c r="F813" s="7"/>
    </row>
    <row r="814" ht="15.75" customHeight="1">
      <c r="A814" s="7"/>
      <c r="B814" s="7"/>
      <c r="C814" s="7"/>
      <c r="D814" s="7"/>
      <c r="E814" s="7"/>
      <c r="F814" s="7"/>
    </row>
    <row r="815" ht="15.75" customHeight="1">
      <c r="A815" s="7"/>
      <c r="B815" s="7"/>
      <c r="C815" s="7"/>
      <c r="D815" s="7"/>
      <c r="E815" s="7"/>
      <c r="F815" s="7"/>
    </row>
    <row r="816" ht="15.75" customHeight="1">
      <c r="A816" s="7"/>
      <c r="B816" s="7"/>
      <c r="C816" s="7"/>
      <c r="D816" s="7"/>
      <c r="E816" s="7"/>
      <c r="F816" s="7"/>
    </row>
    <row r="817" ht="15.75" customHeight="1">
      <c r="A817" s="7"/>
      <c r="B817" s="7"/>
      <c r="C817" s="7"/>
      <c r="D817" s="7"/>
      <c r="E817" s="7"/>
      <c r="F817" s="7"/>
    </row>
    <row r="818" ht="15.75" customHeight="1">
      <c r="A818" s="7"/>
      <c r="B818" s="7"/>
      <c r="C818" s="7"/>
      <c r="D818" s="7"/>
      <c r="E818" s="7"/>
      <c r="F818" s="7"/>
    </row>
    <row r="819" ht="15.75" customHeight="1">
      <c r="A819" s="7"/>
      <c r="B819" s="7"/>
      <c r="C819" s="7"/>
      <c r="D819" s="7"/>
      <c r="E819" s="7"/>
      <c r="F819" s="7"/>
    </row>
    <row r="820" ht="15.75" customHeight="1">
      <c r="A820" s="7"/>
      <c r="B820" s="7"/>
      <c r="C820" s="7"/>
      <c r="D820" s="7"/>
      <c r="E820" s="7"/>
      <c r="F820" s="7"/>
    </row>
    <row r="821" ht="15.75" customHeight="1">
      <c r="A821" s="7"/>
      <c r="B821" s="7"/>
      <c r="C821" s="7"/>
      <c r="D821" s="7"/>
      <c r="E821" s="7"/>
      <c r="F821" s="7"/>
    </row>
    <row r="822" ht="15.75" customHeight="1">
      <c r="A822" s="7"/>
      <c r="B822" s="7"/>
      <c r="C822" s="7"/>
      <c r="D822" s="7"/>
      <c r="E822" s="7"/>
      <c r="F822" s="7"/>
    </row>
    <row r="823" ht="15.75" customHeight="1">
      <c r="A823" s="7"/>
      <c r="B823" s="7"/>
      <c r="C823" s="7"/>
      <c r="D823" s="7"/>
      <c r="E823" s="7"/>
      <c r="F823" s="7"/>
    </row>
    <row r="824" ht="15.75" customHeight="1">
      <c r="A824" s="7"/>
      <c r="B824" s="7"/>
      <c r="C824" s="7"/>
      <c r="D824" s="7"/>
      <c r="E824" s="7"/>
      <c r="F824" s="7"/>
    </row>
    <row r="825" ht="15.75" customHeight="1">
      <c r="A825" s="7"/>
      <c r="B825" s="7"/>
      <c r="C825" s="7"/>
      <c r="D825" s="7"/>
      <c r="E825" s="7"/>
      <c r="F825" s="7"/>
    </row>
    <row r="826" ht="15.75" customHeight="1">
      <c r="A826" s="7"/>
      <c r="B826" s="7"/>
      <c r="C826" s="7"/>
      <c r="D826" s="7"/>
      <c r="E826" s="7"/>
      <c r="F826" s="7"/>
    </row>
    <row r="827" ht="15.75" customHeight="1">
      <c r="A827" s="7"/>
      <c r="B827" s="7"/>
      <c r="C827" s="7"/>
      <c r="D827" s="7"/>
      <c r="E827" s="7"/>
      <c r="F827" s="7"/>
    </row>
    <row r="828" ht="15.75" customHeight="1">
      <c r="A828" s="7"/>
      <c r="B828" s="7"/>
      <c r="C828" s="7"/>
      <c r="D828" s="7"/>
      <c r="E828" s="7"/>
      <c r="F828" s="7"/>
    </row>
    <row r="829" ht="15.75" customHeight="1">
      <c r="A829" s="7"/>
      <c r="B829" s="7"/>
      <c r="C829" s="7"/>
      <c r="D829" s="7"/>
      <c r="E829" s="7"/>
      <c r="F829" s="7"/>
    </row>
    <row r="830" ht="15.75" customHeight="1">
      <c r="A830" s="7"/>
      <c r="B830" s="7"/>
      <c r="C830" s="7"/>
      <c r="D830" s="7"/>
      <c r="E830" s="7"/>
      <c r="F830" s="7"/>
    </row>
    <row r="831" ht="15.75" customHeight="1">
      <c r="A831" s="7"/>
      <c r="B831" s="7"/>
      <c r="C831" s="7"/>
      <c r="D831" s="7"/>
      <c r="E831" s="7"/>
      <c r="F831" s="7"/>
    </row>
    <row r="832" ht="15.75" customHeight="1">
      <c r="A832" s="7"/>
      <c r="B832" s="7"/>
      <c r="C832" s="7"/>
      <c r="D832" s="7"/>
      <c r="E832" s="7"/>
      <c r="F832" s="7"/>
    </row>
    <row r="833" ht="15.75" customHeight="1">
      <c r="A833" s="7"/>
      <c r="B833" s="7"/>
      <c r="C833" s="7"/>
      <c r="D833" s="7"/>
      <c r="E833" s="7"/>
      <c r="F833" s="7"/>
    </row>
    <row r="834" ht="15.75" customHeight="1">
      <c r="A834" s="7"/>
      <c r="B834" s="7"/>
      <c r="C834" s="7"/>
      <c r="D834" s="7"/>
      <c r="E834" s="7"/>
      <c r="F834" s="7"/>
    </row>
    <row r="835" ht="15.75" customHeight="1">
      <c r="A835" s="7"/>
      <c r="B835" s="7"/>
      <c r="C835" s="7"/>
      <c r="D835" s="7"/>
      <c r="E835" s="7"/>
      <c r="F835" s="7"/>
    </row>
    <row r="836" ht="15.75" customHeight="1">
      <c r="A836" s="7"/>
      <c r="B836" s="7"/>
      <c r="C836" s="7"/>
      <c r="D836" s="7"/>
      <c r="E836" s="7"/>
      <c r="F836" s="7"/>
    </row>
    <row r="837" ht="15.75" customHeight="1">
      <c r="A837" s="7"/>
      <c r="B837" s="7"/>
      <c r="C837" s="7"/>
      <c r="D837" s="7"/>
      <c r="E837" s="7"/>
      <c r="F837" s="7"/>
    </row>
    <row r="838" ht="15.75" customHeight="1">
      <c r="A838" s="7"/>
      <c r="B838" s="7"/>
      <c r="C838" s="7"/>
      <c r="D838" s="7"/>
      <c r="E838" s="7"/>
      <c r="F838" s="7"/>
    </row>
    <row r="839" ht="15.75" customHeight="1">
      <c r="A839" s="7"/>
      <c r="B839" s="7"/>
      <c r="C839" s="7"/>
      <c r="D839" s="7"/>
      <c r="E839" s="7"/>
      <c r="F839" s="7"/>
    </row>
    <row r="840" ht="15.75" customHeight="1">
      <c r="A840" s="7"/>
      <c r="B840" s="7"/>
      <c r="C840" s="7"/>
      <c r="D840" s="7"/>
      <c r="E840" s="7"/>
      <c r="F840" s="7"/>
    </row>
    <row r="841" ht="15.75" customHeight="1">
      <c r="A841" s="7"/>
      <c r="B841" s="7"/>
      <c r="C841" s="7"/>
      <c r="D841" s="7"/>
      <c r="E841" s="7"/>
      <c r="F841" s="7"/>
    </row>
    <row r="842" ht="15.75" customHeight="1">
      <c r="A842" s="7"/>
      <c r="B842" s="7"/>
      <c r="C842" s="7"/>
      <c r="D842" s="7"/>
      <c r="E842" s="7"/>
      <c r="F842" s="7"/>
    </row>
    <row r="843" ht="15.75" customHeight="1">
      <c r="A843" s="7"/>
      <c r="B843" s="7"/>
      <c r="C843" s="7"/>
      <c r="D843" s="7"/>
      <c r="E843" s="7"/>
      <c r="F843" s="7"/>
    </row>
    <row r="844" ht="15.75" customHeight="1">
      <c r="A844" s="7"/>
      <c r="B844" s="7"/>
      <c r="C844" s="7"/>
      <c r="D844" s="7"/>
      <c r="E844" s="7"/>
      <c r="F844" s="7"/>
    </row>
    <row r="845" ht="15.75" customHeight="1">
      <c r="A845" s="7"/>
      <c r="B845" s="7"/>
      <c r="C845" s="7"/>
      <c r="D845" s="7"/>
      <c r="E845" s="7"/>
      <c r="F845" s="7"/>
    </row>
    <row r="846" ht="15.75" customHeight="1">
      <c r="A846" s="7"/>
      <c r="B846" s="7"/>
      <c r="C846" s="7"/>
      <c r="D846" s="7"/>
      <c r="E846" s="7"/>
      <c r="F846" s="7"/>
    </row>
    <row r="847" ht="15.75" customHeight="1">
      <c r="A847" s="7"/>
      <c r="B847" s="7"/>
      <c r="C847" s="7"/>
      <c r="D847" s="7"/>
      <c r="E847" s="7"/>
      <c r="F847" s="7"/>
    </row>
    <row r="848" ht="15.75" customHeight="1">
      <c r="A848" s="7"/>
      <c r="B848" s="7"/>
      <c r="C848" s="7"/>
      <c r="D848" s="7"/>
      <c r="E848" s="7"/>
      <c r="F848" s="7"/>
    </row>
    <row r="849" ht="15.75" customHeight="1">
      <c r="A849" s="7"/>
      <c r="B849" s="7"/>
      <c r="C849" s="7"/>
      <c r="D849" s="7"/>
      <c r="E849" s="7"/>
      <c r="F849" s="7"/>
    </row>
    <row r="850" ht="15.75" customHeight="1">
      <c r="A850" s="7"/>
      <c r="B850" s="7"/>
      <c r="C850" s="7"/>
      <c r="D850" s="7"/>
      <c r="E850" s="7"/>
      <c r="F850" s="7"/>
    </row>
    <row r="851" ht="15.75" customHeight="1">
      <c r="A851" s="7"/>
      <c r="B851" s="7"/>
      <c r="C851" s="7"/>
      <c r="D851" s="7"/>
      <c r="E851" s="7"/>
      <c r="F851" s="7"/>
    </row>
    <row r="852" ht="15.75" customHeight="1">
      <c r="A852" s="7"/>
      <c r="B852" s="7"/>
      <c r="C852" s="7"/>
      <c r="D852" s="7"/>
      <c r="E852" s="7"/>
      <c r="F852" s="7"/>
    </row>
    <row r="853" ht="15.75" customHeight="1">
      <c r="A853" s="7"/>
      <c r="B853" s="7"/>
      <c r="C853" s="7"/>
      <c r="D853" s="7"/>
      <c r="E853" s="7"/>
      <c r="F853" s="7"/>
    </row>
    <row r="854" ht="15.75" customHeight="1">
      <c r="A854" s="7"/>
      <c r="B854" s="7"/>
      <c r="C854" s="7"/>
      <c r="D854" s="7"/>
      <c r="E854" s="7"/>
      <c r="F854" s="7"/>
    </row>
    <row r="855" ht="15.75" customHeight="1">
      <c r="A855" s="7"/>
      <c r="B855" s="7"/>
      <c r="C855" s="7"/>
      <c r="D855" s="7"/>
      <c r="E855" s="7"/>
      <c r="F855" s="7"/>
    </row>
    <row r="856" ht="15.75" customHeight="1">
      <c r="A856" s="7"/>
      <c r="B856" s="7"/>
      <c r="C856" s="7"/>
      <c r="D856" s="7"/>
      <c r="E856" s="7"/>
      <c r="F856" s="7"/>
    </row>
    <row r="857" ht="15.75" customHeight="1">
      <c r="A857" s="7"/>
      <c r="B857" s="7"/>
      <c r="C857" s="7"/>
      <c r="D857" s="7"/>
      <c r="E857" s="7"/>
      <c r="F857" s="7"/>
    </row>
    <row r="858" ht="15.75" customHeight="1">
      <c r="A858" s="7"/>
      <c r="B858" s="7"/>
      <c r="C858" s="7"/>
      <c r="D858" s="7"/>
      <c r="E858" s="7"/>
      <c r="F858" s="7"/>
    </row>
    <row r="859" ht="15.75" customHeight="1">
      <c r="A859" s="7"/>
      <c r="B859" s="7"/>
      <c r="C859" s="7"/>
      <c r="D859" s="7"/>
      <c r="E859" s="7"/>
      <c r="F859" s="7"/>
    </row>
    <row r="860" ht="15.75" customHeight="1">
      <c r="A860" s="7"/>
      <c r="B860" s="7"/>
      <c r="C860" s="7"/>
      <c r="D860" s="7"/>
      <c r="E860" s="7"/>
      <c r="F860" s="7"/>
    </row>
    <row r="861" ht="15.75" customHeight="1">
      <c r="A861" s="7"/>
      <c r="B861" s="7"/>
      <c r="C861" s="7"/>
      <c r="D861" s="7"/>
      <c r="E861" s="7"/>
      <c r="F861" s="7"/>
    </row>
    <row r="862" ht="15.75" customHeight="1">
      <c r="A862" s="7"/>
      <c r="B862" s="7"/>
      <c r="C862" s="7"/>
      <c r="D862" s="7"/>
      <c r="E862" s="7"/>
      <c r="F862" s="7"/>
    </row>
    <row r="863" ht="15.75" customHeight="1">
      <c r="A863" s="7"/>
      <c r="B863" s="7"/>
      <c r="C863" s="7"/>
      <c r="D863" s="7"/>
      <c r="E863" s="7"/>
      <c r="F863" s="7"/>
    </row>
    <row r="864" ht="15.75" customHeight="1">
      <c r="A864" s="7"/>
      <c r="B864" s="7"/>
      <c r="C864" s="7"/>
      <c r="D864" s="7"/>
      <c r="E864" s="7"/>
      <c r="F864" s="7"/>
    </row>
    <row r="865" ht="15.75" customHeight="1">
      <c r="A865" s="7"/>
      <c r="B865" s="7"/>
      <c r="C865" s="7"/>
      <c r="D865" s="7"/>
      <c r="E865" s="7"/>
      <c r="F865" s="7"/>
    </row>
    <row r="866" ht="15.75" customHeight="1">
      <c r="A866" s="7"/>
      <c r="B866" s="7"/>
      <c r="C866" s="7"/>
      <c r="D866" s="7"/>
      <c r="E866" s="7"/>
      <c r="F866" s="7"/>
    </row>
    <row r="867" ht="15.75" customHeight="1">
      <c r="A867" s="7"/>
      <c r="B867" s="7"/>
      <c r="C867" s="7"/>
      <c r="D867" s="7"/>
      <c r="E867" s="7"/>
      <c r="F867" s="7"/>
    </row>
    <row r="868" ht="15.75" customHeight="1">
      <c r="A868" s="7"/>
      <c r="B868" s="7"/>
      <c r="C868" s="7"/>
      <c r="D868" s="7"/>
      <c r="E868" s="7"/>
      <c r="F868" s="7"/>
    </row>
    <row r="869" ht="15.75" customHeight="1">
      <c r="A869" s="7"/>
      <c r="B869" s="7"/>
      <c r="C869" s="7"/>
      <c r="D869" s="7"/>
      <c r="E869" s="7"/>
      <c r="F869" s="7"/>
    </row>
    <row r="870" ht="15.75" customHeight="1">
      <c r="A870" s="7"/>
      <c r="B870" s="7"/>
      <c r="C870" s="7"/>
      <c r="D870" s="7"/>
      <c r="E870" s="7"/>
      <c r="F870" s="7"/>
    </row>
    <row r="871" ht="15.75" customHeight="1">
      <c r="A871" s="7"/>
      <c r="B871" s="7"/>
      <c r="C871" s="7"/>
      <c r="D871" s="7"/>
      <c r="E871" s="7"/>
      <c r="F871" s="7"/>
    </row>
    <row r="872" ht="15.75" customHeight="1">
      <c r="A872" s="7"/>
      <c r="B872" s="7"/>
      <c r="C872" s="7"/>
      <c r="D872" s="7"/>
      <c r="E872" s="7"/>
      <c r="F872" s="7"/>
    </row>
    <row r="873" ht="15.75" customHeight="1">
      <c r="A873" s="7"/>
      <c r="B873" s="7"/>
      <c r="C873" s="7"/>
      <c r="D873" s="7"/>
      <c r="E873" s="7"/>
      <c r="F873" s="7"/>
    </row>
    <row r="874" ht="15.75" customHeight="1">
      <c r="A874" s="7"/>
      <c r="B874" s="7"/>
      <c r="C874" s="7"/>
      <c r="D874" s="7"/>
      <c r="E874" s="7"/>
      <c r="F874" s="7"/>
    </row>
    <row r="875" ht="15.75" customHeight="1">
      <c r="A875" s="7"/>
      <c r="B875" s="7"/>
      <c r="C875" s="7"/>
      <c r="D875" s="7"/>
      <c r="E875" s="7"/>
      <c r="F875" s="7"/>
    </row>
    <row r="876" ht="15.75" customHeight="1">
      <c r="A876" s="7"/>
      <c r="B876" s="7"/>
      <c r="C876" s="7"/>
      <c r="D876" s="7"/>
      <c r="E876" s="7"/>
      <c r="F876" s="7"/>
    </row>
    <row r="877" ht="15.75" customHeight="1">
      <c r="A877" s="7"/>
      <c r="B877" s="7"/>
      <c r="C877" s="7"/>
      <c r="D877" s="7"/>
      <c r="E877" s="7"/>
      <c r="F877" s="7"/>
    </row>
    <row r="878" ht="15.75" customHeight="1">
      <c r="A878" s="7"/>
      <c r="B878" s="7"/>
      <c r="C878" s="7"/>
      <c r="D878" s="7"/>
      <c r="E878" s="7"/>
      <c r="F878" s="7"/>
    </row>
    <row r="879" ht="15.75" customHeight="1">
      <c r="A879" s="7"/>
      <c r="B879" s="7"/>
      <c r="C879" s="7"/>
      <c r="D879" s="7"/>
      <c r="E879" s="7"/>
      <c r="F879" s="7"/>
    </row>
    <row r="880" ht="15.75" customHeight="1">
      <c r="A880" s="7"/>
      <c r="B880" s="7"/>
      <c r="C880" s="7"/>
      <c r="D880" s="7"/>
      <c r="E880" s="7"/>
      <c r="F880" s="7"/>
    </row>
    <row r="881" ht="15.75" customHeight="1">
      <c r="A881" s="7"/>
      <c r="B881" s="7"/>
      <c r="C881" s="7"/>
      <c r="D881" s="7"/>
      <c r="E881" s="7"/>
      <c r="F881" s="7"/>
    </row>
    <row r="882" ht="15.75" customHeight="1">
      <c r="A882" s="7"/>
      <c r="B882" s="7"/>
      <c r="C882" s="7"/>
      <c r="D882" s="7"/>
      <c r="E882" s="7"/>
      <c r="F882" s="7"/>
    </row>
    <row r="883" ht="15.75" customHeight="1">
      <c r="A883" s="7"/>
      <c r="B883" s="7"/>
      <c r="C883" s="7"/>
      <c r="D883" s="7"/>
      <c r="E883" s="7"/>
      <c r="F883" s="7"/>
    </row>
    <row r="884" ht="15.75" customHeight="1">
      <c r="A884" s="7"/>
      <c r="B884" s="7"/>
      <c r="C884" s="7"/>
      <c r="D884" s="7"/>
      <c r="E884" s="7"/>
      <c r="F884" s="7"/>
    </row>
    <row r="885" ht="15.75" customHeight="1">
      <c r="A885" s="7"/>
      <c r="B885" s="7"/>
      <c r="C885" s="7"/>
      <c r="D885" s="7"/>
      <c r="E885" s="7"/>
      <c r="F885" s="7"/>
    </row>
    <row r="886" ht="15.75" customHeight="1">
      <c r="A886" s="7"/>
      <c r="B886" s="7"/>
      <c r="C886" s="7"/>
      <c r="D886" s="7"/>
      <c r="E886" s="7"/>
      <c r="F886" s="7"/>
    </row>
    <row r="887" ht="15.75" customHeight="1">
      <c r="A887" s="7"/>
      <c r="B887" s="7"/>
      <c r="C887" s="7"/>
      <c r="D887" s="7"/>
      <c r="E887" s="7"/>
      <c r="F887" s="7"/>
    </row>
    <row r="888" ht="15.75" customHeight="1">
      <c r="A888" s="7"/>
      <c r="B888" s="7"/>
      <c r="C888" s="7"/>
      <c r="D888" s="7"/>
      <c r="E888" s="7"/>
      <c r="F888" s="7"/>
    </row>
    <row r="889" ht="15.75" customHeight="1">
      <c r="A889" s="7"/>
      <c r="B889" s="7"/>
      <c r="C889" s="7"/>
      <c r="D889" s="7"/>
      <c r="E889" s="7"/>
      <c r="F889" s="7"/>
    </row>
    <row r="890" ht="15.75" customHeight="1">
      <c r="A890" s="7"/>
      <c r="B890" s="7"/>
      <c r="C890" s="7"/>
      <c r="D890" s="7"/>
      <c r="E890" s="7"/>
      <c r="F890" s="7"/>
    </row>
    <row r="891" ht="15.75" customHeight="1">
      <c r="A891" s="7"/>
      <c r="B891" s="7"/>
      <c r="C891" s="7"/>
      <c r="D891" s="7"/>
      <c r="E891" s="7"/>
      <c r="F891" s="7"/>
    </row>
    <row r="892" ht="15.75" customHeight="1">
      <c r="A892" s="7"/>
      <c r="B892" s="7"/>
      <c r="C892" s="7"/>
      <c r="D892" s="7"/>
      <c r="E892" s="7"/>
      <c r="F892" s="7"/>
    </row>
    <row r="893" ht="15.75" customHeight="1">
      <c r="A893" s="7"/>
      <c r="B893" s="7"/>
      <c r="C893" s="7"/>
      <c r="D893" s="7"/>
      <c r="E893" s="7"/>
      <c r="F893" s="7"/>
    </row>
    <row r="894" ht="15.75" customHeight="1">
      <c r="A894" s="7"/>
      <c r="B894" s="7"/>
      <c r="C894" s="7"/>
      <c r="D894" s="7"/>
      <c r="E894" s="7"/>
      <c r="F894" s="7"/>
    </row>
    <row r="895" ht="15.75" customHeight="1">
      <c r="A895" s="7"/>
      <c r="B895" s="7"/>
      <c r="C895" s="7"/>
      <c r="D895" s="7"/>
      <c r="E895" s="7"/>
      <c r="F895" s="7"/>
    </row>
    <row r="896" ht="15.75" customHeight="1">
      <c r="A896" s="7"/>
      <c r="B896" s="7"/>
      <c r="C896" s="7"/>
      <c r="D896" s="7"/>
      <c r="E896" s="7"/>
      <c r="F896" s="7"/>
    </row>
    <row r="897" ht="15.75" customHeight="1">
      <c r="A897" s="7"/>
      <c r="B897" s="7"/>
      <c r="C897" s="7"/>
      <c r="D897" s="7"/>
      <c r="E897" s="7"/>
      <c r="F897" s="7"/>
    </row>
    <row r="898" ht="15.75" customHeight="1">
      <c r="A898" s="7"/>
      <c r="B898" s="7"/>
      <c r="C898" s="7"/>
      <c r="D898" s="7"/>
      <c r="E898" s="7"/>
      <c r="F898" s="7"/>
    </row>
    <row r="899" ht="15.75" customHeight="1">
      <c r="A899" s="7"/>
      <c r="B899" s="7"/>
      <c r="C899" s="7"/>
      <c r="D899" s="7"/>
      <c r="E899" s="7"/>
      <c r="F899" s="7"/>
    </row>
    <row r="900" ht="15.75" customHeight="1">
      <c r="A900" s="7"/>
      <c r="B900" s="7"/>
      <c r="C900" s="7"/>
      <c r="D900" s="7"/>
      <c r="E900" s="7"/>
      <c r="F900" s="7"/>
    </row>
    <row r="901" ht="15.75" customHeight="1">
      <c r="A901" s="7"/>
      <c r="B901" s="7"/>
      <c r="C901" s="7"/>
      <c r="D901" s="7"/>
      <c r="E901" s="7"/>
      <c r="F901" s="7"/>
    </row>
    <row r="902" ht="15.75" customHeight="1">
      <c r="A902" s="7"/>
      <c r="B902" s="7"/>
      <c r="C902" s="7"/>
      <c r="D902" s="7"/>
      <c r="E902" s="7"/>
      <c r="F902" s="7"/>
    </row>
    <row r="903" ht="15.75" customHeight="1">
      <c r="A903" s="7"/>
      <c r="B903" s="7"/>
      <c r="C903" s="7"/>
      <c r="D903" s="7"/>
      <c r="E903" s="7"/>
      <c r="F903" s="7"/>
    </row>
    <row r="904" ht="15.75" customHeight="1">
      <c r="A904" s="7"/>
      <c r="B904" s="7"/>
      <c r="C904" s="7"/>
      <c r="D904" s="7"/>
      <c r="E904" s="7"/>
      <c r="F904" s="7"/>
    </row>
    <row r="905" ht="15.75" customHeight="1">
      <c r="A905" s="7"/>
      <c r="B905" s="7"/>
      <c r="C905" s="7"/>
      <c r="D905" s="7"/>
      <c r="E905" s="7"/>
      <c r="F905" s="7"/>
    </row>
    <row r="906" ht="15.75" customHeight="1">
      <c r="A906" s="7"/>
      <c r="B906" s="7"/>
      <c r="C906" s="7"/>
      <c r="D906" s="7"/>
      <c r="E906" s="7"/>
      <c r="F906" s="7"/>
    </row>
    <row r="907" ht="15.75" customHeight="1">
      <c r="A907" s="7"/>
      <c r="B907" s="7"/>
      <c r="C907" s="7"/>
      <c r="D907" s="7"/>
      <c r="E907" s="7"/>
      <c r="F907" s="7"/>
    </row>
    <row r="908" ht="15.75" customHeight="1">
      <c r="A908" s="7"/>
      <c r="B908" s="7"/>
      <c r="C908" s="7"/>
      <c r="D908" s="7"/>
      <c r="E908" s="7"/>
      <c r="F908" s="7"/>
    </row>
    <row r="909" ht="15.75" customHeight="1">
      <c r="A909" s="7"/>
      <c r="B909" s="7"/>
      <c r="C909" s="7"/>
      <c r="D909" s="7"/>
      <c r="E909" s="7"/>
      <c r="F909" s="7"/>
    </row>
    <row r="910" ht="15.75" customHeight="1">
      <c r="A910" s="7"/>
      <c r="B910" s="7"/>
      <c r="C910" s="7"/>
      <c r="D910" s="7"/>
      <c r="E910" s="7"/>
      <c r="F910" s="7"/>
    </row>
    <row r="911" ht="15.75" customHeight="1">
      <c r="A911" s="7"/>
      <c r="B911" s="7"/>
      <c r="C911" s="7"/>
      <c r="D911" s="7"/>
      <c r="E911" s="7"/>
      <c r="F911" s="7"/>
    </row>
    <row r="912" ht="15.75" customHeight="1">
      <c r="A912" s="7"/>
      <c r="B912" s="7"/>
      <c r="C912" s="7"/>
      <c r="D912" s="7"/>
      <c r="E912" s="7"/>
      <c r="F912" s="7"/>
    </row>
    <row r="913" ht="15.75" customHeight="1">
      <c r="A913" s="7"/>
      <c r="B913" s="7"/>
      <c r="C913" s="7"/>
      <c r="D913" s="7"/>
      <c r="E913" s="7"/>
      <c r="F913" s="7"/>
    </row>
    <row r="914" ht="15.75" customHeight="1">
      <c r="A914" s="7"/>
      <c r="B914" s="7"/>
      <c r="C914" s="7"/>
      <c r="D914" s="7"/>
      <c r="E914" s="7"/>
      <c r="F914" s="7"/>
    </row>
    <row r="915" ht="15.75" customHeight="1">
      <c r="A915" s="7"/>
      <c r="B915" s="7"/>
      <c r="C915" s="7"/>
      <c r="D915" s="7"/>
      <c r="E915" s="7"/>
      <c r="F915" s="7"/>
    </row>
    <row r="916" ht="15.75" customHeight="1">
      <c r="A916" s="7"/>
      <c r="B916" s="7"/>
      <c r="C916" s="7"/>
      <c r="D916" s="7"/>
      <c r="E916" s="7"/>
      <c r="F916" s="7"/>
    </row>
    <row r="917" ht="15.75" customHeight="1">
      <c r="A917" s="7"/>
      <c r="B917" s="7"/>
      <c r="C917" s="7"/>
      <c r="D917" s="7"/>
      <c r="E917" s="7"/>
      <c r="F917" s="7"/>
    </row>
    <row r="918" ht="15.75" customHeight="1">
      <c r="A918" s="7"/>
      <c r="B918" s="7"/>
      <c r="C918" s="7"/>
      <c r="D918" s="7"/>
      <c r="E918" s="7"/>
      <c r="F918" s="7"/>
    </row>
    <row r="919" ht="15.75" customHeight="1">
      <c r="A919" s="7"/>
      <c r="B919" s="7"/>
      <c r="C919" s="7"/>
      <c r="D919" s="7"/>
      <c r="E919" s="7"/>
      <c r="F919" s="7"/>
    </row>
    <row r="920" ht="15.75" customHeight="1">
      <c r="A920" s="7"/>
      <c r="B920" s="7"/>
      <c r="C920" s="7"/>
      <c r="D920" s="7"/>
      <c r="E920" s="7"/>
      <c r="F920" s="7"/>
    </row>
    <row r="921" ht="15.75" customHeight="1">
      <c r="A921" s="7"/>
      <c r="B921" s="7"/>
      <c r="C921" s="7"/>
      <c r="D921" s="7"/>
      <c r="E921" s="7"/>
      <c r="F921" s="7"/>
    </row>
    <row r="922" ht="15.75" customHeight="1">
      <c r="A922" s="7"/>
      <c r="B922" s="7"/>
      <c r="C922" s="7"/>
      <c r="D922" s="7"/>
      <c r="E922" s="7"/>
      <c r="F922" s="7"/>
    </row>
    <row r="923" ht="15.75" customHeight="1">
      <c r="A923" s="7"/>
      <c r="B923" s="7"/>
      <c r="C923" s="7"/>
      <c r="D923" s="7"/>
      <c r="E923" s="7"/>
      <c r="F923" s="7"/>
    </row>
    <row r="924" ht="15.75" customHeight="1">
      <c r="A924" s="7"/>
      <c r="B924" s="7"/>
      <c r="C924" s="7"/>
      <c r="D924" s="7"/>
      <c r="E924" s="7"/>
      <c r="F924" s="7"/>
    </row>
    <row r="925" ht="15.75" customHeight="1">
      <c r="A925" s="7"/>
      <c r="B925" s="7"/>
      <c r="C925" s="7"/>
      <c r="D925" s="7"/>
      <c r="E925" s="7"/>
      <c r="F925" s="7"/>
    </row>
    <row r="926" ht="15.75" customHeight="1">
      <c r="A926" s="7"/>
      <c r="B926" s="7"/>
      <c r="C926" s="7"/>
      <c r="D926" s="7"/>
      <c r="E926" s="7"/>
      <c r="F926" s="7"/>
    </row>
    <row r="927" ht="15.75" customHeight="1">
      <c r="A927" s="7"/>
      <c r="B927" s="7"/>
      <c r="C927" s="7"/>
      <c r="D927" s="7"/>
      <c r="E927" s="7"/>
      <c r="F927" s="7"/>
    </row>
    <row r="928" ht="15.75" customHeight="1">
      <c r="A928" s="7"/>
      <c r="B928" s="7"/>
      <c r="C928" s="7"/>
      <c r="D928" s="7"/>
      <c r="E928" s="7"/>
      <c r="F928" s="7"/>
    </row>
    <row r="929" ht="15.75" customHeight="1">
      <c r="A929" s="7"/>
      <c r="B929" s="7"/>
      <c r="C929" s="7"/>
      <c r="D929" s="7"/>
      <c r="E929" s="7"/>
      <c r="F929" s="7"/>
    </row>
    <row r="930" ht="15.75" customHeight="1">
      <c r="A930" s="7"/>
      <c r="B930" s="7"/>
      <c r="C930" s="7"/>
      <c r="D930" s="7"/>
      <c r="E930" s="7"/>
      <c r="F930" s="7"/>
    </row>
    <row r="931" ht="15.75" customHeight="1">
      <c r="A931" s="7"/>
      <c r="B931" s="7"/>
      <c r="C931" s="7"/>
      <c r="D931" s="7"/>
      <c r="E931" s="7"/>
      <c r="F931" s="7"/>
    </row>
    <row r="932" ht="15.75" customHeight="1">
      <c r="A932" s="7"/>
      <c r="B932" s="7"/>
      <c r="C932" s="7"/>
      <c r="D932" s="7"/>
      <c r="E932" s="7"/>
      <c r="F932" s="7"/>
    </row>
    <row r="933" ht="15.75" customHeight="1">
      <c r="A933" s="7"/>
      <c r="B933" s="7"/>
      <c r="C933" s="7"/>
      <c r="D933" s="7"/>
      <c r="E933" s="7"/>
      <c r="F933" s="7"/>
    </row>
    <row r="934" ht="15.75" customHeight="1">
      <c r="A934" s="7"/>
      <c r="B934" s="7"/>
      <c r="C934" s="7"/>
      <c r="D934" s="7"/>
      <c r="E934" s="7"/>
      <c r="F934" s="7"/>
    </row>
    <row r="935" ht="15.75" customHeight="1">
      <c r="A935" s="7"/>
      <c r="B935" s="7"/>
      <c r="C935" s="7"/>
      <c r="D935" s="7"/>
      <c r="E935" s="7"/>
      <c r="F935" s="7"/>
    </row>
    <row r="936" ht="15.75" customHeight="1">
      <c r="A936" s="7"/>
      <c r="B936" s="7"/>
      <c r="C936" s="7"/>
      <c r="D936" s="7"/>
      <c r="E936" s="7"/>
      <c r="F936" s="7"/>
    </row>
    <row r="937" ht="15.75" customHeight="1">
      <c r="A937" s="7"/>
      <c r="B937" s="7"/>
      <c r="C937" s="7"/>
      <c r="D937" s="7"/>
      <c r="E937" s="7"/>
      <c r="F937" s="7"/>
    </row>
    <row r="938" ht="15.75" customHeight="1">
      <c r="A938" s="7"/>
      <c r="B938" s="7"/>
      <c r="C938" s="7"/>
      <c r="D938" s="7"/>
      <c r="E938" s="7"/>
      <c r="F938" s="7"/>
    </row>
    <row r="939" ht="15.75" customHeight="1">
      <c r="A939" s="7"/>
      <c r="B939" s="7"/>
      <c r="C939" s="7"/>
      <c r="D939" s="7"/>
      <c r="E939" s="7"/>
      <c r="F939" s="7"/>
    </row>
    <row r="940" ht="15.75" customHeight="1">
      <c r="A940" s="7"/>
      <c r="B940" s="7"/>
      <c r="C940" s="7"/>
      <c r="D940" s="7"/>
      <c r="E940" s="7"/>
      <c r="F940" s="7"/>
    </row>
    <row r="941" ht="15.75" customHeight="1">
      <c r="A941" s="7"/>
      <c r="B941" s="7"/>
      <c r="C941" s="7"/>
      <c r="D941" s="7"/>
      <c r="E941" s="7"/>
      <c r="F941" s="7"/>
    </row>
    <row r="942" ht="15.75" customHeight="1">
      <c r="A942" s="7"/>
      <c r="B942" s="7"/>
      <c r="C942" s="7"/>
      <c r="D942" s="7"/>
      <c r="E942" s="7"/>
      <c r="F942" s="7"/>
    </row>
    <row r="943" ht="15.75" customHeight="1">
      <c r="A943" s="7"/>
      <c r="B943" s="7"/>
      <c r="C943" s="7"/>
      <c r="D943" s="7"/>
      <c r="E943" s="7"/>
      <c r="F943" s="7"/>
    </row>
    <row r="944" ht="15.75" customHeight="1">
      <c r="A944" s="7"/>
      <c r="B944" s="7"/>
      <c r="C944" s="7"/>
      <c r="D944" s="7"/>
      <c r="E944" s="7"/>
      <c r="F944" s="7"/>
    </row>
    <row r="945" ht="15.75" customHeight="1">
      <c r="A945" s="7"/>
      <c r="B945" s="7"/>
      <c r="C945" s="7"/>
      <c r="D945" s="7"/>
      <c r="E945" s="7"/>
      <c r="F945" s="7"/>
    </row>
    <row r="946" ht="15.75" customHeight="1">
      <c r="A946" s="7"/>
      <c r="B946" s="7"/>
      <c r="C946" s="7"/>
      <c r="D946" s="7"/>
      <c r="E946" s="7"/>
      <c r="F946" s="7"/>
    </row>
    <row r="947" ht="15.75" customHeight="1">
      <c r="A947" s="7"/>
      <c r="B947" s="7"/>
      <c r="C947" s="7"/>
      <c r="D947" s="7"/>
      <c r="E947" s="7"/>
      <c r="F947" s="7"/>
    </row>
    <row r="948" ht="15.75" customHeight="1">
      <c r="A948" s="7"/>
      <c r="B948" s="7"/>
      <c r="C948" s="7"/>
      <c r="D948" s="7"/>
      <c r="E948" s="7"/>
      <c r="F948" s="7"/>
    </row>
    <row r="949" ht="15.75" customHeight="1">
      <c r="A949" s="7"/>
      <c r="B949" s="7"/>
      <c r="C949" s="7"/>
      <c r="D949" s="7"/>
      <c r="E949" s="7"/>
      <c r="F949" s="7"/>
    </row>
    <row r="950" ht="15.75" customHeight="1">
      <c r="A950" s="7"/>
      <c r="B950" s="7"/>
      <c r="C950" s="7"/>
      <c r="D950" s="7"/>
      <c r="E950" s="7"/>
      <c r="F950" s="7"/>
    </row>
    <row r="951" ht="15.75" customHeight="1">
      <c r="A951" s="7"/>
      <c r="B951" s="7"/>
      <c r="C951" s="7"/>
      <c r="D951" s="7"/>
      <c r="E951" s="7"/>
      <c r="F951" s="7"/>
    </row>
    <row r="952" ht="15.75" customHeight="1">
      <c r="A952" s="7"/>
      <c r="B952" s="7"/>
      <c r="C952" s="7"/>
      <c r="D952" s="7"/>
      <c r="E952" s="7"/>
      <c r="F952" s="7"/>
    </row>
    <row r="953" ht="15.75" customHeight="1">
      <c r="A953" s="7"/>
      <c r="B953" s="7"/>
      <c r="C953" s="7"/>
      <c r="D953" s="7"/>
      <c r="E953" s="7"/>
      <c r="F953" s="7"/>
    </row>
    <row r="954" ht="15.75" customHeight="1">
      <c r="A954" s="7"/>
      <c r="B954" s="7"/>
      <c r="C954" s="7"/>
      <c r="D954" s="7"/>
      <c r="E954" s="7"/>
      <c r="F954" s="7"/>
    </row>
    <row r="955" ht="15.75" customHeight="1">
      <c r="A955" s="7"/>
      <c r="B955" s="7"/>
      <c r="C955" s="7"/>
      <c r="D955" s="7"/>
      <c r="E955" s="7"/>
      <c r="F955" s="7"/>
    </row>
    <row r="956" ht="15.75" customHeight="1">
      <c r="A956" s="7"/>
      <c r="B956" s="7"/>
      <c r="C956" s="7"/>
      <c r="D956" s="7"/>
      <c r="E956" s="7"/>
      <c r="F956" s="7"/>
    </row>
    <row r="957" ht="15.75" customHeight="1">
      <c r="A957" s="7"/>
      <c r="B957" s="7"/>
      <c r="C957" s="7"/>
      <c r="D957" s="7"/>
      <c r="E957" s="7"/>
      <c r="F957" s="7"/>
    </row>
    <row r="958" ht="15.75" customHeight="1">
      <c r="A958" s="7"/>
      <c r="B958" s="7"/>
      <c r="C958" s="7"/>
      <c r="D958" s="7"/>
      <c r="E958" s="7"/>
      <c r="F958" s="7"/>
    </row>
    <row r="959" ht="15.75" customHeight="1">
      <c r="A959" s="7"/>
      <c r="B959" s="7"/>
      <c r="C959" s="7"/>
      <c r="D959" s="7"/>
      <c r="E959" s="7"/>
      <c r="F959" s="7"/>
    </row>
    <row r="960" ht="15.75" customHeight="1">
      <c r="A960" s="7"/>
      <c r="B960" s="7"/>
      <c r="C960" s="7"/>
      <c r="D960" s="7"/>
      <c r="E960" s="7"/>
      <c r="F960" s="7"/>
    </row>
    <row r="961" ht="15.75" customHeight="1">
      <c r="A961" s="7"/>
      <c r="B961" s="7"/>
      <c r="C961" s="7"/>
      <c r="D961" s="7"/>
      <c r="E961" s="7"/>
      <c r="F961" s="7"/>
    </row>
    <row r="962" ht="15.75" customHeight="1">
      <c r="A962" s="7"/>
      <c r="B962" s="7"/>
      <c r="C962" s="7"/>
      <c r="D962" s="7"/>
      <c r="E962" s="7"/>
      <c r="F962" s="7"/>
    </row>
    <row r="963" ht="15.75" customHeight="1">
      <c r="A963" s="7"/>
      <c r="B963" s="7"/>
      <c r="C963" s="7"/>
      <c r="D963" s="7"/>
      <c r="E963" s="7"/>
      <c r="F963" s="7"/>
    </row>
    <row r="964" ht="15.75" customHeight="1">
      <c r="A964" s="7"/>
      <c r="B964" s="7"/>
      <c r="C964" s="7"/>
      <c r="D964" s="7"/>
      <c r="E964" s="7"/>
      <c r="F964" s="7"/>
    </row>
    <row r="965" ht="15.75" customHeight="1">
      <c r="A965" s="7"/>
      <c r="B965" s="7"/>
      <c r="C965" s="7"/>
      <c r="D965" s="7"/>
      <c r="E965" s="7"/>
      <c r="F965" s="7"/>
    </row>
    <row r="966" ht="15.75" customHeight="1">
      <c r="A966" s="7"/>
      <c r="B966" s="7"/>
      <c r="C966" s="7"/>
      <c r="D966" s="7"/>
      <c r="E966" s="7"/>
      <c r="F966" s="7"/>
    </row>
    <row r="967" ht="15.75" customHeight="1">
      <c r="A967" s="7"/>
      <c r="B967" s="7"/>
      <c r="C967" s="7"/>
      <c r="D967" s="7"/>
      <c r="E967" s="7"/>
      <c r="F967" s="7"/>
    </row>
    <row r="968" ht="15.75" customHeight="1">
      <c r="A968" s="7"/>
      <c r="B968" s="7"/>
      <c r="C968" s="7"/>
      <c r="D968" s="7"/>
      <c r="E968" s="7"/>
      <c r="F968" s="7"/>
    </row>
    <row r="969" ht="15.75" customHeight="1">
      <c r="A969" s="7"/>
      <c r="B969" s="7"/>
      <c r="C969" s="7"/>
      <c r="D969" s="7"/>
      <c r="E969" s="7"/>
      <c r="F969" s="7"/>
    </row>
    <row r="970" ht="15.75" customHeight="1">
      <c r="A970" s="7"/>
      <c r="B970" s="7"/>
      <c r="C970" s="7"/>
      <c r="D970" s="7"/>
      <c r="E970" s="7"/>
      <c r="F970" s="7"/>
    </row>
    <row r="971" ht="15.75" customHeight="1">
      <c r="A971" s="7"/>
      <c r="B971" s="7"/>
      <c r="C971" s="7"/>
      <c r="D971" s="7"/>
      <c r="E971" s="7"/>
      <c r="F971" s="7"/>
    </row>
    <row r="972" ht="15.75" customHeight="1">
      <c r="A972" s="7"/>
      <c r="B972" s="7"/>
      <c r="C972" s="7"/>
      <c r="D972" s="7"/>
      <c r="E972" s="7"/>
      <c r="F972" s="7"/>
    </row>
    <row r="973" ht="15.75" customHeight="1">
      <c r="A973" s="7"/>
      <c r="B973" s="7"/>
      <c r="C973" s="7"/>
      <c r="D973" s="7"/>
      <c r="E973" s="7"/>
      <c r="F973" s="7"/>
    </row>
    <row r="974" ht="15.75" customHeight="1">
      <c r="A974" s="7"/>
      <c r="B974" s="7"/>
      <c r="C974" s="7"/>
      <c r="D974" s="7"/>
      <c r="E974" s="7"/>
      <c r="F974" s="7"/>
    </row>
    <row r="975" ht="15.75" customHeight="1">
      <c r="A975" s="7"/>
      <c r="B975" s="7"/>
      <c r="C975" s="7"/>
      <c r="D975" s="7"/>
      <c r="E975" s="7"/>
      <c r="F975" s="7"/>
    </row>
    <row r="976" ht="15.75" customHeight="1">
      <c r="A976" s="7"/>
      <c r="B976" s="7"/>
      <c r="C976" s="7"/>
      <c r="D976" s="7"/>
      <c r="E976" s="7"/>
      <c r="F976" s="7"/>
    </row>
    <row r="977" ht="15.75" customHeight="1">
      <c r="A977" s="7"/>
      <c r="B977" s="7"/>
      <c r="C977" s="7"/>
      <c r="D977" s="7"/>
      <c r="E977" s="7"/>
      <c r="F977" s="7"/>
    </row>
    <row r="978" ht="15.75" customHeight="1">
      <c r="A978" s="7"/>
      <c r="B978" s="7"/>
      <c r="C978" s="7"/>
      <c r="D978" s="7"/>
      <c r="E978" s="7"/>
      <c r="F978" s="7"/>
    </row>
    <row r="979" ht="15.75" customHeight="1">
      <c r="A979" s="7"/>
      <c r="B979" s="7"/>
      <c r="C979" s="7"/>
      <c r="D979" s="7"/>
      <c r="E979" s="7"/>
      <c r="F979" s="7"/>
    </row>
    <row r="980" ht="15.75" customHeight="1">
      <c r="A980" s="7"/>
      <c r="B980" s="7"/>
      <c r="C980" s="7"/>
      <c r="D980" s="7"/>
      <c r="E980" s="7"/>
      <c r="F980" s="7"/>
    </row>
    <row r="981" ht="15.75" customHeight="1">
      <c r="A981" s="7"/>
      <c r="B981" s="7"/>
      <c r="C981" s="7"/>
      <c r="D981" s="7"/>
      <c r="E981" s="7"/>
      <c r="F981" s="7"/>
    </row>
    <row r="982" ht="15.75" customHeight="1">
      <c r="A982" s="7"/>
      <c r="B982" s="7"/>
      <c r="C982" s="7"/>
      <c r="D982" s="7"/>
      <c r="E982" s="7"/>
      <c r="F982" s="7"/>
    </row>
    <row r="983" ht="15.75" customHeight="1">
      <c r="A983" s="7"/>
      <c r="B983" s="7"/>
      <c r="C983" s="7"/>
      <c r="D983" s="7"/>
      <c r="E983" s="7"/>
      <c r="F983" s="7"/>
    </row>
    <row r="984" ht="15.75" customHeight="1">
      <c r="A984" s="7"/>
      <c r="B984" s="7"/>
      <c r="C984" s="7"/>
      <c r="D984" s="7"/>
      <c r="E984" s="7"/>
      <c r="F984" s="7"/>
    </row>
    <row r="985" ht="15.75" customHeight="1">
      <c r="A985" s="7"/>
      <c r="B985" s="7"/>
      <c r="C985" s="7"/>
      <c r="D985" s="7"/>
      <c r="E985" s="7"/>
      <c r="F985" s="7"/>
    </row>
    <row r="986" ht="15.75" customHeight="1">
      <c r="A986" s="7"/>
      <c r="B986" s="7"/>
      <c r="C986" s="7"/>
      <c r="D986" s="7"/>
      <c r="E986" s="7"/>
      <c r="F986" s="7"/>
    </row>
    <row r="987" ht="15.75" customHeight="1">
      <c r="A987" s="7"/>
      <c r="B987" s="7"/>
      <c r="C987" s="7"/>
      <c r="D987" s="7"/>
      <c r="E987" s="7"/>
      <c r="F987" s="7"/>
    </row>
    <row r="988" ht="15.75" customHeight="1">
      <c r="A988" s="7"/>
      <c r="B988" s="7"/>
      <c r="C988" s="7"/>
      <c r="D988" s="7"/>
      <c r="E988" s="7"/>
      <c r="F988" s="7"/>
    </row>
    <row r="989" ht="15.75" customHeight="1">
      <c r="A989" s="7"/>
      <c r="B989" s="7"/>
      <c r="C989" s="7"/>
      <c r="D989" s="7"/>
      <c r="E989" s="7"/>
      <c r="F989" s="7"/>
    </row>
    <row r="990" ht="15.75" customHeight="1">
      <c r="A990" s="7"/>
      <c r="B990" s="7"/>
      <c r="C990" s="7"/>
      <c r="D990" s="7"/>
      <c r="E990" s="7"/>
      <c r="F990" s="7"/>
    </row>
    <row r="991" ht="15.75" customHeight="1">
      <c r="A991" s="7"/>
      <c r="B991" s="7"/>
      <c r="C991" s="7"/>
      <c r="D991" s="7"/>
      <c r="E991" s="7"/>
      <c r="F991" s="7"/>
    </row>
    <row r="992" ht="15.75" customHeight="1">
      <c r="A992" s="7"/>
      <c r="B992" s="7"/>
      <c r="C992" s="7"/>
      <c r="D992" s="7"/>
      <c r="E992" s="7"/>
      <c r="F992" s="7"/>
    </row>
    <row r="993" ht="15.75" customHeight="1">
      <c r="A993" s="7"/>
      <c r="B993" s="7"/>
      <c r="C993" s="7"/>
      <c r="D993" s="7"/>
      <c r="E993" s="7"/>
      <c r="F993" s="7"/>
    </row>
    <row r="994" ht="15.75" customHeight="1">
      <c r="A994" s="7"/>
      <c r="B994" s="7"/>
      <c r="C994" s="7"/>
      <c r="D994" s="7"/>
      <c r="E994" s="7"/>
      <c r="F994" s="7"/>
    </row>
    <row r="995" ht="15.75" customHeight="1">
      <c r="A995" s="7"/>
      <c r="B995" s="7"/>
      <c r="C995" s="7"/>
      <c r="D995" s="7"/>
      <c r="E995" s="7"/>
      <c r="F995" s="7"/>
    </row>
    <row r="996" ht="15.75" customHeight="1">
      <c r="A996" s="7"/>
      <c r="B996" s="7"/>
      <c r="C996" s="7"/>
      <c r="D996" s="7"/>
      <c r="E996" s="7"/>
      <c r="F996" s="7"/>
    </row>
    <row r="997" ht="15.75" customHeight="1">
      <c r="A997" s="7"/>
      <c r="B997" s="7"/>
      <c r="C997" s="7"/>
      <c r="D997" s="7"/>
      <c r="E997" s="7"/>
      <c r="F997" s="7"/>
    </row>
    <row r="998" ht="15.75" customHeight="1">
      <c r="A998" s="7"/>
      <c r="B998" s="7"/>
      <c r="C998" s="7"/>
      <c r="D998" s="7"/>
      <c r="E998" s="7"/>
      <c r="F998" s="7"/>
    </row>
    <row r="999" ht="15.75" customHeight="1">
      <c r="A999" s="7"/>
      <c r="B999" s="7"/>
      <c r="C999" s="7"/>
      <c r="D999" s="7"/>
      <c r="E999" s="7"/>
      <c r="F999" s="7"/>
    </row>
    <row r="1000" ht="15.75" customHeight="1">
      <c r="A1000" s="7"/>
      <c r="B1000" s="7"/>
      <c r="C1000" s="7"/>
      <c r="D1000" s="7"/>
      <c r="E1000" s="7"/>
      <c r="F1000" s="7"/>
    </row>
  </sheetData>
  <mergeCells count="7">
    <mergeCell ref="A1:E1"/>
    <mergeCell ref="A2:E2"/>
    <mergeCell ref="A4:E4"/>
    <mergeCell ref="A13:E13"/>
    <mergeCell ref="A21:E21"/>
    <mergeCell ref="A27:E27"/>
    <mergeCell ref="A36:E36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5B6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.0"/>
    <col customWidth="1" min="2" max="2" width="12.0"/>
    <col customWidth="1" min="3" max="3" width="28.0"/>
    <col customWidth="1" min="4" max="4" width="16.0"/>
    <col customWidth="1" min="5" max="5" width="12.0"/>
    <col customWidth="1" min="6" max="6" width="14.0"/>
    <col customWidth="1" min="7" max="7" width="12.0"/>
    <col customWidth="1" min="8" max="9" width="13.0"/>
    <col customWidth="1" min="10" max="10" width="10.0"/>
    <col customWidth="1" min="11" max="11" width="12.0"/>
    <col customWidth="1" min="12" max="13" width="13.0"/>
    <col customWidth="1" min="14" max="14" width="12.0"/>
  </cols>
  <sheetData>
    <row r="1" ht="39.75" customHeight="1">
      <c r="A1" s="8" t="s">
        <v>72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10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5.0" customHeight="1">
      <c r="A2" s="32" t="str">
        <f>'Configuración'!C17&amp;" "&amp;'Configuración'!C18</f>
        <v> 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10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15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34.5" customHeight="1">
      <c r="A4" s="34" t="s">
        <v>74</v>
      </c>
      <c r="B4" s="34" t="s">
        <v>75</v>
      </c>
      <c r="C4" s="34" t="s">
        <v>76</v>
      </c>
      <c r="D4" s="34" t="s">
        <v>77</v>
      </c>
      <c r="E4" s="34" t="s">
        <v>78</v>
      </c>
      <c r="F4" s="34" t="s">
        <v>79</v>
      </c>
      <c r="G4" s="34" t="s">
        <v>80</v>
      </c>
      <c r="H4" s="34" t="s">
        <v>81</v>
      </c>
      <c r="I4" s="34" t="s">
        <v>80</v>
      </c>
      <c r="J4" s="34" t="s">
        <v>82</v>
      </c>
      <c r="K4" s="34" t="s">
        <v>83</v>
      </c>
      <c r="L4" s="34" t="s">
        <v>84</v>
      </c>
      <c r="M4" s="34" t="s">
        <v>85</v>
      </c>
      <c r="N4" s="34" t="s">
        <v>86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15.0" customHeight="1">
      <c r="A5" s="35">
        <v>1.0</v>
      </c>
      <c r="B5" s="52">
        <v>46104.0</v>
      </c>
      <c r="C5" s="29" t="s">
        <v>93</v>
      </c>
      <c r="D5" s="53" t="str">
        <f>IFERROR(VLOOKUP(C5,'Catálogo Productos'!$B$3:$E$53,2,0),"")</f>
        <v>Bases, Stand, Atriles</v>
      </c>
      <c r="E5" s="54">
        <f>IFERROR(VLOOKUP(C5,'Catálogo Productos'!$B$3:$E$53,3,0),"")</f>
        <v>0.5</v>
      </c>
      <c r="F5" s="55">
        <f>IFERROR(VLOOKUP(C5,'Catálogo Productos'!$B$3:$E$53,4,0),"")</f>
        <v>4.99</v>
      </c>
      <c r="G5" s="56">
        <f>IF(F5="","",IF(I5="SÍ",F5*'Configuración'!$C$5,0))</f>
        <v>0.5489</v>
      </c>
      <c r="H5" s="56" t="s">
        <v>88</v>
      </c>
      <c r="I5" s="61" t="s">
        <v>88</v>
      </c>
      <c r="J5" s="18">
        <f>IF(F5="","",IF(H5="SÍ",'Configuración'!$C$6,0))</f>
        <v>1.3</v>
      </c>
      <c r="K5" s="56">
        <f t="shared" ref="K5:K63" si="1">IF(F5="","",F5-G5-J5)</f>
        <v>3.1411</v>
      </c>
      <c r="L5" s="56">
        <f t="shared" ref="L5:L63" si="2">IF(F5="","",K5-E5-IF(N5="",0,N5))</f>
        <v>2.6411</v>
      </c>
      <c r="M5" s="57">
        <f t="shared" ref="M5:M63" si="3">IF(F5="","",IF(K5=0,0,L5/K5))</f>
        <v>0.8408200949</v>
      </c>
      <c r="N5" s="46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15.0" customHeight="1">
      <c r="A6" s="47">
        <v>2.0</v>
      </c>
      <c r="B6" s="52">
        <v>46104.0</v>
      </c>
      <c r="C6" s="29" t="s">
        <v>94</v>
      </c>
      <c r="D6" s="53" t="str">
        <f>IFERROR(VLOOKUP(C6,'Catálogo Productos'!$B$3:$E$53,2,0),"")</f>
        <v>Capostraste</v>
      </c>
      <c r="E6" s="54">
        <f>IFERROR(VLOOKUP(C6,'Catálogo Productos'!$B$3:$E$53,3,0),"")</f>
        <v>0.65</v>
      </c>
      <c r="F6" s="55">
        <f>IFERROR(VLOOKUP(C6,'Catálogo Productos'!$B$3:$E$53,4,0),"")</f>
        <v>6.99</v>
      </c>
      <c r="G6" s="58">
        <f>IF(F6="","",IF(I6="SÍ",F6*'Configuración'!$C$5,0))</f>
        <v>0.7689</v>
      </c>
      <c r="H6" s="58" t="s">
        <v>88</v>
      </c>
      <c r="I6" s="61" t="s">
        <v>88</v>
      </c>
      <c r="J6" s="18">
        <f>IF(F6="","",IF(H6="SÍ",'Configuración'!$C$6,0))</f>
        <v>1.3</v>
      </c>
      <c r="K6" s="58">
        <f t="shared" si="1"/>
        <v>4.9211</v>
      </c>
      <c r="L6" s="58">
        <f t="shared" si="2"/>
        <v>4.2711</v>
      </c>
      <c r="M6" s="59">
        <f t="shared" si="3"/>
        <v>0.8679157099</v>
      </c>
      <c r="N6" s="46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15.0" customHeight="1">
      <c r="A7" s="35">
        <v>3.0</v>
      </c>
      <c r="B7" s="52">
        <v>46104.0</v>
      </c>
      <c r="C7" s="29" t="s">
        <v>103</v>
      </c>
      <c r="D7" s="53" t="str">
        <f>IFERROR(VLOOKUP(C7,'Catálogo Productos'!$B$3:$E$53,2,0),"")</f>
        <v>Correas</v>
      </c>
      <c r="E7" s="54">
        <f>IFERROR(VLOOKUP(C7,'Catálogo Productos'!$B$3:$E$53,3,0),"")</f>
        <v>0.2</v>
      </c>
      <c r="F7" s="55">
        <f>IFERROR(VLOOKUP(C7,'Catálogo Productos'!$B$3:$E$53,4,0),"")</f>
        <v>5.49</v>
      </c>
      <c r="G7" s="56">
        <f>IF(F7="","",IF(I7="SÍ",F7*'Configuración'!$C$5,0))</f>
        <v>0.6039</v>
      </c>
      <c r="H7" s="56" t="s">
        <v>88</v>
      </c>
      <c r="I7" s="61" t="s">
        <v>88</v>
      </c>
      <c r="J7" s="18">
        <f>IF(F7="","",IF(H7="SÍ",'Configuración'!$C$6,0))</f>
        <v>1.3</v>
      </c>
      <c r="K7" s="56">
        <f t="shared" si="1"/>
        <v>3.5861</v>
      </c>
      <c r="L7" s="56">
        <f t="shared" si="2"/>
        <v>3.3861</v>
      </c>
      <c r="M7" s="57">
        <f t="shared" si="3"/>
        <v>0.9442291068</v>
      </c>
      <c r="N7" s="46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15.0" customHeight="1">
      <c r="A8" s="47">
        <v>4.0</v>
      </c>
      <c r="B8" s="52">
        <v>46104.0</v>
      </c>
      <c r="C8" s="29" t="s">
        <v>103</v>
      </c>
      <c r="D8" s="53" t="str">
        <f>IFERROR(VLOOKUP(C8,'Catálogo Productos'!$B$3:$E$53,2,0),"")</f>
        <v>Correas</v>
      </c>
      <c r="E8" s="54">
        <f>IFERROR(VLOOKUP(C8,'Catálogo Productos'!$B$3:$E$53,3,0),"")</f>
        <v>0.2</v>
      </c>
      <c r="F8" s="55">
        <f>IFERROR(VLOOKUP(C8,'Catálogo Productos'!$B$3:$E$53,4,0),"")</f>
        <v>5.49</v>
      </c>
      <c r="G8" s="58">
        <f>IF(F8="","",IF(I8="SÍ",F8*'Configuración'!$C$5,0))</f>
        <v>0.6039</v>
      </c>
      <c r="H8" s="58" t="s">
        <v>88</v>
      </c>
      <c r="I8" s="61" t="s">
        <v>88</v>
      </c>
      <c r="J8" s="18">
        <f>IF(F8="","",IF(H8="SÍ",'Configuración'!$C$6,0))</f>
        <v>1.3</v>
      </c>
      <c r="K8" s="58">
        <f t="shared" si="1"/>
        <v>3.5861</v>
      </c>
      <c r="L8" s="58">
        <f t="shared" si="2"/>
        <v>3.3861</v>
      </c>
      <c r="M8" s="59">
        <f t="shared" si="3"/>
        <v>0.9442291068</v>
      </c>
      <c r="N8" s="46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15.0" customHeight="1">
      <c r="A9" s="35">
        <v>5.0</v>
      </c>
      <c r="B9" s="52">
        <v>46104.0</v>
      </c>
      <c r="C9" s="29" t="s">
        <v>87</v>
      </c>
      <c r="D9" s="53" t="str">
        <f>IFERROR(VLOOKUP(C9,'Catálogo Productos'!$B$3:$E$53,2,0),"")</f>
        <v>Violin</v>
      </c>
      <c r="E9" s="54">
        <f>IFERROR(VLOOKUP(C9,'Catálogo Productos'!$B$3:$E$53,3,0),"")</f>
        <v>1.06</v>
      </c>
      <c r="F9" s="55">
        <f>IFERROR(VLOOKUP(C9,'Catálogo Productos'!$B$3:$E$53,4,0),"")</f>
        <v>4.99</v>
      </c>
      <c r="G9" s="56">
        <f>IF(F9="","",IF(I9="SÍ",F9*'Configuración'!$C$5,0))</f>
        <v>0.5489</v>
      </c>
      <c r="H9" s="56" t="s">
        <v>88</v>
      </c>
      <c r="I9" s="61" t="s">
        <v>88</v>
      </c>
      <c r="J9" s="18">
        <f>IF(F9="","",IF(H9="SÍ",'Configuración'!$C$6,0))</f>
        <v>1.3</v>
      </c>
      <c r="K9" s="56">
        <f t="shared" si="1"/>
        <v>3.1411</v>
      </c>
      <c r="L9" s="56">
        <f t="shared" si="2"/>
        <v>2.0811</v>
      </c>
      <c r="M9" s="57">
        <f t="shared" si="3"/>
        <v>0.6625386011</v>
      </c>
      <c r="N9" s="46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15.0" customHeight="1">
      <c r="A10" s="47">
        <v>6.0</v>
      </c>
      <c r="B10" s="52">
        <v>46104.0</v>
      </c>
      <c r="C10" s="29" t="s">
        <v>92</v>
      </c>
      <c r="D10" s="53" t="str">
        <f>IFERROR(VLOOKUP(C10,'Catálogo Productos'!$B$3:$E$53,2,0),"")</f>
        <v>Cables</v>
      </c>
      <c r="E10" s="54">
        <f>IFERROR(VLOOKUP(C10,'Catálogo Productos'!$B$3:$E$53,3,0),"")</f>
        <v>1.91</v>
      </c>
      <c r="F10" s="55">
        <f>IFERROR(VLOOKUP(C10,'Catálogo Productos'!$B$3:$E$53,4,0),"")</f>
        <v>10</v>
      </c>
      <c r="G10" s="58">
        <f>IF(F10="","",IF(I10="SÍ",F10*'Configuración'!$C$5,0))</f>
        <v>1.1</v>
      </c>
      <c r="H10" s="58" t="s">
        <v>88</v>
      </c>
      <c r="I10" s="61" t="s">
        <v>88</v>
      </c>
      <c r="J10" s="18">
        <f>IF(F10="","",IF(H10="SÍ",'Configuración'!$C$6,0))</f>
        <v>1.3</v>
      </c>
      <c r="K10" s="58">
        <f t="shared" si="1"/>
        <v>7.6</v>
      </c>
      <c r="L10" s="58">
        <f t="shared" si="2"/>
        <v>5.69</v>
      </c>
      <c r="M10" s="59">
        <f t="shared" si="3"/>
        <v>0.7486842105</v>
      </c>
      <c r="N10" s="4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15.0" customHeight="1">
      <c r="A11" s="35">
        <v>7.0</v>
      </c>
      <c r="B11" s="52" t="s">
        <v>156</v>
      </c>
      <c r="C11" s="29" t="s">
        <v>89</v>
      </c>
      <c r="D11" s="53" t="str">
        <f>IFERROR(VLOOKUP(C11,'Catálogo Productos'!$B$3:$E$53,2,0),"")</f>
        <v>Guitarra Clasica</v>
      </c>
      <c r="E11" s="54">
        <f>IFERROR(VLOOKUP(C11,'Catálogo Productos'!$B$3:$E$53,3,0),"")</f>
        <v>1.21</v>
      </c>
      <c r="F11" s="55">
        <f>IFERROR(VLOOKUP(C11,'Catálogo Productos'!$B$3:$E$53,4,0),"")</f>
        <v>5.49</v>
      </c>
      <c r="G11" s="56">
        <f>IF(F11="","",IF(I11="SÍ",F11*'Configuración'!$C$5,0))</f>
        <v>0.6039</v>
      </c>
      <c r="H11" s="56" t="s">
        <v>88</v>
      </c>
      <c r="I11" s="61" t="s">
        <v>88</v>
      </c>
      <c r="J11" s="18">
        <f>IF(F11="","",IF(H11="SÍ",'Configuración'!$C$6,0))</f>
        <v>1.3</v>
      </c>
      <c r="K11" s="56">
        <f t="shared" si="1"/>
        <v>3.5861</v>
      </c>
      <c r="L11" s="56">
        <f t="shared" si="2"/>
        <v>2.3761</v>
      </c>
      <c r="M11" s="57">
        <f t="shared" si="3"/>
        <v>0.6625860963</v>
      </c>
      <c r="N11" s="46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15.0" customHeight="1">
      <c r="A12" s="47">
        <v>8.0</v>
      </c>
      <c r="B12" s="52" t="s">
        <v>157</v>
      </c>
      <c r="C12" s="29" t="s">
        <v>103</v>
      </c>
      <c r="D12" s="53" t="str">
        <f>IFERROR(VLOOKUP(C12,'Catálogo Productos'!$B$3:$E$53,2,0),"")</f>
        <v>Correas</v>
      </c>
      <c r="E12" s="54">
        <f>IFERROR(VLOOKUP(C12,'Catálogo Productos'!$B$3:$E$53,3,0),"")</f>
        <v>0.2</v>
      </c>
      <c r="F12" s="55">
        <f>IFERROR(VLOOKUP(C12,'Catálogo Productos'!$B$3:$E$53,4,0),"")</f>
        <v>5.49</v>
      </c>
      <c r="G12" s="58">
        <f>IF(F12="","",IF(I12="SÍ",F12*'Configuración'!$C$5,0))</f>
        <v>0.6039</v>
      </c>
      <c r="H12" s="58" t="s">
        <v>88</v>
      </c>
      <c r="I12" s="61" t="s">
        <v>88</v>
      </c>
      <c r="J12" s="18">
        <f>IF(F12="","",IF(H12="SÍ",'Configuración'!$C$6,0))</f>
        <v>1.3</v>
      </c>
      <c r="K12" s="58">
        <f t="shared" si="1"/>
        <v>3.5861</v>
      </c>
      <c r="L12" s="58">
        <f t="shared" si="2"/>
        <v>3.3861</v>
      </c>
      <c r="M12" s="59">
        <f t="shared" si="3"/>
        <v>0.9442291068</v>
      </c>
      <c r="N12" s="46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15.0" customHeight="1">
      <c r="A13" s="35">
        <v>9.0</v>
      </c>
      <c r="B13" s="52" t="s">
        <v>157</v>
      </c>
      <c r="C13" s="29" t="s">
        <v>92</v>
      </c>
      <c r="D13" s="53" t="str">
        <f>IFERROR(VLOOKUP(C13,'Catálogo Productos'!$B$3:$E$53,2,0),"")</f>
        <v>Cables</v>
      </c>
      <c r="E13" s="54">
        <f>IFERROR(VLOOKUP(C13,'Catálogo Productos'!$B$3:$E$53,3,0),"")</f>
        <v>1.91</v>
      </c>
      <c r="F13" s="55">
        <f>IFERROR(VLOOKUP(C13,'Catálogo Productos'!$B$3:$E$53,4,0),"")</f>
        <v>10</v>
      </c>
      <c r="G13" s="56">
        <f>IF(F13="","",IF(I13="SÍ",F13*'Configuración'!$C$5,0))</f>
        <v>1.1</v>
      </c>
      <c r="H13" s="56" t="s">
        <v>88</v>
      </c>
      <c r="I13" s="61" t="s">
        <v>88</v>
      </c>
      <c r="J13" s="18">
        <f>IF(F13="","",IF(H13="SÍ",'Configuración'!$C$6,0))</f>
        <v>1.3</v>
      </c>
      <c r="K13" s="56">
        <f t="shared" si="1"/>
        <v>7.6</v>
      </c>
      <c r="L13" s="56">
        <f t="shared" si="2"/>
        <v>5.69</v>
      </c>
      <c r="M13" s="57">
        <f t="shared" si="3"/>
        <v>0.7486842105</v>
      </c>
      <c r="N13" s="46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ht="15.0" customHeight="1">
      <c r="A14" s="47">
        <v>10.0</v>
      </c>
      <c r="B14" s="52" t="s">
        <v>157</v>
      </c>
      <c r="C14" s="29" t="s">
        <v>92</v>
      </c>
      <c r="D14" s="53" t="str">
        <f>IFERROR(VLOOKUP(C14,'Catálogo Productos'!$B$3:$E$53,2,0),"")</f>
        <v>Cables</v>
      </c>
      <c r="E14" s="54">
        <f>IFERROR(VLOOKUP(C14,'Catálogo Productos'!$B$3:$E$53,3,0),"")</f>
        <v>1.91</v>
      </c>
      <c r="F14" s="55">
        <f>IFERROR(VLOOKUP(C14,'Catálogo Productos'!$B$3:$E$53,4,0),"")</f>
        <v>10</v>
      </c>
      <c r="G14" s="58">
        <f>IF(F14="","",IF(I14="SÍ",F14*'Configuración'!$C$5,0))</f>
        <v>1.1</v>
      </c>
      <c r="H14" s="58" t="s">
        <v>88</v>
      </c>
      <c r="I14" s="61" t="s">
        <v>88</v>
      </c>
      <c r="J14" s="18">
        <f>IF(F14="","",IF(H14="SÍ",'Configuración'!$C$6,0))</f>
        <v>1.3</v>
      </c>
      <c r="K14" s="58">
        <f t="shared" si="1"/>
        <v>7.6</v>
      </c>
      <c r="L14" s="58">
        <f t="shared" si="2"/>
        <v>5.69</v>
      </c>
      <c r="M14" s="59">
        <f t="shared" si="3"/>
        <v>0.7486842105</v>
      </c>
      <c r="N14" s="46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15.0" customHeight="1">
      <c r="A15" s="35">
        <v>11.0</v>
      </c>
      <c r="B15" s="52" t="s">
        <v>157</v>
      </c>
      <c r="C15" s="29" t="s">
        <v>89</v>
      </c>
      <c r="D15" s="53" t="str">
        <f>IFERROR(VLOOKUP(C15,'Catálogo Productos'!$B$3:$E$53,2,0),"")</f>
        <v>Guitarra Clasica</v>
      </c>
      <c r="E15" s="54">
        <f>IFERROR(VLOOKUP(C15,'Catálogo Productos'!$B$3:$E$53,3,0),"")</f>
        <v>1.21</v>
      </c>
      <c r="F15" s="55">
        <f>IFERROR(VLOOKUP(C15,'Catálogo Productos'!$B$3:$E$53,4,0),"")</f>
        <v>5.49</v>
      </c>
      <c r="G15" s="56">
        <f>IF(F15="","",IF(I15="SÍ",F15*'Configuración'!$C$5,0))</f>
        <v>0.6039</v>
      </c>
      <c r="H15" s="56" t="s">
        <v>88</v>
      </c>
      <c r="I15" s="61" t="s">
        <v>88</v>
      </c>
      <c r="J15" s="18">
        <f>IF(F15="","",IF(H15="SÍ",'Configuración'!$C$6,0))</f>
        <v>1.3</v>
      </c>
      <c r="K15" s="56">
        <f t="shared" si="1"/>
        <v>3.5861</v>
      </c>
      <c r="L15" s="56">
        <f t="shared" si="2"/>
        <v>2.3761</v>
      </c>
      <c r="M15" s="57">
        <f t="shared" si="3"/>
        <v>0.6625860963</v>
      </c>
      <c r="N15" s="46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ht="15.0" customHeight="1">
      <c r="A16" s="47">
        <v>12.0</v>
      </c>
      <c r="B16" s="52" t="s">
        <v>157</v>
      </c>
      <c r="C16" s="29" t="s">
        <v>87</v>
      </c>
      <c r="D16" s="53" t="str">
        <f>IFERROR(VLOOKUP(C16,'Catálogo Productos'!$B$3:$E$53,2,0),"")</f>
        <v>Violin</v>
      </c>
      <c r="E16" s="54">
        <f>IFERROR(VLOOKUP(C16,'Catálogo Productos'!$B$3:$E$53,3,0),"")</f>
        <v>1.06</v>
      </c>
      <c r="F16" s="55">
        <f>IFERROR(VLOOKUP(C16,'Catálogo Productos'!$B$3:$E$53,4,0),"")</f>
        <v>4.99</v>
      </c>
      <c r="G16" s="58">
        <f>IF(F16="","",IF(I16="SÍ",F16*'Configuración'!$C$5,0))</f>
        <v>0.5489</v>
      </c>
      <c r="H16" s="58" t="s">
        <v>88</v>
      </c>
      <c r="I16" s="61" t="s">
        <v>88</v>
      </c>
      <c r="J16" s="18">
        <f>IF(F16="","",IF(H16="SÍ",'Configuración'!$C$6,0))</f>
        <v>1.3</v>
      </c>
      <c r="K16" s="58">
        <f t="shared" si="1"/>
        <v>3.1411</v>
      </c>
      <c r="L16" s="58">
        <f t="shared" si="2"/>
        <v>2.0811</v>
      </c>
      <c r="M16" s="59">
        <f t="shared" si="3"/>
        <v>0.6625386011</v>
      </c>
      <c r="N16" s="46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ht="15.0" customHeight="1">
      <c r="A17" s="35">
        <v>13.0</v>
      </c>
      <c r="B17" s="52" t="s">
        <v>157</v>
      </c>
      <c r="C17" s="29" t="s">
        <v>99</v>
      </c>
      <c r="D17" s="53" t="str">
        <f>IFERROR(VLOOKUP(C17,'Catálogo Productos'!$B$3:$E$53,2,0),"")</f>
        <v>Violin</v>
      </c>
      <c r="E17" s="54">
        <f>IFERROR(VLOOKUP(C17,'Catálogo Productos'!$B$3:$E$53,3,0),"")</f>
        <v>2.69</v>
      </c>
      <c r="F17" s="55">
        <f>IFERROR(VLOOKUP(C17,'Catálogo Productos'!$B$3:$E$53,4,0),"")</f>
        <v>11</v>
      </c>
      <c r="G17" s="56">
        <f>IF(F17="","",IF(I17="SÍ",F17*'Configuración'!$C$5,0))</f>
        <v>1.21</v>
      </c>
      <c r="H17" s="56" t="s">
        <v>88</v>
      </c>
      <c r="I17" s="61" t="s">
        <v>88</v>
      </c>
      <c r="J17" s="18">
        <f>IF(F17="","",IF(H17="SÍ",'Configuración'!$C$6,0))</f>
        <v>1.3</v>
      </c>
      <c r="K17" s="56">
        <f t="shared" si="1"/>
        <v>8.49</v>
      </c>
      <c r="L17" s="56">
        <f t="shared" si="2"/>
        <v>5.8</v>
      </c>
      <c r="M17" s="57">
        <f t="shared" si="3"/>
        <v>0.6831566549</v>
      </c>
      <c r="N17" s="46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ht="15.0" customHeight="1">
      <c r="A18" s="47">
        <v>14.0</v>
      </c>
      <c r="B18" s="52" t="s">
        <v>157</v>
      </c>
      <c r="C18" s="29" t="s">
        <v>92</v>
      </c>
      <c r="D18" s="53" t="str">
        <f>IFERROR(VLOOKUP(C18,'Catálogo Productos'!$B$3:$E$53,2,0),"")</f>
        <v>Cables</v>
      </c>
      <c r="E18" s="54">
        <f>IFERROR(VLOOKUP(C18,'Catálogo Productos'!$B$3:$E$53,3,0),"")</f>
        <v>1.91</v>
      </c>
      <c r="F18" s="55">
        <f>IFERROR(VLOOKUP(C18,'Catálogo Productos'!$B$3:$E$53,4,0),"")</f>
        <v>10</v>
      </c>
      <c r="G18" s="58">
        <f>IF(F18="","",IF(I18="SÍ",F18*'Configuración'!$C$5,0))</f>
        <v>1.1</v>
      </c>
      <c r="H18" s="58" t="s">
        <v>88</v>
      </c>
      <c r="I18" s="61" t="s">
        <v>88</v>
      </c>
      <c r="J18" s="18">
        <f>IF(F18="","",IF(H18="SÍ",'Configuración'!$C$6,0))</f>
        <v>1.3</v>
      </c>
      <c r="K18" s="58">
        <f t="shared" si="1"/>
        <v>7.6</v>
      </c>
      <c r="L18" s="58">
        <f t="shared" si="2"/>
        <v>5.69</v>
      </c>
      <c r="M18" s="59">
        <f t="shared" si="3"/>
        <v>0.7486842105</v>
      </c>
      <c r="N18" s="46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t="15.0" customHeight="1">
      <c r="A19" s="35">
        <v>15.0</v>
      </c>
      <c r="B19" s="52" t="s">
        <v>157</v>
      </c>
      <c r="C19" s="29" t="s">
        <v>92</v>
      </c>
      <c r="D19" s="53" t="str">
        <f>IFERROR(VLOOKUP(C19,'Catálogo Productos'!$B$3:$E$53,2,0),"")</f>
        <v>Cables</v>
      </c>
      <c r="E19" s="54">
        <f>IFERROR(VLOOKUP(C19,'Catálogo Productos'!$B$3:$E$53,3,0),"")</f>
        <v>1.91</v>
      </c>
      <c r="F19" s="55">
        <f>IFERROR(VLOOKUP(C19,'Catálogo Productos'!$B$3:$E$53,4,0),"")</f>
        <v>10</v>
      </c>
      <c r="G19" s="56">
        <f>IF(F19="","",IF(I19="SÍ",F19*'Configuración'!$C$5,0))</f>
        <v>1.1</v>
      </c>
      <c r="H19" s="56" t="s">
        <v>88</v>
      </c>
      <c r="I19" s="61" t="s">
        <v>88</v>
      </c>
      <c r="J19" s="18">
        <f>IF(F19="","",IF(H19="SÍ",'Configuración'!$C$6,0))</f>
        <v>1.3</v>
      </c>
      <c r="K19" s="56">
        <f t="shared" si="1"/>
        <v>7.6</v>
      </c>
      <c r="L19" s="56">
        <f t="shared" si="2"/>
        <v>5.69</v>
      </c>
      <c r="M19" s="57">
        <f t="shared" si="3"/>
        <v>0.7486842105</v>
      </c>
      <c r="N19" s="46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ht="15.0" customHeight="1">
      <c r="A20" s="47">
        <v>16.0</v>
      </c>
      <c r="B20" s="52" t="s">
        <v>157</v>
      </c>
      <c r="C20" s="29" t="s">
        <v>92</v>
      </c>
      <c r="D20" s="53" t="str">
        <f>IFERROR(VLOOKUP(C20,'Catálogo Productos'!$B$3:$E$53,2,0),"")</f>
        <v>Cables</v>
      </c>
      <c r="E20" s="54">
        <f>IFERROR(VLOOKUP(C20,'Catálogo Productos'!$B$3:$E$53,3,0),"")</f>
        <v>1.91</v>
      </c>
      <c r="F20" s="55">
        <f>IFERROR(VLOOKUP(C20,'Catálogo Productos'!$B$3:$E$53,4,0),"")</f>
        <v>10</v>
      </c>
      <c r="G20" s="58">
        <f>IF(F20="","",IF(I20="SÍ",F20*'Configuración'!$C$5,0))</f>
        <v>1.1</v>
      </c>
      <c r="H20" s="58" t="s">
        <v>88</v>
      </c>
      <c r="I20" s="61" t="s">
        <v>88</v>
      </c>
      <c r="J20" s="18">
        <f>IF(F20="","",IF(H20="SÍ",'Configuración'!$C$6,0))</f>
        <v>1.3</v>
      </c>
      <c r="K20" s="58">
        <f t="shared" si="1"/>
        <v>7.6</v>
      </c>
      <c r="L20" s="58">
        <f t="shared" si="2"/>
        <v>5.69</v>
      </c>
      <c r="M20" s="59">
        <f t="shared" si="3"/>
        <v>0.7486842105</v>
      </c>
      <c r="N20" s="46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5.0" customHeight="1">
      <c r="A21" s="35">
        <v>17.0</v>
      </c>
      <c r="B21" s="52" t="s">
        <v>157</v>
      </c>
      <c r="C21" s="29" t="s">
        <v>90</v>
      </c>
      <c r="D21" s="53" t="str">
        <f>IFERROR(VLOOKUP(C21,'Catálogo Productos'!$B$3:$E$53,2,0),"")</f>
        <v>Guitarra Electrica</v>
      </c>
      <c r="E21" s="54">
        <f>IFERROR(VLOOKUP(C21,'Catálogo Productos'!$B$3:$E$53,3,0),"")</f>
        <v>1.21</v>
      </c>
      <c r="F21" s="55">
        <f>IFERROR(VLOOKUP(C21,'Catálogo Productos'!$B$3:$E$53,4,0),"")</f>
        <v>5.49</v>
      </c>
      <c r="G21" s="56">
        <f>IF(F21="","",IF(I21="SÍ",F21*'Configuración'!$C$5,0))</f>
        <v>0.6039</v>
      </c>
      <c r="H21" s="56" t="s">
        <v>88</v>
      </c>
      <c r="I21" s="61" t="s">
        <v>88</v>
      </c>
      <c r="J21" s="18">
        <f>IF(F21="","",IF(H21="SÍ",'Configuración'!$C$6,0))</f>
        <v>1.3</v>
      </c>
      <c r="K21" s="56">
        <f t="shared" si="1"/>
        <v>3.5861</v>
      </c>
      <c r="L21" s="56">
        <f t="shared" si="2"/>
        <v>2.3761</v>
      </c>
      <c r="M21" s="57">
        <f t="shared" si="3"/>
        <v>0.6625860963</v>
      </c>
      <c r="N21" s="46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5.0" customHeight="1">
      <c r="A22" s="47">
        <v>18.0</v>
      </c>
      <c r="B22" s="52" t="s">
        <v>157</v>
      </c>
      <c r="C22" s="29" t="s">
        <v>95</v>
      </c>
      <c r="D22" s="53" t="str">
        <f>IFERROR(VLOOKUP(C22,'Catálogo Productos'!$B$3:$E$53,2,0),"")</f>
        <v>Guitarra Electrica</v>
      </c>
      <c r="E22" s="54">
        <f>IFERROR(VLOOKUP(C22,'Catálogo Productos'!$B$3:$E$53,3,0),"")</f>
        <v>1.21</v>
      </c>
      <c r="F22" s="55">
        <f>IFERROR(VLOOKUP(C22,'Catálogo Productos'!$B$3:$E$53,4,0),"")</f>
        <v>5.49</v>
      </c>
      <c r="G22" s="58">
        <f>IF(F22="","",IF(I22="SÍ",F22*'Configuración'!$C$5,0))</f>
        <v>0.6039</v>
      </c>
      <c r="H22" s="58" t="s">
        <v>88</v>
      </c>
      <c r="I22" s="61" t="s">
        <v>88</v>
      </c>
      <c r="J22" s="18">
        <f>IF(F22="","",IF(H22="SÍ",'Configuración'!$C$6,0))</f>
        <v>1.3</v>
      </c>
      <c r="K22" s="58">
        <f t="shared" si="1"/>
        <v>3.5861</v>
      </c>
      <c r="L22" s="58">
        <f t="shared" si="2"/>
        <v>2.3761</v>
      </c>
      <c r="M22" s="59">
        <f t="shared" si="3"/>
        <v>0.6625860963</v>
      </c>
      <c r="N22" s="46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5.0" customHeight="1">
      <c r="A23" s="35">
        <v>19.0</v>
      </c>
      <c r="B23" s="52" t="s">
        <v>157</v>
      </c>
      <c r="C23" s="29" t="s">
        <v>103</v>
      </c>
      <c r="D23" s="53" t="str">
        <f>IFERROR(VLOOKUP(C23,'Catálogo Productos'!$B$3:$E$53,2,0),"")</f>
        <v>Correas</v>
      </c>
      <c r="E23" s="54">
        <f>IFERROR(VLOOKUP(C23,'Catálogo Productos'!$B$3:$E$53,3,0),"")</f>
        <v>0.2</v>
      </c>
      <c r="F23" s="55">
        <f>IFERROR(VLOOKUP(C23,'Catálogo Productos'!$B$3:$E$53,4,0),"")</f>
        <v>5.49</v>
      </c>
      <c r="G23" s="56">
        <f>IF(F23="","",IF(I23="SÍ",F23*'Configuración'!$C$5,0))</f>
        <v>0.6039</v>
      </c>
      <c r="H23" s="56" t="s">
        <v>88</v>
      </c>
      <c r="I23" s="61" t="s">
        <v>88</v>
      </c>
      <c r="J23" s="18">
        <f>IF(F23="","",IF(H23="SÍ",'Configuración'!$C$6,0))</f>
        <v>1.3</v>
      </c>
      <c r="K23" s="56">
        <f t="shared" si="1"/>
        <v>3.5861</v>
      </c>
      <c r="L23" s="56">
        <f t="shared" si="2"/>
        <v>3.3861</v>
      </c>
      <c r="M23" s="57">
        <f t="shared" si="3"/>
        <v>0.9442291068</v>
      </c>
      <c r="N23" s="46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5.0" customHeight="1">
      <c r="A24" s="47">
        <v>20.0</v>
      </c>
      <c r="B24" s="52" t="s">
        <v>157</v>
      </c>
      <c r="C24" s="29" t="s">
        <v>103</v>
      </c>
      <c r="D24" s="53" t="str">
        <f>IFERROR(VLOOKUP(C24,'Catálogo Productos'!$B$3:$E$53,2,0),"")</f>
        <v>Correas</v>
      </c>
      <c r="E24" s="54">
        <f>IFERROR(VLOOKUP(C24,'Catálogo Productos'!$B$3:$E$53,3,0),"")</f>
        <v>0.2</v>
      </c>
      <c r="F24" s="55">
        <f>IFERROR(VLOOKUP(C24,'Catálogo Productos'!$B$3:$E$53,4,0),"")</f>
        <v>5.49</v>
      </c>
      <c r="G24" s="58">
        <f>IF(F24="","",IF(I24="SÍ",F24*'Configuración'!$C$5,0))</f>
        <v>0.6039</v>
      </c>
      <c r="H24" s="58" t="s">
        <v>88</v>
      </c>
      <c r="I24" s="61" t="s">
        <v>88</v>
      </c>
      <c r="J24" s="18">
        <f>IF(F24="","",IF(H24="SÍ",'Configuración'!$C$6,0))</f>
        <v>1.3</v>
      </c>
      <c r="K24" s="58">
        <f t="shared" si="1"/>
        <v>3.5861</v>
      </c>
      <c r="L24" s="58">
        <f t="shared" si="2"/>
        <v>3.3861</v>
      </c>
      <c r="M24" s="59">
        <f t="shared" si="3"/>
        <v>0.9442291068</v>
      </c>
      <c r="N24" s="46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5.0" customHeight="1">
      <c r="A25" s="35">
        <v>21.0</v>
      </c>
      <c r="B25" s="52" t="s">
        <v>157</v>
      </c>
      <c r="C25" s="29" t="s">
        <v>92</v>
      </c>
      <c r="D25" s="53" t="str">
        <f>IFERROR(VLOOKUP(C25,'Catálogo Productos'!$B$3:$E$53,2,0),"")</f>
        <v>Cables</v>
      </c>
      <c r="E25" s="54">
        <f>IFERROR(VLOOKUP(C25,'Catálogo Productos'!$B$3:$E$53,3,0),"")</f>
        <v>1.91</v>
      </c>
      <c r="F25" s="55">
        <f>IFERROR(VLOOKUP(C25,'Catálogo Productos'!$B$3:$E$53,4,0),"")</f>
        <v>10</v>
      </c>
      <c r="G25" s="56">
        <f>IF(F25="","",IF(I25="SÍ",F25*'Configuración'!$C$5,0))</f>
        <v>1.1</v>
      </c>
      <c r="H25" s="56" t="s">
        <v>88</v>
      </c>
      <c r="I25" s="61" t="s">
        <v>88</v>
      </c>
      <c r="J25" s="18">
        <f>IF(F25="","",IF(H25="SÍ",'Configuración'!$C$6,0))</f>
        <v>1.3</v>
      </c>
      <c r="K25" s="56">
        <f t="shared" si="1"/>
        <v>7.6</v>
      </c>
      <c r="L25" s="56">
        <f t="shared" si="2"/>
        <v>5.69</v>
      </c>
      <c r="M25" s="57">
        <f t="shared" si="3"/>
        <v>0.7486842105</v>
      </c>
      <c r="N25" s="46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5.0" customHeight="1">
      <c r="A26" s="47">
        <v>22.0</v>
      </c>
      <c r="B26" s="52" t="s">
        <v>157</v>
      </c>
      <c r="C26" s="29" t="s">
        <v>90</v>
      </c>
      <c r="D26" s="53" t="str">
        <f>IFERROR(VLOOKUP(C26,'Catálogo Productos'!$B$3:$E$53,2,0),"")</f>
        <v>Guitarra Electrica</v>
      </c>
      <c r="E26" s="54">
        <f>IFERROR(VLOOKUP(C26,'Catálogo Productos'!$B$3:$E$53,3,0),"")</f>
        <v>1.21</v>
      </c>
      <c r="F26" s="55">
        <f>IFERROR(VLOOKUP(C26,'Catálogo Productos'!$B$3:$E$53,4,0),"")</f>
        <v>5.49</v>
      </c>
      <c r="G26" s="58">
        <f>IF(F26="","",IF(I26="SÍ",F26*'Configuración'!$C$5,0))</f>
        <v>0.6039</v>
      </c>
      <c r="H26" s="58" t="s">
        <v>88</v>
      </c>
      <c r="I26" s="61" t="s">
        <v>88</v>
      </c>
      <c r="J26" s="18">
        <f>IF(F26="","",IF(H26="SÍ",'Configuración'!$C$6,0))</f>
        <v>1.3</v>
      </c>
      <c r="K26" s="58">
        <f t="shared" si="1"/>
        <v>3.5861</v>
      </c>
      <c r="L26" s="58">
        <f t="shared" si="2"/>
        <v>2.3761</v>
      </c>
      <c r="M26" s="59">
        <f t="shared" si="3"/>
        <v>0.6625860963</v>
      </c>
      <c r="N26" s="46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5.0" customHeight="1">
      <c r="A27" s="35">
        <v>23.0</v>
      </c>
      <c r="B27" s="52" t="s">
        <v>157</v>
      </c>
      <c r="C27" s="29" t="s">
        <v>90</v>
      </c>
      <c r="D27" s="53" t="str">
        <f>IFERROR(VLOOKUP(C27,'Catálogo Productos'!$B$3:$E$53,2,0),"")</f>
        <v>Guitarra Electrica</v>
      </c>
      <c r="E27" s="54">
        <f>IFERROR(VLOOKUP(C27,'Catálogo Productos'!$B$3:$E$53,3,0),"")</f>
        <v>1.21</v>
      </c>
      <c r="F27" s="55">
        <f>IFERROR(VLOOKUP(C27,'Catálogo Productos'!$B$3:$E$53,4,0),"")</f>
        <v>5.49</v>
      </c>
      <c r="G27" s="56">
        <f>IF(F27="","",IF(I27="SÍ",F27*'Configuración'!$C$5,0))</f>
        <v>0.6039</v>
      </c>
      <c r="H27" s="56" t="s">
        <v>88</v>
      </c>
      <c r="I27" s="61" t="s">
        <v>88</v>
      </c>
      <c r="J27" s="18">
        <f>IF(F27="","",IF(H27="SÍ",'Configuración'!$C$6,0))</f>
        <v>1.3</v>
      </c>
      <c r="K27" s="56">
        <f t="shared" si="1"/>
        <v>3.5861</v>
      </c>
      <c r="L27" s="56">
        <f t="shared" si="2"/>
        <v>2.3761</v>
      </c>
      <c r="M27" s="57">
        <f t="shared" si="3"/>
        <v>0.6625860963</v>
      </c>
      <c r="N27" s="46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5.0" customHeight="1">
      <c r="A28" s="47">
        <v>24.0</v>
      </c>
      <c r="B28" s="52" t="s">
        <v>157</v>
      </c>
      <c r="C28" s="29" t="s">
        <v>89</v>
      </c>
      <c r="D28" s="53" t="str">
        <f>IFERROR(VLOOKUP(C28,'Catálogo Productos'!$B$3:$E$53,2,0),"")</f>
        <v>Guitarra Clasica</v>
      </c>
      <c r="E28" s="54">
        <f>IFERROR(VLOOKUP(C28,'Catálogo Productos'!$B$3:$E$53,3,0),"")</f>
        <v>1.21</v>
      </c>
      <c r="F28" s="55">
        <f>IFERROR(VLOOKUP(C28,'Catálogo Productos'!$B$3:$E$53,4,0),"")</f>
        <v>5.49</v>
      </c>
      <c r="G28" s="58">
        <f>IF(F28="","",IF(I28="SÍ",F28*'Configuración'!$C$5,0))</f>
        <v>0.6039</v>
      </c>
      <c r="H28" s="58" t="s">
        <v>88</v>
      </c>
      <c r="I28" s="61" t="s">
        <v>88</v>
      </c>
      <c r="J28" s="18">
        <f>IF(F28="","",IF(H28="SÍ",'Configuración'!$C$6,0))</f>
        <v>1.3</v>
      </c>
      <c r="K28" s="58">
        <f t="shared" si="1"/>
        <v>3.5861</v>
      </c>
      <c r="L28" s="58">
        <f t="shared" si="2"/>
        <v>2.3761</v>
      </c>
      <c r="M28" s="59">
        <f t="shared" si="3"/>
        <v>0.6625860963</v>
      </c>
      <c r="N28" s="46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5.0" customHeight="1">
      <c r="A29" s="35">
        <v>25.0</v>
      </c>
      <c r="B29" s="52" t="s">
        <v>157</v>
      </c>
      <c r="C29" s="29" t="s">
        <v>92</v>
      </c>
      <c r="D29" s="53" t="str">
        <f>IFERROR(VLOOKUP(C29,'Catálogo Productos'!$B$3:$E$53,2,0),"")</f>
        <v>Cables</v>
      </c>
      <c r="E29" s="54">
        <f>IFERROR(VLOOKUP(C29,'Catálogo Productos'!$B$3:$E$53,3,0),"")</f>
        <v>1.91</v>
      </c>
      <c r="F29" s="55">
        <f>IFERROR(VLOOKUP(C29,'Catálogo Productos'!$B$3:$E$53,4,0),"")</f>
        <v>10</v>
      </c>
      <c r="G29" s="56">
        <f>IF(F29="","",IF(I29="SÍ",F29*'Configuración'!$C$5,0))</f>
        <v>1.1</v>
      </c>
      <c r="H29" s="56" t="s">
        <v>88</v>
      </c>
      <c r="I29" s="61" t="s">
        <v>88</v>
      </c>
      <c r="J29" s="18">
        <f>IF(F29="","",IF(H29="SÍ",'Configuración'!$C$6,0))</f>
        <v>1.3</v>
      </c>
      <c r="K29" s="56">
        <f t="shared" si="1"/>
        <v>7.6</v>
      </c>
      <c r="L29" s="56">
        <f t="shared" si="2"/>
        <v>5.69</v>
      </c>
      <c r="M29" s="57">
        <f t="shared" si="3"/>
        <v>0.7486842105</v>
      </c>
      <c r="N29" s="46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5.0" customHeight="1">
      <c r="A30" s="47">
        <v>26.0</v>
      </c>
      <c r="B30" s="52" t="s">
        <v>157</v>
      </c>
      <c r="C30" s="29" t="s">
        <v>87</v>
      </c>
      <c r="D30" s="53" t="str">
        <f>IFERROR(VLOOKUP(C30,'Catálogo Productos'!$B$3:$E$53,2,0),"")</f>
        <v>Violin</v>
      </c>
      <c r="E30" s="54">
        <f>IFERROR(VLOOKUP(C30,'Catálogo Productos'!$B$3:$E$53,3,0),"")</f>
        <v>1.06</v>
      </c>
      <c r="F30" s="55">
        <f>IFERROR(VLOOKUP(C30,'Catálogo Productos'!$B$3:$E$53,4,0),"")</f>
        <v>4.99</v>
      </c>
      <c r="G30" s="58">
        <f>IF(F30="","",IF(I30="SÍ",F30*'Configuración'!$C$5,0))</f>
        <v>0.5489</v>
      </c>
      <c r="H30" s="58" t="s">
        <v>88</v>
      </c>
      <c r="I30" s="61" t="s">
        <v>88</v>
      </c>
      <c r="J30" s="18">
        <f>IF(F30="","",IF(H30="SÍ",'Configuración'!$C$6,0))</f>
        <v>1.3</v>
      </c>
      <c r="K30" s="58">
        <f t="shared" si="1"/>
        <v>3.1411</v>
      </c>
      <c r="L30" s="58">
        <f t="shared" si="2"/>
        <v>2.0811</v>
      </c>
      <c r="M30" s="59">
        <f t="shared" si="3"/>
        <v>0.6625386011</v>
      </c>
      <c r="N30" s="46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5.0" customHeight="1">
      <c r="A31" s="35">
        <v>27.0</v>
      </c>
      <c r="B31" s="52" t="s">
        <v>157</v>
      </c>
      <c r="C31" s="29" t="s">
        <v>103</v>
      </c>
      <c r="D31" s="53" t="str">
        <f>IFERROR(VLOOKUP(C31,'Catálogo Productos'!$B$3:$E$53,2,0),"")</f>
        <v>Correas</v>
      </c>
      <c r="E31" s="54">
        <f>IFERROR(VLOOKUP(C31,'Catálogo Productos'!$B$3:$E$53,3,0),"")</f>
        <v>0.2</v>
      </c>
      <c r="F31" s="55">
        <f>IFERROR(VLOOKUP(C31,'Catálogo Productos'!$B$3:$E$53,4,0),"")</f>
        <v>5.49</v>
      </c>
      <c r="G31" s="56">
        <f>IF(F31="","",IF(I31="SÍ",F31*'Configuración'!$C$5,0))</f>
        <v>0.6039</v>
      </c>
      <c r="H31" s="56" t="s">
        <v>88</v>
      </c>
      <c r="I31" s="61" t="s">
        <v>88</v>
      </c>
      <c r="J31" s="18">
        <f>IF(F31="","",IF(H31="SÍ",'Configuración'!$C$6,0))</f>
        <v>1.3</v>
      </c>
      <c r="K31" s="56">
        <f t="shared" si="1"/>
        <v>3.5861</v>
      </c>
      <c r="L31" s="56">
        <f t="shared" si="2"/>
        <v>3.3861</v>
      </c>
      <c r="M31" s="57">
        <f t="shared" si="3"/>
        <v>0.9442291068</v>
      </c>
      <c r="N31" s="46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5.0" customHeight="1">
      <c r="A32" s="47">
        <v>28.0</v>
      </c>
      <c r="B32" s="52" t="s">
        <v>157</v>
      </c>
      <c r="C32" s="29" t="s">
        <v>106</v>
      </c>
      <c r="D32" s="53" t="str">
        <f>IFERROR(VLOOKUP(C32,'Catálogo Productos'!$B$3:$E$53,2,0),"")</f>
        <v>Guitarra Clasica</v>
      </c>
      <c r="E32" s="54">
        <f>IFERROR(VLOOKUP(C32,'Catálogo Productos'!$B$3:$E$53,3,0),"")</f>
        <v>2.5</v>
      </c>
      <c r="F32" s="55">
        <f>IFERROR(VLOOKUP(C32,'Catálogo Productos'!$B$3:$E$53,4,0),"")</f>
        <v>9.99</v>
      </c>
      <c r="G32" s="58">
        <f>IF(F32="","",IF(I32="SÍ",F32*'Configuración'!$C$5,0))</f>
        <v>1.0989</v>
      </c>
      <c r="H32" s="58" t="s">
        <v>88</v>
      </c>
      <c r="I32" s="61" t="s">
        <v>88</v>
      </c>
      <c r="J32" s="18">
        <f>IF(F32="","",IF(H32="SÍ",'Configuración'!$C$6,0))</f>
        <v>1.3</v>
      </c>
      <c r="K32" s="58">
        <f t="shared" si="1"/>
        <v>7.5911</v>
      </c>
      <c r="L32" s="58">
        <f t="shared" si="2"/>
        <v>5.0911</v>
      </c>
      <c r="M32" s="59">
        <f t="shared" si="3"/>
        <v>0.6706669653</v>
      </c>
      <c r="N32" s="46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5.0" customHeight="1">
      <c r="A33" s="35">
        <v>29.0</v>
      </c>
      <c r="B33" s="52" t="s">
        <v>157</v>
      </c>
      <c r="C33" s="29" t="s">
        <v>103</v>
      </c>
      <c r="D33" s="53" t="str">
        <f>IFERROR(VLOOKUP(C33,'Catálogo Productos'!$B$3:$E$53,2,0),"")</f>
        <v>Correas</v>
      </c>
      <c r="E33" s="54">
        <f>IFERROR(VLOOKUP(C33,'Catálogo Productos'!$B$3:$E$53,3,0),"")</f>
        <v>0.2</v>
      </c>
      <c r="F33" s="55">
        <f>IFERROR(VLOOKUP(C33,'Catálogo Productos'!$B$3:$E$53,4,0),"")</f>
        <v>5.49</v>
      </c>
      <c r="G33" s="56">
        <f>IF(F33="","",IF(I33="SÍ",F33*'Configuración'!$C$5,0))</f>
        <v>0.6039</v>
      </c>
      <c r="H33" s="56" t="s">
        <v>88</v>
      </c>
      <c r="I33" s="61" t="s">
        <v>88</v>
      </c>
      <c r="J33" s="18">
        <f>IF(F33="","",IF(H33="SÍ",'Configuración'!$C$6,0))</f>
        <v>1.3</v>
      </c>
      <c r="K33" s="56">
        <f t="shared" si="1"/>
        <v>3.5861</v>
      </c>
      <c r="L33" s="56">
        <f t="shared" si="2"/>
        <v>3.3861</v>
      </c>
      <c r="M33" s="57">
        <f t="shared" si="3"/>
        <v>0.9442291068</v>
      </c>
      <c r="N33" s="46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5.0" customHeight="1">
      <c r="A34" s="47">
        <v>30.0</v>
      </c>
      <c r="B34" s="52" t="s">
        <v>157</v>
      </c>
      <c r="C34" s="29" t="s">
        <v>103</v>
      </c>
      <c r="D34" s="53" t="str">
        <f>IFERROR(VLOOKUP(C34,'Catálogo Productos'!$B$3:$E$53,2,0),"")</f>
        <v>Correas</v>
      </c>
      <c r="E34" s="54">
        <f>IFERROR(VLOOKUP(C34,'Catálogo Productos'!$B$3:$E$53,3,0),"")</f>
        <v>0.2</v>
      </c>
      <c r="F34" s="55">
        <f>IFERROR(VLOOKUP(C34,'Catálogo Productos'!$B$3:$E$53,4,0),"")</f>
        <v>5.49</v>
      </c>
      <c r="G34" s="58">
        <f>IF(F34="","",IF(I34="SÍ",F34*'Configuración'!$C$5,0))</f>
        <v>0.6039</v>
      </c>
      <c r="H34" s="58" t="s">
        <v>88</v>
      </c>
      <c r="I34" s="61" t="s">
        <v>88</v>
      </c>
      <c r="J34" s="18">
        <f>IF(F34="","",IF(H34="SÍ",'Configuración'!$C$6,0))</f>
        <v>1.3</v>
      </c>
      <c r="K34" s="58">
        <f t="shared" si="1"/>
        <v>3.5861</v>
      </c>
      <c r="L34" s="58">
        <f t="shared" si="2"/>
        <v>3.3861</v>
      </c>
      <c r="M34" s="59">
        <f t="shared" si="3"/>
        <v>0.9442291068</v>
      </c>
      <c r="N34" s="46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5.0" customHeight="1">
      <c r="A35" s="35">
        <v>31.0</v>
      </c>
      <c r="B35" s="52" t="s">
        <v>157</v>
      </c>
      <c r="C35" s="29" t="s">
        <v>92</v>
      </c>
      <c r="D35" s="53" t="str">
        <f>IFERROR(VLOOKUP(C35,'Catálogo Productos'!$B$3:$E$53,2,0),"")</f>
        <v>Cables</v>
      </c>
      <c r="E35" s="54">
        <f>IFERROR(VLOOKUP(C35,'Catálogo Productos'!$B$3:$E$53,3,0),"")</f>
        <v>1.91</v>
      </c>
      <c r="F35" s="55">
        <f>IFERROR(VLOOKUP(C35,'Catálogo Productos'!$B$3:$E$53,4,0),"")</f>
        <v>10</v>
      </c>
      <c r="G35" s="56">
        <f>IF(F35="","",IF(I35="SÍ",F35*'Configuración'!$C$5,0))</f>
        <v>1.1</v>
      </c>
      <c r="H35" s="56" t="s">
        <v>88</v>
      </c>
      <c r="I35" s="61" t="s">
        <v>88</v>
      </c>
      <c r="J35" s="18">
        <f>IF(F35="","",IF(H35="SÍ",'Configuración'!$C$6,0))</f>
        <v>1.3</v>
      </c>
      <c r="K35" s="56">
        <f t="shared" si="1"/>
        <v>7.6</v>
      </c>
      <c r="L35" s="56">
        <f t="shared" si="2"/>
        <v>5.69</v>
      </c>
      <c r="M35" s="57">
        <f t="shared" si="3"/>
        <v>0.7486842105</v>
      </c>
      <c r="N35" s="46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5.0" customHeight="1">
      <c r="A36" s="47">
        <v>32.0</v>
      </c>
      <c r="B36" s="52" t="s">
        <v>157</v>
      </c>
      <c r="C36" s="29" t="s">
        <v>92</v>
      </c>
      <c r="D36" s="53" t="str">
        <f>IFERROR(VLOOKUP(C36,'Catálogo Productos'!$B$3:$E$53,2,0),"")</f>
        <v>Cables</v>
      </c>
      <c r="E36" s="54">
        <f>IFERROR(VLOOKUP(C36,'Catálogo Productos'!$B$3:$E$53,3,0),"")</f>
        <v>1.91</v>
      </c>
      <c r="F36" s="55">
        <f>IFERROR(VLOOKUP(C36,'Catálogo Productos'!$B$3:$E$53,4,0),"")</f>
        <v>10</v>
      </c>
      <c r="G36" s="58">
        <f>IF(F36="","",IF(I36="SÍ",F36*'Configuración'!$C$5,0))</f>
        <v>1.1</v>
      </c>
      <c r="H36" s="58" t="s">
        <v>88</v>
      </c>
      <c r="I36" s="61" t="s">
        <v>88</v>
      </c>
      <c r="J36" s="18">
        <f>IF(F36="","",IF(H36="SÍ",'Configuración'!$C$6,0))</f>
        <v>1.3</v>
      </c>
      <c r="K36" s="58">
        <f t="shared" si="1"/>
        <v>7.6</v>
      </c>
      <c r="L36" s="58">
        <f t="shared" si="2"/>
        <v>5.69</v>
      </c>
      <c r="M36" s="59">
        <f t="shared" si="3"/>
        <v>0.7486842105</v>
      </c>
      <c r="N36" s="46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5.0" customHeight="1">
      <c r="A37" s="35">
        <v>33.0</v>
      </c>
      <c r="B37" s="52" t="s">
        <v>157</v>
      </c>
      <c r="C37" s="29" t="s">
        <v>93</v>
      </c>
      <c r="D37" s="53" t="str">
        <f>IFERROR(VLOOKUP(C37,'Catálogo Productos'!$B$3:$E$53,2,0),"")</f>
        <v>Bases, Stand, Atriles</v>
      </c>
      <c r="E37" s="54">
        <f>IFERROR(VLOOKUP(C37,'Catálogo Productos'!$B$3:$E$53,3,0),"")</f>
        <v>0.5</v>
      </c>
      <c r="F37" s="55">
        <f>IFERROR(VLOOKUP(C37,'Catálogo Productos'!$B$3:$E$53,4,0),"")</f>
        <v>4.99</v>
      </c>
      <c r="G37" s="56">
        <f>IF(F37="","",IF(I37="SÍ",F37*'Configuración'!$C$5,0))</f>
        <v>0.5489</v>
      </c>
      <c r="H37" s="56" t="s">
        <v>88</v>
      </c>
      <c r="I37" s="61" t="s">
        <v>88</v>
      </c>
      <c r="J37" s="18">
        <f>IF(F37="","",IF(H37="SÍ",'Configuración'!$C$6,0))</f>
        <v>1.3</v>
      </c>
      <c r="K37" s="56">
        <f t="shared" si="1"/>
        <v>3.1411</v>
      </c>
      <c r="L37" s="56">
        <f t="shared" si="2"/>
        <v>2.6411</v>
      </c>
      <c r="M37" s="57">
        <f t="shared" si="3"/>
        <v>0.8408200949</v>
      </c>
      <c r="N37" s="46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5.0" customHeight="1">
      <c r="A38" s="47">
        <v>34.0</v>
      </c>
      <c r="B38" s="52" t="s">
        <v>157</v>
      </c>
      <c r="C38" s="29" t="s">
        <v>105</v>
      </c>
      <c r="D38" s="53" t="str">
        <f>IFERROR(VLOOKUP(C38,'Catálogo Productos'!$B$3:$E$53,2,0),"")</f>
        <v>Guitarra Clasica</v>
      </c>
      <c r="E38" s="54">
        <f>IFERROR(VLOOKUP(C38,'Catálogo Productos'!$B$3:$E$53,3,0),"")</f>
        <v>0.01</v>
      </c>
      <c r="F38" s="55">
        <f>IFERROR(VLOOKUP(C38,'Catálogo Productos'!$B$3:$E$53,4,0),"")</f>
        <v>5</v>
      </c>
      <c r="G38" s="58">
        <f>IF(F38="","",IF(I38="SÍ",F38*'Configuración'!$C$5,0))</f>
        <v>0.55</v>
      </c>
      <c r="H38" s="58" t="s">
        <v>88</v>
      </c>
      <c r="I38" s="61" t="s">
        <v>88</v>
      </c>
      <c r="J38" s="18">
        <f>IF(F38="","",IF(H38="SÍ",'Configuración'!$C$6,0))</f>
        <v>1.3</v>
      </c>
      <c r="K38" s="58">
        <f t="shared" si="1"/>
        <v>3.15</v>
      </c>
      <c r="L38" s="58">
        <f t="shared" si="2"/>
        <v>3.14</v>
      </c>
      <c r="M38" s="59">
        <f t="shared" si="3"/>
        <v>0.9968253968</v>
      </c>
      <c r="N38" s="46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5.0" customHeight="1">
      <c r="A39" s="35">
        <v>35.0</v>
      </c>
      <c r="B39" s="52" t="s">
        <v>157</v>
      </c>
      <c r="C39" s="29" t="s">
        <v>93</v>
      </c>
      <c r="D39" s="53" t="str">
        <f>IFERROR(VLOOKUP(C39,'Catálogo Productos'!$B$3:$E$53,2,0),"")</f>
        <v>Bases, Stand, Atriles</v>
      </c>
      <c r="E39" s="54">
        <f>IFERROR(VLOOKUP(C39,'Catálogo Productos'!$B$3:$E$53,3,0),"")</f>
        <v>0.5</v>
      </c>
      <c r="F39" s="55">
        <f>IFERROR(VLOOKUP(C39,'Catálogo Productos'!$B$3:$E$53,4,0),"")</f>
        <v>4.99</v>
      </c>
      <c r="G39" s="56">
        <f>IF(F39="","",IF(I39="SÍ",F39*'Configuración'!$C$5,0))</f>
        <v>0.5489</v>
      </c>
      <c r="H39" s="56" t="s">
        <v>88</v>
      </c>
      <c r="I39" s="61" t="s">
        <v>88</v>
      </c>
      <c r="J39" s="18">
        <f>IF(F39="","",IF(H39="SÍ",'Configuración'!$C$6,0))</f>
        <v>1.3</v>
      </c>
      <c r="K39" s="56">
        <f t="shared" si="1"/>
        <v>3.1411</v>
      </c>
      <c r="L39" s="56">
        <f t="shared" si="2"/>
        <v>2.6411</v>
      </c>
      <c r="M39" s="57">
        <f t="shared" si="3"/>
        <v>0.8408200949</v>
      </c>
      <c r="N39" s="46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5.0" customHeight="1">
      <c r="A40" s="47">
        <v>36.0</v>
      </c>
      <c r="B40" s="52" t="s">
        <v>157</v>
      </c>
      <c r="C40" s="29" t="s">
        <v>101</v>
      </c>
      <c r="D40" s="53" t="str">
        <f>IFERROR(VLOOKUP(C40,'Catálogo Productos'!$B$3:$E$53,2,0),"")</f>
        <v>Guitarra Acustica</v>
      </c>
      <c r="E40" s="54">
        <f>IFERROR(VLOOKUP(C40,'Catálogo Productos'!$B$3:$E$53,3,0),"")</f>
        <v>0.01</v>
      </c>
      <c r="F40" s="55">
        <f>IFERROR(VLOOKUP(C40,'Catálogo Productos'!$B$3:$E$53,4,0),"")</f>
        <v>5</v>
      </c>
      <c r="G40" s="58">
        <f>IF(F40="","",IF(I40="SÍ",F40*'Configuración'!$C$5,0))</f>
        <v>0.55</v>
      </c>
      <c r="H40" s="58" t="s">
        <v>88</v>
      </c>
      <c r="I40" s="61" t="s">
        <v>88</v>
      </c>
      <c r="J40" s="18">
        <f>IF(F40="","",IF(H40="SÍ",'Configuración'!$C$6,0))</f>
        <v>1.3</v>
      </c>
      <c r="K40" s="58">
        <f t="shared" si="1"/>
        <v>3.15</v>
      </c>
      <c r="L40" s="58">
        <f t="shared" si="2"/>
        <v>3.14</v>
      </c>
      <c r="M40" s="59">
        <f t="shared" si="3"/>
        <v>0.9968253968</v>
      </c>
      <c r="N40" s="46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5.0" customHeight="1">
      <c r="A41" s="35">
        <v>37.0</v>
      </c>
      <c r="B41" s="52" t="s">
        <v>157</v>
      </c>
      <c r="C41" s="29" t="s">
        <v>158</v>
      </c>
      <c r="D41" s="53" t="str">
        <f>IFERROR(VLOOKUP(C41,'Catálogo Productos'!$B$3:$E$53,2,0),"")</f>
        <v>Guitarra Electrica</v>
      </c>
      <c r="E41" s="54">
        <f>IFERROR(VLOOKUP(C41,'Catálogo Productos'!$B$3:$E$53,3,0),"")</f>
        <v>2.3</v>
      </c>
      <c r="F41" s="55">
        <f>IFERROR(VLOOKUP(C41,'Catálogo Productos'!$B$3:$E$53,4,0),"")</f>
        <v>14</v>
      </c>
      <c r="G41" s="56">
        <f>IF(F41="","",IF(I41="SÍ",F41*'Configuración'!$C$5,0))</f>
        <v>1.54</v>
      </c>
      <c r="H41" s="56" t="s">
        <v>88</v>
      </c>
      <c r="I41" s="61" t="s">
        <v>88</v>
      </c>
      <c r="J41" s="18">
        <f>IF(F41="","",IF(H41="SÍ",'Configuración'!$C$6,0))</f>
        <v>1.3</v>
      </c>
      <c r="K41" s="56">
        <f t="shared" si="1"/>
        <v>11.16</v>
      </c>
      <c r="L41" s="56">
        <f t="shared" si="2"/>
        <v>8.86</v>
      </c>
      <c r="M41" s="57">
        <f t="shared" si="3"/>
        <v>0.79390681</v>
      </c>
      <c r="N41" s="46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5.0" customHeight="1">
      <c r="A42" s="47">
        <v>38.0</v>
      </c>
      <c r="B42" s="52" t="s">
        <v>157</v>
      </c>
      <c r="C42" s="29" t="s">
        <v>92</v>
      </c>
      <c r="D42" s="53" t="str">
        <f>IFERROR(VLOOKUP(C42,'Catálogo Productos'!$B$3:$E$53,2,0),"")</f>
        <v>Cables</v>
      </c>
      <c r="E42" s="54">
        <f>IFERROR(VLOOKUP(C42,'Catálogo Productos'!$B$3:$E$53,3,0),"")</f>
        <v>1.91</v>
      </c>
      <c r="F42" s="55">
        <f>IFERROR(VLOOKUP(C42,'Catálogo Productos'!$B$3:$E$53,4,0),"")</f>
        <v>10</v>
      </c>
      <c r="G42" s="58">
        <f>IF(F42="","",IF(I42="SÍ",F42*'Configuración'!$C$5,0))</f>
        <v>1.1</v>
      </c>
      <c r="H42" s="58" t="s">
        <v>88</v>
      </c>
      <c r="I42" s="61" t="s">
        <v>88</v>
      </c>
      <c r="J42" s="18">
        <f>IF(F42="","",IF(H42="SÍ",'Configuración'!$C$6,0))</f>
        <v>1.3</v>
      </c>
      <c r="K42" s="58">
        <f t="shared" si="1"/>
        <v>7.6</v>
      </c>
      <c r="L42" s="58">
        <f t="shared" si="2"/>
        <v>5.69</v>
      </c>
      <c r="M42" s="59">
        <f t="shared" si="3"/>
        <v>0.7486842105</v>
      </c>
      <c r="N42" s="46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5.0" customHeight="1">
      <c r="A43" s="35">
        <v>39.0</v>
      </c>
      <c r="B43" s="52" t="s">
        <v>157</v>
      </c>
      <c r="C43" s="29" t="s">
        <v>101</v>
      </c>
      <c r="D43" s="53" t="str">
        <f>IFERROR(VLOOKUP(C43,'Catálogo Productos'!$B$3:$E$53,2,0),"")</f>
        <v>Guitarra Acustica</v>
      </c>
      <c r="E43" s="54">
        <f>IFERROR(VLOOKUP(C43,'Catálogo Productos'!$B$3:$E$53,3,0),"")</f>
        <v>0.01</v>
      </c>
      <c r="F43" s="55">
        <f>IFERROR(VLOOKUP(C43,'Catálogo Productos'!$B$3:$E$53,4,0),"")</f>
        <v>5</v>
      </c>
      <c r="G43" s="56">
        <f>IF(F43="","",IF(I43="SÍ",F43*'Configuración'!$C$5,0))</f>
        <v>0.55</v>
      </c>
      <c r="H43" s="56" t="s">
        <v>88</v>
      </c>
      <c r="I43" s="61" t="s">
        <v>88</v>
      </c>
      <c r="J43" s="18">
        <f>IF(F43="","",IF(H43="SÍ",'Configuración'!$C$6,0))</f>
        <v>1.3</v>
      </c>
      <c r="K43" s="56">
        <f t="shared" si="1"/>
        <v>3.15</v>
      </c>
      <c r="L43" s="56">
        <f t="shared" si="2"/>
        <v>3.14</v>
      </c>
      <c r="M43" s="57">
        <f t="shared" si="3"/>
        <v>0.9968253968</v>
      </c>
      <c r="N43" s="46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5.0" customHeight="1">
      <c r="A44" s="47">
        <v>40.0</v>
      </c>
      <c r="B44" s="52">
        <v>46105.0</v>
      </c>
      <c r="C44" s="29" t="s">
        <v>158</v>
      </c>
      <c r="D44" s="53" t="str">
        <f>IFERROR(VLOOKUP(C44,'Catálogo Productos'!$B$3:$E$53,2,0),"")</f>
        <v>Guitarra Electrica</v>
      </c>
      <c r="E44" s="54">
        <f>IFERROR(VLOOKUP(C44,'Catálogo Productos'!$B$3:$E$53,3,0),"")</f>
        <v>2.3</v>
      </c>
      <c r="F44" s="55">
        <f>IFERROR(VLOOKUP(C44,'Catálogo Productos'!$B$3:$E$53,4,0),"")</f>
        <v>14</v>
      </c>
      <c r="G44" s="58">
        <f>IF(F44="","",IF(I44="SÍ",F44*'Configuración'!$C$5,0))</f>
        <v>1.54</v>
      </c>
      <c r="H44" s="58" t="s">
        <v>88</v>
      </c>
      <c r="I44" s="61" t="s">
        <v>88</v>
      </c>
      <c r="J44" s="18">
        <f>IF(F44="","",IF(H44="SÍ",'Configuración'!$C$6,0))</f>
        <v>1.3</v>
      </c>
      <c r="K44" s="58">
        <f t="shared" si="1"/>
        <v>11.16</v>
      </c>
      <c r="L44" s="58">
        <f t="shared" si="2"/>
        <v>8.86</v>
      </c>
      <c r="M44" s="59">
        <f t="shared" si="3"/>
        <v>0.79390681</v>
      </c>
      <c r="N44" s="46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5.0" customHeight="1">
      <c r="A45" s="35">
        <v>41.0</v>
      </c>
      <c r="B45" s="52">
        <v>46105.0</v>
      </c>
      <c r="C45" s="29" t="s">
        <v>106</v>
      </c>
      <c r="D45" s="53" t="str">
        <f>IFERROR(VLOOKUP(C45,'Catálogo Productos'!$B$3:$E$53,2,0),"")</f>
        <v>Guitarra Clasica</v>
      </c>
      <c r="E45" s="54">
        <f>IFERROR(VLOOKUP(C45,'Catálogo Productos'!$B$3:$E$53,3,0),"")</f>
        <v>2.5</v>
      </c>
      <c r="F45" s="55">
        <f>IFERROR(VLOOKUP(C45,'Catálogo Productos'!$B$3:$E$53,4,0),"")</f>
        <v>9.99</v>
      </c>
      <c r="G45" s="56">
        <f>IF(F45="","",IF(I45="SÍ",F45*'Configuración'!$C$5,0))</f>
        <v>1.0989</v>
      </c>
      <c r="H45" s="56" t="s">
        <v>88</v>
      </c>
      <c r="I45" s="61" t="s">
        <v>88</v>
      </c>
      <c r="J45" s="18">
        <f>IF(F45="","",IF(H45="SÍ",'Configuración'!$C$6,0))</f>
        <v>1.3</v>
      </c>
      <c r="K45" s="56">
        <f t="shared" si="1"/>
        <v>7.5911</v>
      </c>
      <c r="L45" s="56">
        <f t="shared" si="2"/>
        <v>5.0911</v>
      </c>
      <c r="M45" s="57">
        <f t="shared" si="3"/>
        <v>0.6706669653</v>
      </c>
      <c r="N45" s="46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5.0" customHeight="1">
      <c r="A46" s="47">
        <v>42.0</v>
      </c>
      <c r="B46" s="52">
        <v>46105.0</v>
      </c>
      <c r="C46" s="29" t="s">
        <v>106</v>
      </c>
      <c r="D46" s="53" t="str">
        <f>IFERROR(VLOOKUP(C46,'Catálogo Productos'!$B$3:$E$53,2,0),"")</f>
        <v>Guitarra Clasica</v>
      </c>
      <c r="E46" s="54">
        <f>IFERROR(VLOOKUP(C46,'Catálogo Productos'!$B$3:$E$53,3,0),"")</f>
        <v>2.5</v>
      </c>
      <c r="F46" s="55">
        <f>IFERROR(VLOOKUP(C46,'Catálogo Productos'!$B$3:$E$53,4,0),"")</f>
        <v>9.99</v>
      </c>
      <c r="G46" s="58">
        <f>IF(F46="","",IF(I46="SÍ",F46*'Configuración'!$C$5,0))</f>
        <v>1.0989</v>
      </c>
      <c r="H46" s="58" t="s">
        <v>88</v>
      </c>
      <c r="I46" s="61" t="s">
        <v>88</v>
      </c>
      <c r="J46" s="18">
        <f>IF(F46="","",IF(H46="SÍ",'Configuración'!$C$6,0))</f>
        <v>1.3</v>
      </c>
      <c r="K46" s="58">
        <f t="shared" si="1"/>
        <v>7.5911</v>
      </c>
      <c r="L46" s="58">
        <f t="shared" si="2"/>
        <v>5.0911</v>
      </c>
      <c r="M46" s="59">
        <f t="shared" si="3"/>
        <v>0.6706669653</v>
      </c>
      <c r="N46" s="46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5.0" customHeight="1">
      <c r="A47" s="35">
        <v>43.0</v>
      </c>
      <c r="B47" s="52">
        <v>46106.0</v>
      </c>
      <c r="C47" s="29" t="s">
        <v>102</v>
      </c>
      <c r="D47" s="53" t="str">
        <f>IFERROR(VLOOKUP(C47,'Catálogo Productos'!$B$3:$E$53,2,0),"")</f>
        <v>Guitarra Acustica</v>
      </c>
      <c r="E47" s="54">
        <f>IFERROR(VLOOKUP(C47,'Catálogo Productos'!$B$3:$E$53,3,0),"")</f>
        <v>1.21</v>
      </c>
      <c r="F47" s="55">
        <f>IFERROR(VLOOKUP(C47,'Catálogo Productos'!$B$3:$E$53,4,0),"")</f>
        <v>5.49</v>
      </c>
      <c r="G47" s="56">
        <f>IF(F47="","",IF(I47="SÍ",F47*'Configuración'!$C$5,0))</f>
        <v>0.6039</v>
      </c>
      <c r="H47" s="56" t="s">
        <v>88</v>
      </c>
      <c r="I47" s="61" t="s">
        <v>88</v>
      </c>
      <c r="J47" s="18">
        <f>IF(F47="","",IF(H47="SÍ",'Configuración'!$C$6,0))</f>
        <v>1.3</v>
      </c>
      <c r="K47" s="56">
        <f t="shared" si="1"/>
        <v>3.5861</v>
      </c>
      <c r="L47" s="56">
        <f t="shared" si="2"/>
        <v>2.3761</v>
      </c>
      <c r="M47" s="57">
        <f t="shared" si="3"/>
        <v>0.6625860963</v>
      </c>
      <c r="N47" s="46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5.0" customHeight="1">
      <c r="A48" s="47">
        <v>44.0</v>
      </c>
      <c r="B48" s="52">
        <v>46106.0</v>
      </c>
      <c r="C48" s="29" t="s">
        <v>90</v>
      </c>
      <c r="D48" s="53" t="str">
        <f>IFERROR(VLOOKUP(C48,'Catálogo Productos'!$B$3:$E$53,2,0),"")</f>
        <v>Guitarra Electrica</v>
      </c>
      <c r="E48" s="54">
        <f>IFERROR(VLOOKUP(C48,'Catálogo Productos'!$B$3:$E$53,3,0),"")</f>
        <v>1.21</v>
      </c>
      <c r="F48" s="55">
        <f>IFERROR(VLOOKUP(C48,'Catálogo Productos'!$B$3:$E$53,4,0),"")</f>
        <v>5.49</v>
      </c>
      <c r="G48" s="58">
        <f>IF(F48="","",IF(I48="SÍ",F48*'Configuración'!$C$5,0))</f>
        <v>0</v>
      </c>
      <c r="H48" s="58" t="s">
        <v>91</v>
      </c>
      <c r="I48" s="61" t="s">
        <v>98</v>
      </c>
      <c r="J48" s="53">
        <f>IF(F48="","",IF(H48="SÍ",'Configuración'!$C$6,0))</f>
        <v>0</v>
      </c>
      <c r="K48" s="58">
        <f t="shared" si="1"/>
        <v>5.49</v>
      </c>
      <c r="L48" s="58">
        <f t="shared" si="2"/>
        <v>3.78</v>
      </c>
      <c r="M48" s="59">
        <f t="shared" si="3"/>
        <v>0.6885245902</v>
      </c>
      <c r="N48" s="46">
        <v>0.5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5.0" customHeight="1">
      <c r="A49" s="35">
        <v>45.0</v>
      </c>
      <c r="B49" s="52">
        <v>46106.0</v>
      </c>
      <c r="C49" s="29" t="s">
        <v>90</v>
      </c>
      <c r="D49" s="53" t="str">
        <f>IFERROR(VLOOKUP(C49,'Catálogo Productos'!$B$3:$E$53,2,0),"")</f>
        <v>Guitarra Electrica</v>
      </c>
      <c r="E49" s="54">
        <f>IFERROR(VLOOKUP(C49,'Catálogo Productos'!$B$3:$E$53,3,0),"")</f>
        <v>1.21</v>
      </c>
      <c r="F49" s="55">
        <f>IFERROR(VLOOKUP(C49,'Catálogo Productos'!$B$3:$E$53,4,0),"")</f>
        <v>5.49</v>
      </c>
      <c r="G49" s="56">
        <f>IF(F49="","",IF(I49="SÍ",F49*'Configuración'!$C$5,0))</f>
        <v>0</v>
      </c>
      <c r="H49" s="56" t="s">
        <v>91</v>
      </c>
      <c r="I49" s="61" t="s">
        <v>98</v>
      </c>
      <c r="J49" s="53">
        <f>IF(F49="","",IF(H49="SÍ",'Configuración'!$C$6,0))</f>
        <v>0</v>
      </c>
      <c r="K49" s="56">
        <f t="shared" si="1"/>
        <v>5.49</v>
      </c>
      <c r="L49" s="56">
        <f t="shared" si="2"/>
        <v>3.78</v>
      </c>
      <c r="M49" s="57">
        <f t="shared" si="3"/>
        <v>0.6885245902</v>
      </c>
      <c r="N49" s="46">
        <v>0.5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5.0" customHeight="1">
      <c r="A50" s="47">
        <v>46.0</v>
      </c>
      <c r="B50" s="52">
        <v>46106.0</v>
      </c>
      <c r="C50" s="29" t="s">
        <v>96</v>
      </c>
      <c r="D50" s="53" t="str">
        <f>IFERROR(VLOOKUP(C50,'Catálogo Productos'!$B$3:$E$53,2,0),"")</f>
        <v> Bajo Electrico</v>
      </c>
      <c r="E50" s="54">
        <f>IFERROR(VLOOKUP(C50,'Catálogo Productos'!$B$3:$E$53,3,0),"")</f>
        <v>3.03</v>
      </c>
      <c r="F50" s="55">
        <f>IFERROR(VLOOKUP(C50,'Catálogo Productos'!$B$3:$E$53,4,0),"")</f>
        <v>12.99</v>
      </c>
      <c r="G50" s="58">
        <f>IF(F50="","",IF(I50="SÍ",F50*'Configuración'!$C$5,0))</f>
        <v>0</v>
      </c>
      <c r="H50" s="58" t="s">
        <v>91</v>
      </c>
      <c r="I50" s="61" t="s">
        <v>98</v>
      </c>
      <c r="J50" s="53">
        <f>IF(F50="","",IF(H50="SÍ",'Configuración'!$C$6,0))</f>
        <v>0</v>
      </c>
      <c r="K50" s="58">
        <f t="shared" si="1"/>
        <v>12.99</v>
      </c>
      <c r="L50" s="58">
        <f t="shared" si="2"/>
        <v>7.96</v>
      </c>
      <c r="M50" s="59">
        <f t="shared" si="3"/>
        <v>0.6127790608</v>
      </c>
      <c r="N50" s="46">
        <v>2.0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5.0" customHeight="1">
      <c r="A51" s="35">
        <v>47.0</v>
      </c>
      <c r="B51" s="52">
        <v>46106.0</v>
      </c>
      <c r="C51" s="29" t="s">
        <v>94</v>
      </c>
      <c r="D51" s="53" t="str">
        <f>IFERROR(VLOOKUP(C51,'Catálogo Productos'!$B$3:$E$53,2,0),"")</f>
        <v>Capostraste</v>
      </c>
      <c r="E51" s="54">
        <f>IFERROR(VLOOKUP(C51,'Catálogo Productos'!$B$3:$E$53,3,0),"")</f>
        <v>0.65</v>
      </c>
      <c r="F51" s="55">
        <f>IFERROR(VLOOKUP(C51,'Catálogo Productos'!$B$3:$E$53,4,0),"")</f>
        <v>6.99</v>
      </c>
      <c r="G51" s="56">
        <f>IF(F51="","",IF(I51="SÍ",F51*'Configuración'!$C$5,0))</f>
        <v>0.7689</v>
      </c>
      <c r="H51" s="56" t="s">
        <v>88</v>
      </c>
      <c r="I51" s="61" t="s">
        <v>88</v>
      </c>
      <c r="J51" s="18">
        <f>IF(F51="","",IF(H51="SÍ",'Configuración'!$C$6,0))</f>
        <v>1.3</v>
      </c>
      <c r="K51" s="56">
        <f t="shared" si="1"/>
        <v>4.9211</v>
      </c>
      <c r="L51" s="56">
        <f t="shared" si="2"/>
        <v>4.2711</v>
      </c>
      <c r="M51" s="57">
        <f t="shared" si="3"/>
        <v>0.8679157099</v>
      </c>
      <c r="N51" s="46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5.0" customHeight="1">
      <c r="A52" s="47">
        <v>48.0</v>
      </c>
      <c r="B52" s="52">
        <v>46108.0</v>
      </c>
      <c r="C52" s="29" t="s">
        <v>95</v>
      </c>
      <c r="D52" s="53" t="str">
        <f>IFERROR(VLOOKUP(C52,'Catálogo Productos'!$B$3:$E$53,2,0),"")</f>
        <v>Guitarra Electrica</v>
      </c>
      <c r="E52" s="54">
        <f>IFERROR(VLOOKUP(C52,'Catálogo Productos'!$B$3:$E$53,3,0),"")</f>
        <v>1.21</v>
      </c>
      <c r="F52" s="55">
        <f>IFERROR(VLOOKUP(C52,'Catálogo Productos'!$B$3:$E$53,4,0),"")</f>
        <v>5.49</v>
      </c>
      <c r="G52" s="58">
        <f>IF(F52="","",IF(I52="SÍ",F52*'Configuración'!$C$5,0))</f>
        <v>0.6039</v>
      </c>
      <c r="H52" s="58" t="s">
        <v>88</v>
      </c>
      <c r="I52" s="61" t="s">
        <v>88</v>
      </c>
      <c r="J52" s="18">
        <f>IF(F52="","",IF(H52="SÍ",'Configuración'!$C$6,0))</f>
        <v>1.3</v>
      </c>
      <c r="K52" s="58">
        <f t="shared" si="1"/>
        <v>3.5861</v>
      </c>
      <c r="L52" s="58">
        <f t="shared" si="2"/>
        <v>2.3761</v>
      </c>
      <c r="M52" s="59">
        <f t="shared" si="3"/>
        <v>0.6625860963</v>
      </c>
      <c r="N52" s="46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5.0" customHeight="1">
      <c r="A53" s="35">
        <v>49.0</v>
      </c>
      <c r="B53" s="52">
        <v>46108.0</v>
      </c>
      <c r="C53" s="29" t="s">
        <v>102</v>
      </c>
      <c r="D53" s="53" t="str">
        <f>IFERROR(VLOOKUP(C53,'Catálogo Productos'!$B$3:$E$53,2,0),"")</f>
        <v>Guitarra Acustica</v>
      </c>
      <c r="E53" s="54">
        <f>IFERROR(VLOOKUP(C53,'Catálogo Productos'!$B$3:$E$53,3,0),"")</f>
        <v>1.21</v>
      </c>
      <c r="F53" s="55">
        <f>IFERROR(VLOOKUP(C53,'Catálogo Productos'!$B$3:$E$53,4,0),"")</f>
        <v>5.49</v>
      </c>
      <c r="G53" s="56">
        <f>IF(F53="","",IF(I53="SÍ",F53*'Configuración'!$C$5,0))</f>
        <v>0.6039</v>
      </c>
      <c r="H53" s="56" t="s">
        <v>88</v>
      </c>
      <c r="I53" s="61" t="s">
        <v>88</v>
      </c>
      <c r="J53" s="18">
        <f>IF(F53="","",IF(H53="SÍ",'Configuración'!$C$6,0))</f>
        <v>1.3</v>
      </c>
      <c r="K53" s="56">
        <f t="shared" si="1"/>
        <v>3.5861</v>
      </c>
      <c r="L53" s="56">
        <f t="shared" si="2"/>
        <v>2.3761</v>
      </c>
      <c r="M53" s="57">
        <f t="shared" si="3"/>
        <v>0.6625860963</v>
      </c>
      <c r="N53" s="46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5.0" customHeight="1">
      <c r="A54" s="47">
        <v>50.0</v>
      </c>
      <c r="B54" s="52">
        <v>46110.0</v>
      </c>
      <c r="C54" s="29" t="s">
        <v>96</v>
      </c>
      <c r="D54" s="53" t="str">
        <f>IFERROR(VLOOKUP(C54,'Catálogo Productos'!$B$3:$E$53,2,0),"")</f>
        <v> Bajo Electrico</v>
      </c>
      <c r="E54" s="54">
        <f>IFERROR(VLOOKUP(C54,'Catálogo Productos'!$B$3:$E$53,3,0),"")</f>
        <v>3.03</v>
      </c>
      <c r="F54" s="55">
        <f>IFERROR(VLOOKUP(C54,'Catálogo Productos'!$B$3:$E$53,4,0),"")</f>
        <v>12.99</v>
      </c>
      <c r="G54" s="58">
        <f>IF(F54="","",IF(I54="SÍ",F54*'Configuración'!$C$5,0))</f>
        <v>1.4289</v>
      </c>
      <c r="H54" s="58" t="s">
        <v>88</v>
      </c>
      <c r="I54" s="61" t="s">
        <v>88</v>
      </c>
      <c r="J54" s="18">
        <f>IF(F54="","",IF(H54="SÍ",'Configuración'!$C$6,0))</f>
        <v>1.3</v>
      </c>
      <c r="K54" s="58">
        <f t="shared" si="1"/>
        <v>10.2611</v>
      </c>
      <c r="L54" s="58">
        <f t="shared" si="2"/>
        <v>6.2311</v>
      </c>
      <c r="M54" s="59">
        <f t="shared" si="3"/>
        <v>0.6072545828</v>
      </c>
      <c r="N54" s="46">
        <v>1.0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5.0" customHeight="1">
      <c r="A55" s="47">
        <v>51.0</v>
      </c>
      <c r="B55" s="36">
        <v>46110.0</v>
      </c>
      <c r="C55" s="48" t="s">
        <v>95</v>
      </c>
      <c r="D55" s="38" t="str">
        <f>IFERROR(VLOOKUP(C55,'Catálogo Productos'!$B$3:$E$53,2,0),"")</f>
        <v>Guitarra Electrica</v>
      </c>
      <c r="E55" s="39">
        <f>IFERROR(VLOOKUP(C55,'Catálogo Productos'!$B$3:$E$53,3,0),"")</f>
        <v>1.21</v>
      </c>
      <c r="F55" s="40">
        <f>IFERROR(VLOOKUP(C55,'Catálogo Productos'!$B$3:$E$53,4,0),"")</f>
        <v>5.49</v>
      </c>
      <c r="G55" s="49">
        <f>IF(F55="","",IF(I55="SÍ",F55*'Configuración'!$C$5,0))</f>
        <v>0.6039</v>
      </c>
      <c r="H55" s="49" t="s">
        <v>88</v>
      </c>
      <c r="I55" s="114" t="s">
        <v>88</v>
      </c>
      <c r="J55" s="44">
        <f>IF(F55="","",IF(H55="SÍ",'Configuración'!$C$6,0))</f>
        <v>1.3</v>
      </c>
      <c r="K55" s="49">
        <f t="shared" si="1"/>
        <v>3.5861</v>
      </c>
      <c r="L55" s="49">
        <f t="shared" si="2"/>
        <v>0.8761</v>
      </c>
      <c r="M55" s="51">
        <f t="shared" si="3"/>
        <v>0.2443043975</v>
      </c>
      <c r="N55" s="115">
        <v>1.5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5.0" customHeight="1">
      <c r="A56" s="47">
        <v>52.0</v>
      </c>
      <c r="B56" s="52">
        <v>46111.0</v>
      </c>
      <c r="C56" s="29" t="s">
        <v>89</v>
      </c>
      <c r="D56" s="53" t="str">
        <f>IFERROR(VLOOKUP(C56,'Catálogo Productos'!$B$3:$E$53,2,0),"")</f>
        <v>Guitarra Clasica</v>
      </c>
      <c r="E56" s="54">
        <f>IFERROR(VLOOKUP(C56,'Catálogo Productos'!$B$3:$E$53,3,0),"")</f>
        <v>1.21</v>
      </c>
      <c r="F56" s="55">
        <f>IFERROR(VLOOKUP(C56,'Catálogo Productos'!$B$3:$E$53,4,0),"")</f>
        <v>5.49</v>
      </c>
      <c r="G56" s="58">
        <f>IF(F56="","",IF(I56="SÍ",F56*'Configuración'!$C$5,0))</f>
        <v>0.6039</v>
      </c>
      <c r="H56" s="58" t="s">
        <v>88</v>
      </c>
      <c r="I56" s="61" t="s">
        <v>88</v>
      </c>
      <c r="J56" s="18">
        <f>IF(F56="","",IF(H56="SÍ",'Configuración'!$C$6,0))</f>
        <v>1.3</v>
      </c>
      <c r="K56" s="58">
        <f t="shared" si="1"/>
        <v>3.5861</v>
      </c>
      <c r="L56" s="58">
        <f t="shared" si="2"/>
        <v>0.3761</v>
      </c>
      <c r="M56" s="59">
        <f t="shared" si="3"/>
        <v>0.1048771646</v>
      </c>
      <c r="N56" s="46">
        <v>2.0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5.0" customHeight="1">
      <c r="A57" s="47">
        <v>53.0</v>
      </c>
      <c r="B57" s="52">
        <v>46111.0</v>
      </c>
      <c r="C57" s="29" t="s">
        <v>89</v>
      </c>
      <c r="D57" s="53" t="str">
        <f>IFERROR(VLOOKUP(C57,'Catálogo Productos'!$B$3:$E$53,2,0),"")</f>
        <v>Guitarra Clasica</v>
      </c>
      <c r="E57" s="54">
        <f>IFERROR(VLOOKUP(C57,'Catálogo Productos'!$B$3:$E$53,3,0),"")</f>
        <v>1.21</v>
      </c>
      <c r="F57" s="55">
        <f>IFERROR(VLOOKUP(C57,'Catálogo Productos'!$B$3:$E$53,4,0),"")</f>
        <v>5.49</v>
      </c>
      <c r="G57" s="58">
        <f>IF(F57="","",IF(I57="SÍ",F57*'Configuración'!$C$5,0))</f>
        <v>0</v>
      </c>
      <c r="H57" s="58" t="s">
        <v>91</v>
      </c>
      <c r="I57" s="61" t="s">
        <v>98</v>
      </c>
      <c r="J57" s="18">
        <f>IF(F57="","",IF(H57="SÍ",'Configuración'!$C$6,0))</f>
        <v>0</v>
      </c>
      <c r="K57" s="58">
        <f t="shared" si="1"/>
        <v>5.49</v>
      </c>
      <c r="L57" s="58">
        <f t="shared" si="2"/>
        <v>2.28</v>
      </c>
      <c r="M57" s="59">
        <f t="shared" si="3"/>
        <v>0.4153005464</v>
      </c>
      <c r="N57" s="46">
        <v>2.0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5.0" customHeight="1">
      <c r="A58" s="47">
        <v>54.0</v>
      </c>
      <c r="B58" s="52">
        <v>46111.0</v>
      </c>
      <c r="C58" s="29" t="s">
        <v>102</v>
      </c>
      <c r="D58" s="53" t="str">
        <f>IFERROR(VLOOKUP(C58,'Catálogo Productos'!$B$3:$E$53,2,0),"")</f>
        <v>Guitarra Acustica</v>
      </c>
      <c r="E58" s="54">
        <f>IFERROR(VLOOKUP(C58,'Catálogo Productos'!$B$3:$E$53,3,0),"")</f>
        <v>1.21</v>
      </c>
      <c r="F58" s="55">
        <f>IFERROR(VLOOKUP(C58,'Catálogo Productos'!$B$3:$E$53,4,0),"")</f>
        <v>5.49</v>
      </c>
      <c r="G58" s="56">
        <f>IF(F58="","",IF(I58="SÍ",F58*'Configuración'!$C$5,0))</f>
        <v>0.6039</v>
      </c>
      <c r="H58" s="56" t="s">
        <v>88</v>
      </c>
      <c r="I58" s="61" t="s">
        <v>88</v>
      </c>
      <c r="J58" s="18">
        <f>IF(F58="","",IF(H58="SÍ",'Configuración'!$C$6,0))</f>
        <v>1.3</v>
      </c>
      <c r="K58" s="56">
        <f t="shared" si="1"/>
        <v>3.5861</v>
      </c>
      <c r="L58" s="56">
        <f t="shared" si="2"/>
        <v>0.8861</v>
      </c>
      <c r="M58" s="57">
        <f t="shared" si="3"/>
        <v>0.2470929422</v>
      </c>
      <c r="N58" s="46">
        <v>1.49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5.0" customHeight="1">
      <c r="A59" s="47">
        <v>55.0</v>
      </c>
      <c r="B59" s="36">
        <v>46111.0</v>
      </c>
      <c r="C59" s="48" t="s">
        <v>97</v>
      </c>
      <c r="D59" s="53" t="str">
        <f>IFERROR(VLOOKUP(C59,'Catálogo Productos'!$B$3:$E$53,2,0),"")</f>
        <v>Guitarra Acustica</v>
      </c>
      <c r="E59" s="39">
        <f>IFERROR(VLOOKUP(C59,'Catálogo Productos'!$B$3:$E$53,3,0),"")</f>
        <v>0.5</v>
      </c>
      <c r="F59" s="40">
        <f>IFERROR(VLOOKUP(C59,'Catálogo Productos'!$B$3:$E$53,4,0),"")</f>
        <v>5</v>
      </c>
      <c r="G59" s="56">
        <f>IF(F59="","",IF(I59="SÍ",F59*'Configuración'!$C$5,0))</f>
        <v>0.55</v>
      </c>
      <c r="H59" s="56" t="s">
        <v>88</v>
      </c>
      <c r="I59" s="61" t="s">
        <v>88</v>
      </c>
      <c r="J59" s="18">
        <f>IF(F59="","",IF(H59="SÍ",'Configuración'!$C$6,0))</f>
        <v>1.3</v>
      </c>
      <c r="K59" s="56">
        <f t="shared" si="1"/>
        <v>3.15</v>
      </c>
      <c r="L59" s="56">
        <f t="shared" si="2"/>
        <v>2.65</v>
      </c>
      <c r="M59" s="57">
        <f t="shared" si="3"/>
        <v>0.8412698413</v>
      </c>
      <c r="N59" s="46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5.0" customHeight="1">
      <c r="A60" s="47">
        <v>56.0</v>
      </c>
      <c r="B60" s="52">
        <v>46112.0</v>
      </c>
      <c r="C60" s="29" t="s">
        <v>106</v>
      </c>
      <c r="D60" s="53" t="str">
        <f>IFERROR(VLOOKUP(C60,'Catálogo Productos'!$B$3:$E$53,2,0),"")</f>
        <v>Guitarra Clasica</v>
      </c>
      <c r="E60" s="54">
        <f>IFERROR(VLOOKUP(C60,'Catálogo Productos'!$B$3:$E$53,3,0),"")</f>
        <v>2.5</v>
      </c>
      <c r="F60" s="55">
        <f>IFERROR(VLOOKUP(C60,'Catálogo Productos'!$B$3:$E$53,4,0),"")</f>
        <v>9.99</v>
      </c>
      <c r="G60" s="58">
        <f>IF(F60="","",IF(I60="SÍ",F60*'Configuración'!$C$5,0))</f>
        <v>1.0989</v>
      </c>
      <c r="H60" s="58" t="s">
        <v>91</v>
      </c>
      <c r="I60" s="61" t="s">
        <v>88</v>
      </c>
      <c r="J60" s="18">
        <f>IF(F60="","",IF(H60="SÍ",'Configuración'!$C$6,0))</f>
        <v>0</v>
      </c>
      <c r="K60" s="58">
        <f t="shared" si="1"/>
        <v>8.8911</v>
      </c>
      <c r="L60" s="58">
        <f t="shared" si="2"/>
        <v>6.3911</v>
      </c>
      <c r="M60" s="59">
        <f t="shared" si="3"/>
        <v>0.7188199435</v>
      </c>
      <c r="N60" s="46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5.0" customHeight="1">
      <c r="A61" s="47">
        <v>57.0</v>
      </c>
      <c r="B61" s="52">
        <v>46112.0</v>
      </c>
      <c r="C61" s="29" t="s">
        <v>96</v>
      </c>
      <c r="D61" s="53" t="str">
        <f>IFERROR(VLOOKUP(C61,'Catálogo Productos'!$B$3:$E$53,2,0),"")</f>
        <v> Bajo Electrico</v>
      </c>
      <c r="E61" s="54">
        <f>IFERROR(VLOOKUP(C61,'Catálogo Productos'!$B$3:$E$53,3,0),"")</f>
        <v>3.03</v>
      </c>
      <c r="F61" s="55">
        <f>IFERROR(VLOOKUP(C61,'Catálogo Productos'!$B$3:$E$53,4,0),"")</f>
        <v>12.99</v>
      </c>
      <c r="G61" s="58">
        <f>IF(F61="","",IF(I61="SÍ",F61*'Configuración'!$C$5,0))</f>
        <v>1.4289</v>
      </c>
      <c r="H61" s="58" t="s">
        <v>88</v>
      </c>
      <c r="I61" s="61" t="s">
        <v>88</v>
      </c>
      <c r="J61" s="18">
        <f>IF(F61="","",IF(H61="SÍ",'Configuración'!$C$6,0))</f>
        <v>1.3</v>
      </c>
      <c r="K61" s="58">
        <f t="shared" si="1"/>
        <v>10.2611</v>
      </c>
      <c r="L61" s="58">
        <f t="shared" si="2"/>
        <v>6.2311</v>
      </c>
      <c r="M61" s="59">
        <f t="shared" si="3"/>
        <v>0.6072545828</v>
      </c>
      <c r="N61" s="46">
        <v>1.0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5.0" customHeight="1">
      <c r="A62" s="47">
        <v>58.0</v>
      </c>
      <c r="B62" s="52">
        <v>46112.0</v>
      </c>
      <c r="C62" s="29" t="s">
        <v>90</v>
      </c>
      <c r="D62" s="53" t="str">
        <f>IFERROR(VLOOKUP(C62,'Catálogo Productos'!$B$3:$E$53,2,0),"")</f>
        <v>Guitarra Electrica</v>
      </c>
      <c r="E62" s="54">
        <f>IFERROR(VLOOKUP(C62,'Catálogo Productos'!$B$3:$E$53,3,0),"")</f>
        <v>1.21</v>
      </c>
      <c r="F62" s="55">
        <f>IFERROR(VLOOKUP(C62,'Catálogo Productos'!$B$3:$E$53,4,0),"")</f>
        <v>5.49</v>
      </c>
      <c r="G62" s="56">
        <f>IF(F62="","",IF(I62="SÍ",F62*'Configuración'!$C$5,0))</f>
        <v>0.6039</v>
      </c>
      <c r="H62" s="56" t="s">
        <v>88</v>
      </c>
      <c r="I62" s="61" t="s">
        <v>88</v>
      </c>
      <c r="J62" s="18">
        <f>IF(F62="","",IF(H62="SÍ",'Configuración'!$C$6,0))</f>
        <v>1.3</v>
      </c>
      <c r="K62" s="56">
        <f t="shared" si="1"/>
        <v>3.5861</v>
      </c>
      <c r="L62" s="56">
        <f t="shared" si="2"/>
        <v>0.3761</v>
      </c>
      <c r="M62" s="57">
        <f t="shared" si="3"/>
        <v>0.1048771646</v>
      </c>
      <c r="N62" s="46">
        <v>2.0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5.0" customHeight="1">
      <c r="A63" s="47">
        <v>59.0</v>
      </c>
      <c r="B63" s="36">
        <v>46111.0</v>
      </c>
      <c r="C63" s="48" t="s">
        <v>94</v>
      </c>
      <c r="D63" s="38" t="str">
        <f>IFERROR(VLOOKUP(C63,'Catálogo Productos'!$B$3:$E$53,2,0),"")</f>
        <v>Capostraste</v>
      </c>
      <c r="E63" s="39">
        <f>IFERROR(VLOOKUP(C63,'Catálogo Productos'!$B$3:$E$53,3,0),"")</f>
        <v>0.65</v>
      </c>
      <c r="F63" s="40">
        <f>IFERROR(VLOOKUP(C63,'Catálogo Productos'!$B$3:$E$53,4,0),"")</f>
        <v>6.99</v>
      </c>
      <c r="G63" s="41">
        <f>IF(F63="","",IF(I63="SÍ",F63*'Configuración'!$C$5,0))</f>
        <v>0.7689</v>
      </c>
      <c r="H63" s="41" t="s">
        <v>88</v>
      </c>
      <c r="I63" s="114" t="s">
        <v>88</v>
      </c>
      <c r="J63" s="44">
        <f>IF(F63="","",IF(H63="SÍ",'Configuración'!$C$6,0))</f>
        <v>1.3</v>
      </c>
      <c r="K63" s="41">
        <f t="shared" si="1"/>
        <v>4.9211</v>
      </c>
      <c r="L63" s="41">
        <f t="shared" si="2"/>
        <v>4.2711</v>
      </c>
      <c r="M63" s="45">
        <f t="shared" si="3"/>
        <v>0.8679157099</v>
      </c>
      <c r="N63" s="46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5.0" customHeight="1">
      <c r="A64" s="87" t="s">
        <v>112</v>
      </c>
      <c r="B64" s="9"/>
      <c r="C64" s="9"/>
      <c r="D64" s="10"/>
      <c r="E64" s="88">
        <f t="shared" ref="E64:G64" si="4">SUM(E5:E63)</f>
        <v>76.72</v>
      </c>
      <c r="F64" s="89">
        <f t="shared" si="4"/>
        <v>436.09</v>
      </c>
      <c r="G64" s="88">
        <f t="shared" si="4"/>
        <v>44.7293</v>
      </c>
      <c r="H64" s="88"/>
      <c r="I64" s="90"/>
      <c r="J64" s="91">
        <f t="shared" ref="J64:L64" si="5">SUM(J5:J63)</f>
        <v>70.2</v>
      </c>
      <c r="K64" s="88">
        <f t="shared" si="5"/>
        <v>321.1607</v>
      </c>
      <c r="L64" s="88">
        <f t="shared" si="5"/>
        <v>230.4507</v>
      </c>
      <c r="M64" s="88">
        <f>IF(K64=0,0,L64/K64)</f>
        <v>0.7175557283</v>
      </c>
      <c r="N64" s="92">
        <f>SUM(N5:N63)</f>
        <v>13.99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23.25" customHeight="1">
      <c r="A66" s="2"/>
      <c r="B66" s="15" t="s">
        <v>113</v>
      </c>
      <c r="C66" s="93">
        <f>COUNTA(B5:B204)</f>
        <v>60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5.75" customHeight="1">
      <c r="A68" s="2">
        <v>64.0</v>
      </c>
      <c r="B68" s="2"/>
      <c r="C68" s="2"/>
      <c r="D68" s="2" t="str">
        <f>IFERROR(VLOOKUP(C68,'Catálogo Productos'!$B$3:$E$53,2,0),"")</f>
        <v/>
      </c>
      <c r="E68" s="2" t="str">
        <f>IFERROR(VLOOKUP(C68,'Catálogo Productos'!$B$3:$E$53,3,0),"")</f>
        <v/>
      </c>
      <c r="F68" s="2" t="str">
        <f>IFERROR(VLOOKUP(C68,'Catálogo Productos'!$B$3:$E$53,4,0),"")</f>
        <v/>
      </c>
      <c r="G68" s="2" t="str">
        <f>IF(F68="","",IF(I68="SÍ",F68*'Configuración'!$C$5,0))</f>
        <v/>
      </c>
      <c r="H68" s="2"/>
      <c r="I68" s="2"/>
      <c r="J68" s="2" t="str">
        <f>IF(F68="","",IF(H68="SÍ",'Configuración'!$C$6,0))</f>
        <v/>
      </c>
      <c r="K68" s="2" t="str">
        <f t="shared" ref="K68:K204" si="6">IF(F68="","",F68-G68-J68)</f>
        <v/>
      </c>
      <c r="L68" s="2" t="str">
        <f t="shared" ref="L68:L204" si="7">IF(F68="","",K68-E68-IF(N68="",0,N68))</f>
        <v/>
      </c>
      <c r="M68" s="2" t="str">
        <f t="shared" ref="M68:M204" si="8">IF(F68="","",IF(K68=0,0,L68/K68))</f>
        <v/>
      </c>
      <c r="N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5.75" customHeight="1">
      <c r="A69" s="2">
        <v>65.0</v>
      </c>
      <c r="B69" s="2"/>
      <c r="C69" s="2"/>
      <c r="D69" s="2" t="str">
        <f>IFERROR(VLOOKUP(C69,'Catálogo Productos'!$B$3:$E$53,2,0),"")</f>
        <v/>
      </c>
      <c r="E69" s="2" t="str">
        <f>IFERROR(VLOOKUP(C69,'Catálogo Productos'!$B$3:$E$53,3,0),"")</f>
        <v/>
      </c>
      <c r="F69" s="2" t="str">
        <f>IFERROR(VLOOKUP(C69,'Catálogo Productos'!$B$3:$E$53,4,0),"")</f>
        <v/>
      </c>
      <c r="G69" s="2" t="str">
        <f>IF(F69="","",IF(I69="SÍ",F69*'Configuración'!$C$5,0))</f>
        <v/>
      </c>
      <c r="H69" s="2"/>
      <c r="I69" s="2"/>
      <c r="J69" s="2" t="str">
        <f>IF(F69="","",IF(H69="SÍ",'Configuración'!$C$6,0))</f>
        <v/>
      </c>
      <c r="K69" s="2" t="str">
        <f t="shared" si="6"/>
        <v/>
      </c>
      <c r="L69" s="2" t="str">
        <f t="shared" si="7"/>
        <v/>
      </c>
      <c r="M69" s="2" t="str">
        <f t="shared" si="8"/>
        <v/>
      </c>
      <c r="N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5.75" customHeight="1">
      <c r="A70" s="2">
        <v>66.0</v>
      </c>
      <c r="B70" s="2"/>
      <c r="C70" s="2"/>
      <c r="D70" s="2" t="str">
        <f>IFERROR(VLOOKUP(C70,'Catálogo Productos'!$B$3:$E$53,2,0),"")</f>
        <v/>
      </c>
      <c r="E70" s="2" t="str">
        <f>IFERROR(VLOOKUP(C70,'Catálogo Productos'!$B$3:$E$53,3,0),"")</f>
        <v/>
      </c>
      <c r="F70" s="2" t="str">
        <f>IFERROR(VLOOKUP(C70,'Catálogo Productos'!$B$3:$E$53,4,0),"")</f>
        <v/>
      </c>
      <c r="G70" s="2" t="str">
        <f>IF(F70="","",IF(I70="SÍ",F70*'Configuración'!$C$5,0))</f>
        <v/>
      </c>
      <c r="H70" s="2"/>
      <c r="I70" s="2"/>
      <c r="J70" s="2" t="str">
        <f>IF(F70="","",IF(H70="SÍ",'Configuración'!$C$6,0))</f>
        <v/>
      </c>
      <c r="K70" s="2" t="str">
        <f t="shared" si="6"/>
        <v/>
      </c>
      <c r="L70" s="2" t="str">
        <f t="shared" si="7"/>
        <v/>
      </c>
      <c r="M70" s="2" t="str">
        <f t="shared" si="8"/>
        <v/>
      </c>
      <c r="N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5.75" customHeight="1">
      <c r="A71" s="2">
        <v>67.0</v>
      </c>
      <c r="B71" s="2"/>
      <c r="C71" s="2"/>
      <c r="D71" s="2" t="str">
        <f>IFERROR(VLOOKUP(C71,'Catálogo Productos'!$B$3:$E$53,2,0),"")</f>
        <v/>
      </c>
      <c r="E71" s="2" t="str">
        <f>IFERROR(VLOOKUP(C71,'Catálogo Productos'!$B$3:$E$53,3,0),"")</f>
        <v/>
      </c>
      <c r="F71" s="2" t="str">
        <f>IFERROR(VLOOKUP(C71,'Catálogo Productos'!$B$3:$E$53,4,0),"")</f>
        <v/>
      </c>
      <c r="G71" s="2" t="str">
        <f>IF(F71="","",IF(I71="SÍ",F71*'Configuración'!$C$5,0))</f>
        <v/>
      </c>
      <c r="H71" s="2"/>
      <c r="I71" s="2"/>
      <c r="J71" s="2" t="str">
        <f>IF(F71="","",IF(H71="SÍ",'Configuración'!$C$6,0))</f>
        <v/>
      </c>
      <c r="K71" s="2" t="str">
        <f t="shared" si="6"/>
        <v/>
      </c>
      <c r="L71" s="2" t="str">
        <f t="shared" si="7"/>
        <v/>
      </c>
      <c r="M71" s="2" t="str">
        <f t="shared" si="8"/>
        <v/>
      </c>
      <c r="N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5.75" customHeight="1">
      <c r="A72" s="2">
        <v>68.0</v>
      </c>
      <c r="B72" s="2"/>
      <c r="C72" s="2"/>
      <c r="D72" s="2" t="str">
        <f>IFERROR(VLOOKUP(C72,'Catálogo Productos'!$B$3:$E$53,2,0),"")</f>
        <v/>
      </c>
      <c r="E72" s="2" t="str">
        <f>IFERROR(VLOOKUP(C72,'Catálogo Productos'!$B$3:$E$53,3,0),"")</f>
        <v/>
      </c>
      <c r="F72" s="2" t="str">
        <f>IFERROR(VLOOKUP(C72,'Catálogo Productos'!$B$3:$E$53,4,0),"")</f>
        <v/>
      </c>
      <c r="G72" s="2" t="str">
        <f>IF(F72="","",IF(I72="SÍ",F72*'Configuración'!$C$5,0))</f>
        <v/>
      </c>
      <c r="H72" s="2"/>
      <c r="I72" s="2"/>
      <c r="J72" s="2" t="str">
        <f>IF(F72="","",IF(H72="SÍ",'Configuración'!$C$6,0))</f>
        <v/>
      </c>
      <c r="K72" s="2" t="str">
        <f t="shared" si="6"/>
        <v/>
      </c>
      <c r="L72" s="2" t="str">
        <f t="shared" si="7"/>
        <v/>
      </c>
      <c r="M72" s="2" t="str">
        <f t="shared" si="8"/>
        <v/>
      </c>
      <c r="N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5.75" customHeight="1">
      <c r="A73" s="2">
        <v>69.0</v>
      </c>
      <c r="B73" s="2"/>
      <c r="C73" s="2"/>
      <c r="D73" s="2" t="str">
        <f>IFERROR(VLOOKUP(C73,'Catálogo Productos'!$B$3:$E$53,2,0),"")</f>
        <v/>
      </c>
      <c r="E73" s="2" t="str">
        <f>IFERROR(VLOOKUP(C73,'Catálogo Productos'!$B$3:$E$53,3,0),"")</f>
        <v/>
      </c>
      <c r="F73" s="2" t="str">
        <f>IFERROR(VLOOKUP(C73,'Catálogo Productos'!$B$3:$E$53,4,0),"")</f>
        <v/>
      </c>
      <c r="G73" s="2" t="str">
        <f>IF(F73="","",IF(I73="SÍ",F73*'Configuración'!$C$5,0))</f>
        <v/>
      </c>
      <c r="H73" s="2"/>
      <c r="I73" s="2"/>
      <c r="J73" s="2" t="str">
        <f>IF(F73="","",IF(H73="SÍ",'Configuración'!$C$6,0))</f>
        <v/>
      </c>
      <c r="K73" s="2" t="str">
        <f t="shared" si="6"/>
        <v/>
      </c>
      <c r="L73" s="2" t="str">
        <f t="shared" si="7"/>
        <v/>
      </c>
      <c r="M73" s="2" t="str">
        <f t="shared" si="8"/>
        <v/>
      </c>
      <c r="N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5.75" customHeight="1">
      <c r="A74" s="2">
        <v>70.0</v>
      </c>
      <c r="B74" s="2"/>
      <c r="C74" s="2"/>
      <c r="D74" s="2" t="str">
        <f>IFERROR(VLOOKUP(C74,'Catálogo Productos'!$B$3:$E$53,2,0),"")</f>
        <v/>
      </c>
      <c r="E74" s="2" t="str">
        <f>IFERROR(VLOOKUP(C74,'Catálogo Productos'!$B$3:$E$53,3,0),"")</f>
        <v/>
      </c>
      <c r="F74" s="2" t="str">
        <f>IFERROR(VLOOKUP(C74,'Catálogo Productos'!$B$3:$E$53,4,0),"")</f>
        <v/>
      </c>
      <c r="G74" s="2" t="str">
        <f>IF(F74="","",IF(I74="SÍ",F74*'Configuración'!$C$5,0))</f>
        <v/>
      </c>
      <c r="H74" s="2"/>
      <c r="I74" s="2"/>
      <c r="J74" s="2" t="str">
        <f>IF(F74="","",IF(H74="SÍ",'Configuración'!$C$6,0))</f>
        <v/>
      </c>
      <c r="K74" s="2" t="str">
        <f t="shared" si="6"/>
        <v/>
      </c>
      <c r="L74" s="2" t="str">
        <f t="shared" si="7"/>
        <v/>
      </c>
      <c r="M74" s="2" t="str">
        <f t="shared" si="8"/>
        <v/>
      </c>
      <c r="N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5.75" customHeight="1">
      <c r="A75" s="2">
        <v>71.0</v>
      </c>
      <c r="B75" s="2"/>
      <c r="C75" s="2"/>
      <c r="D75" s="2" t="str">
        <f>IFERROR(VLOOKUP(C75,'Catálogo Productos'!$B$3:$E$53,2,0),"")</f>
        <v/>
      </c>
      <c r="E75" s="2" t="str">
        <f>IFERROR(VLOOKUP(C75,'Catálogo Productos'!$B$3:$E$53,3,0),"")</f>
        <v/>
      </c>
      <c r="F75" s="2" t="str">
        <f>IFERROR(VLOOKUP(C75,'Catálogo Productos'!$B$3:$E$53,4,0),"")</f>
        <v/>
      </c>
      <c r="G75" s="2" t="str">
        <f>IF(F75="","",IF(I75="SÍ",F75*'Configuración'!$C$5,0))</f>
        <v/>
      </c>
      <c r="H75" s="2"/>
      <c r="I75" s="2"/>
      <c r="J75" s="2" t="str">
        <f>IF(F75="","",IF(H75="SÍ",'Configuración'!$C$6,0))</f>
        <v/>
      </c>
      <c r="K75" s="2" t="str">
        <f t="shared" si="6"/>
        <v/>
      </c>
      <c r="L75" s="2" t="str">
        <f t="shared" si="7"/>
        <v/>
      </c>
      <c r="M75" s="2" t="str">
        <f t="shared" si="8"/>
        <v/>
      </c>
      <c r="N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5.75" customHeight="1">
      <c r="A76" s="2">
        <v>72.0</v>
      </c>
      <c r="B76" s="2"/>
      <c r="C76" s="2"/>
      <c r="D76" s="2" t="str">
        <f>IFERROR(VLOOKUP(C76,'Catálogo Productos'!$B$3:$E$53,2,0),"")</f>
        <v/>
      </c>
      <c r="E76" s="2" t="str">
        <f>IFERROR(VLOOKUP(C76,'Catálogo Productos'!$B$3:$E$53,3,0),"")</f>
        <v/>
      </c>
      <c r="F76" s="2" t="str">
        <f>IFERROR(VLOOKUP(C76,'Catálogo Productos'!$B$3:$E$53,4,0),"")</f>
        <v/>
      </c>
      <c r="G76" s="2" t="str">
        <f>IF(F76="","",IF(I76="SÍ",F76*'Configuración'!$C$5,0))</f>
        <v/>
      </c>
      <c r="H76" s="2"/>
      <c r="I76" s="2"/>
      <c r="J76" s="2" t="str">
        <f>IF(F76="","",IF(H76="SÍ",'Configuración'!$C$6,0))</f>
        <v/>
      </c>
      <c r="K76" s="2" t="str">
        <f t="shared" si="6"/>
        <v/>
      </c>
      <c r="L76" s="2" t="str">
        <f t="shared" si="7"/>
        <v/>
      </c>
      <c r="M76" s="2" t="str">
        <f t="shared" si="8"/>
        <v/>
      </c>
      <c r="N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2">
        <v>73.0</v>
      </c>
      <c r="B77" s="2"/>
      <c r="C77" s="2"/>
      <c r="D77" s="2" t="str">
        <f>IFERROR(VLOOKUP(C77,'Catálogo Productos'!$B$3:$E$53,2,0),"")</f>
        <v/>
      </c>
      <c r="E77" s="2" t="str">
        <f>IFERROR(VLOOKUP(C77,'Catálogo Productos'!$B$3:$E$53,3,0),"")</f>
        <v/>
      </c>
      <c r="F77" s="2" t="str">
        <f>IFERROR(VLOOKUP(C77,'Catálogo Productos'!$B$3:$E$53,4,0),"")</f>
        <v/>
      </c>
      <c r="G77" s="2" t="str">
        <f>IF(F77="","",IF(I77="SÍ",F77*'Configuración'!$C$5,0))</f>
        <v/>
      </c>
      <c r="H77" s="2"/>
      <c r="I77" s="2"/>
      <c r="J77" s="2" t="str">
        <f>IF(F77="","",IF(H77="SÍ",'Configuración'!$C$6,0))</f>
        <v/>
      </c>
      <c r="K77" s="2" t="str">
        <f t="shared" si="6"/>
        <v/>
      </c>
      <c r="L77" s="2" t="str">
        <f t="shared" si="7"/>
        <v/>
      </c>
      <c r="M77" s="2" t="str">
        <f t="shared" si="8"/>
        <v/>
      </c>
      <c r="N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2">
        <v>74.0</v>
      </c>
      <c r="B78" s="2"/>
      <c r="C78" s="2"/>
      <c r="D78" s="2" t="str">
        <f>IFERROR(VLOOKUP(C78,'Catálogo Productos'!$B$3:$E$53,2,0),"")</f>
        <v/>
      </c>
      <c r="E78" s="2" t="str">
        <f>IFERROR(VLOOKUP(C78,'Catálogo Productos'!$B$3:$E$53,3,0),"")</f>
        <v/>
      </c>
      <c r="F78" s="2" t="str">
        <f>IFERROR(VLOOKUP(C78,'Catálogo Productos'!$B$3:$E$53,4,0),"")</f>
        <v/>
      </c>
      <c r="G78" s="2" t="str">
        <f>IF(F78="","",IF(I78="SÍ",F78*'Configuración'!$C$5,0))</f>
        <v/>
      </c>
      <c r="H78" s="2"/>
      <c r="I78" s="2"/>
      <c r="J78" s="2" t="str">
        <f>IF(F78="","",IF(H78="SÍ",'Configuración'!$C$6,0))</f>
        <v/>
      </c>
      <c r="K78" s="2" t="str">
        <f t="shared" si="6"/>
        <v/>
      </c>
      <c r="L78" s="2" t="str">
        <f t="shared" si="7"/>
        <v/>
      </c>
      <c r="M78" s="2" t="str">
        <f t="shared" si="8"/>
        <v/>
      </c>
      <c r="N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2">
        <v>75.0</v>
      </c>
      <c r="B79" s="2"/>
      <c r="C79" s="2"/>
      <c r="D79" s="2" t="str">
        <f>IFERROR(VLOOKUP(C79,'Catálogo Productos'!$B$3:$E$53,2,0),"")</f>
        <v/>
      </c>
      <c r="E79" s="2" t="str">
        <f>IFERROR(VLOOKUP(C79,'Catálogo Productos'!$B$3:$E$53,3,0),"")</f>
        <v/>
      </c>
      <c r="F79" s="2" t="str">
        <f>IFERROR(VLOOKUP(C79,'Catálogo Productos'!$B$3:$E$53,4,0),"")</f>
        <v/>
      </c>
      <c r="G79" s="2" t="str">
        <f>IF(F79="","",IF(I79="SÍ",F79*'Configuración'!$C$5,0))</f>
        <v/>
      </c>
      <c r="H79" s="2"/>
      <c r="I79" s="2"/>
      <c r="J79" s="2" t="str">
        <f>IF(F79="","",IF(H79="SÍ",'Configuración'!$C$6,0))</f>
        <v/>
      </c>
      <c r="K79" s="2" t="str">
        <f t="shared" si="6"/>
        <v/>
      </c>
      <c r="L79" s="2" t="str">
        <f t="shared" si="7"/>
        <v/>
      </c>
      <c r="M79" s="2" t="str">
        <f t="shared" si="8"/>
        <v/>
      </c>
      <c r="N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2">
        <v>76.0</v>
      </c>
      <c r="B80" s="2"/>
      <c r="C80" s="2"/>
      <c r="D80" s="2" t="str">
        <f>IFERROR(VLOOKUP(C80,'Catálogo Productos'!$B$3:$E$53,2,0),"")</f>
        <v/>
      </c>
      <c r="E80" s="2" t="str">
        <f>IFERROR(VLOOKUP(C80,'Catálogo Productos'!$B$3:$E$53,3,0),"")</f>
        <v/>
      </c>
      <c r="F80" s="2" t="str">
        <f>IFERROR(VLOOKUP(C80,'Catálogo Productos'!$B$3:$E$53,4,0),"")</f>
        <v/>
      </c>
      <c r="G80" s="2" t="str">
        <f>IF(F80="","",IF(I80="SÍ",F80*'Configuración'!$C$5,0))</f>
        <v/>
      </c>
      <c r="H80" s="2"/>
      <c r="I80" s="2"/>
      <c r="J80" s="2" t="str">
        <f>IF(F80="","",IF(H80="SÍ",'Configuración'!$C$6,0))</f>
        <v/>
      </c>
      <c r="K80" s="2" t="str">
        <f t="shared" si="6"/>
        <v/>
      </c>
      <c r="L80" s="2" t="str">
        <f t="shared" si="7"/>
        <v/>
      </c>
      <c r="M80" s="2" t="str">
        <f t="shared" si="8"/>
        <v/>
      </c>
      <c r="N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2">
        <v>77.0</v>
      </c>
      <c r="B81" s="2"/>
      <c r="C81" s="2"/>
      <c r="D81" s="2" t="str">
        <f>IFERROR(VLOOKUP(C81,'Catálogo Productos'!$B$3:$E$53,2,0),"")</f>
        <v/>
      </c>
      <c r="E81" s="2" t="str">
        <f>IFERROR(VLOOKUP(C81,'Catálogo Productos'!$B$3:$E$53,3,0),"")</f>
        <v/>
      </c>
      <c r="F81" s="2" t="str">
        <f>IFERROR(VLOOKUP(C81,'Catálogo Productos'!$B$3:$E$53,4,0),"")</f>
        <v/>
      </c>
      <c r="G81" s="2" t="str">
        <f>IF(F81="","",IF(I81="SÍ",F81*'Configuración'!$C$5,0))</f>
        <v/>
      </c>
      <c r="H81" s="2"/>
      <c r="I81" s="2"/>
      <c r="J81" s="2" t="str">
        <f>IF(F81="","",IF(H81="SÍ",'Configuración'!$C$6,0))</f>
        <v/>
      </c>
      <c r="K81" s="2" t="str">
        <f t="shared" si="6"/>
        <v/>
      </c>
      <c r="L81" s="2" t="str">
        <f t="shared" si="7"/>
        <v/>
      </c>
      <c r="M81" s="2" t="str">
        <f t="shared" si="8"/>
        <v/>
      </c>
      <c r="N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2">
        <v>78.0</v>
      </c>
      <c r="B82" s="2"/>
      <c r="C82" s="2"/>
      <c r="D82" s="2" t="str">
        <f>IFERROR(VLOOKUP(C82,'Catálogo Productos'!$B$3:$E$53,2,0),"")</f>
        <v/>
      </c>
      <c r="E82" s="2" t="str">
        <f>IFERROR(VLOOKUP(C82,'Catálogo Productos'!$B$3:$E$53,3,0),"")</f>
        <v/>
      </c>
      <c r="F82" s="2" t="str">
        <f>IFERROR(VLOOKUP(C82,'Catálogo Productos'!$B$3:$E$53,4,0),"")</f>
        <v/>
      </c>
      <c r="G82" s="2" t="str">
        <f>IF(F82="","",IF(I82="SÍ",F82*'Configuración'!$C$5,0))</f>
        <v/>
      </c>
      <c r="H82" s="2"/>
      <c r="I82" s="2"/>
      <c r="J82" s="2" t="str">
        <f>IF(F82="","",IF(H82="SÍ",'Configuración'!$C$6,0))</f>
        <v/>
      </c>
      <c r="K82" s="2" t="str">
        <f t="shared" si="6"/>
        <v/>
      </c>
      <c r="L82" s="2" t="str">
        <f t="shared" si="7"/>
        <v/>
      </c>
      <c r="M82" s="2" t="str">
        <f t="shared" si="8"/>
        <v/>
      </c>
      <c r="N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2">
        <v>79.0</v>
      </c>
      <c r="B83" s="2"/>
      <c r="C83" s="2"/>
      <c r="D83" s="2" t="str">
        <f>IFERROR(VLOOKUP(C83,'Catálogo Productos'!$B$3:$E$53,2,0),"")</f>
        <v/>
      </c>
      <c r="E83" s="2" t="str">
        <f>IFERROR(VLOOKUP(C83,'Catálogo Productos'!$B$3:$E$53,3,0),"")</f>
        <v/>
      </c>
      <c r="F83" s="2" t="str">
        <f>IFERROR(VLOOKUP(C83,'Catálogo Productos'!$B$3:$E$53,4,0),"")</f>
        <v/>
      </c>
      <c r="G83" s="2" t="str">
        <f>IF(F83="","",IF(I83="SÍ",F83*'Configuración'!$C$5,0))</f>
        <v/>
      </c>
      <c r="H83" s="2"/>
      <c r="I83" s="2"/>
      <c r="J83" s="2" t="str">
        <f>IF(F83="","",IF(H83="SÍ",'Configuración'!$C$6,0))</f>
        <v/>
      </c>
      <c r="K83" s="2" t="str">
        <f t="shared" si="6"/>
        <v/>
      </c>
      <c r="L83" s="2" t="str">
        <f t="shared" si="7"/>
        <v/>
      </c>
      <c r="M83" s="2" t="str">
        <f t="shared" si="8"/>
        <v/>
      </c>
      <c r="N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2">
        <v>80.0</v>
      </c>
      <c r="B84" s="2"/>
      <c r="C84" s="2"/>
      <c r="D84" s="2" t="str">
        <f>IFERROR(VLOOKUP(C84,'Catálogo Productos'!$B$3:$E$53,2,0),"")</f>
        <v/>
      </c>
      <c r="E84" s="2" t="str">
        <f>IFERROR(VLOOKUP(C84,'Catálogo Productos'!$B$3:$E$53,3,0),"")</f>
        <v/>
      </c>
      <c r="F84" s="2" t="str">
        <f>IFERROR(VLOOKUP(C84,'Catálogo Productos'!$B$3:$E$53,4,0),"")</f>
        <v/>
      </c>
      <c r="G84" s="2" t="str">
        <f>IF(F84="","",IF(I84="SÍ",F84*'Configuración'!$C$5,0))</f>
        <v/>
      </c>
      <c r="H84" s="2"/>
      <c r="I84" s="2"/>
      <c r="J84" s="2" t="str">
        <f>IF(F84="","",IF(H84="SÍ",'Configuración'!$C$6,0))</f>
        <v/>
      </c>
      <c r="K84" s="2" t="str">
        <f t="shared" si="6"/>
        <v/>
      </c>
      <c r="L84" s="2" t="str">
        <f t="shared" si="7"/>
        <v/>
      </c>
      <c r="M84" s="2" t="str">
        <f t="shared" si="8"/>
        <v/>
      </c>
      <c r="N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2">
        <v>81.0</v>
      </c>
      <c r="B85" s="2"/>
      <c r="C85" s="2"/>
      <c r="D85" s="2" t="str">
        <f>IFERROR(VLOOKUP(C85,'Catálogo Productos'!$B$3:$E$53,2,0),"")</f>
        <v/>
      </c>
      <c r="E85" s="2" t="str">
        <f>IFERROR(VLOOKUP(C85,'Catálogo Productos'!$B$3:$E$53,3,0),"")</f>
        <v/>
      </c>
      <c r="F85" s="2" t="str">
        <f>IFERROR(VLOOKUP(C85,'Catálogo Productos'!$B$3:$E$53,4,0),"")</f>
        <v/>
      </c>
      <c r="G85" s="2" t="str">
        <f>IF(F85="","",IF(I85="SÍ",F85*'Configuración'!$C$5,0))</f>
        <v/>
      </c>
      <c r="H85" s="2"/>
      <c r="I85" s="2"/>
      <c r="J85" s="2" t="str">
        <f>IF(F85="","",IF(H85="SÍ",'Configuración'!$C$6,0))</f>
        <v/>
      </c>
      <c r="K85" s="2" t="str">
        <f t="shared" si="6"/>
        <v/>
      </c>
      <c r="L85" s="2" t="str">
        <f t="shared" si="7"/>
        <v/>
      </c>
      <c r="M85" s="2" t="str">
        <f t="shared" si="8"/>
        <v/>
      </c>
      <c r="N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2">
        <v>82.0</v>
      </c>
      <c r="B86" s="2"/>
      <c r="C86" s="2"/>
      <c r="D86" s="2" t="str">
        <f>IFERROR(VLOOKUP(C86,'Catálogo Productos'!$B$3:$E$53,2,0),"")</f>
        <v/>
      </c>
      <c r="E86" s="2" t="str">
        <f>IFERROR(VLOOKUP(C86,'Catálogo Productos'!$B$3:$E$53,3,0),"")</f>
        <v/>
      </c>
      <c r="F86" s="2" t="str">
        <f>IFERROR(VLOOKUP(C86,'Catálogo Productos'!$B$3:$E$53,4,0),"")</f>
        <v/>
      </c>
      <c r="G86" s="2" t="str">
        <f>IF(F86="","",IF(I86="SÍ",F86*'Configuración'!$C$5,0))</f>
        <v/>
      </c>
      <c r="H86" s="2"/>
      <c r="I86" s="2"/>
      <c r="J86" s="2" t="str">
        <f>IF(F86="","",IF(H86="SÍ",'Configuración'!$C$6,0))</f>
        <v/>
      </c>
      <c r="K86" s="2" t="str">
        <f t="shared" si="6"/>
        <v/>
      </c>
      <c r="L86" s="2" t="str">
        <f t="shared" si="7"/>
        <v/>
      </c>
      <c r="M86" s="2" t="str">
        <f t="shared" si="8"/>
        <v/>
      </c>
      <c r="N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2">
        <v>83.0</v>
      </c>
      <c r="B87" s="2"/>
      <c r="C87" s="2"/>
      <c r="D87" s="2" t="str">
        <f>IFERROR(VLOOKUP(C87,'Catálogo Productos'!$B$3:$E$53,2,0),"")</f>
        <v/>
      </c>
      <c r="E87" s="2" t="str">
        <f>IFERROR(VLOOKUP(C87,'Catálogo Productos'!$B$3:$E$53,3,0),"")</f>
        <v/>
      </c>
      <c r="F87" s="2" t="str">
        <f>IFERROR(VLOOKUP(C87,'Catálogo Productos'!$B$3:$E$53,4,0),"")</f>
        <v/>
      </c>
      <c r="G87" s="2" t="str">
        <f>IF(F87="","",IF(I87="SÍ",F87*'Configuración'!$C$5,0))</f>
        <v/>
      </c>
      <c r="H87" s="2"/>
      <c r="I87" s="2"/>
      <c r="J87" s="2" t="str">
        <f>IF(F87="","",IF(H87="SÍ",'Configuración'!$C$6,0))</f>
        <v/>
      </c>
      <c r="K87" s="2" t="str">
        <f t="shared" si="6"/>
        <v/>
      </c>
      <c r="L87" s="2" t="str">
        <f t="shared" si="7"/>
        <v/>
      </c>
      <c r="M87" s="2" t="str">
        <f t="shared" si="8"/>
        <v/>
      </c>
      <c r="N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2">
        <v>84.0</v>
      </c>
      <c r="B88" s="2"/>
      <c r="C88" s="2"/>
      <c r="D88" s="2" t="str">
        <f>IFERROR(VLOOKUP(C88,'Catálogo Productos'!$B$3:$E$53,2,0),"")</f>
        <v/>
      </c>
      <c r="E88" s="2" t="str">
        <f>IFERROR(VLOOKUP(C88,'Catálogo Productos'!$B$3:$E$53,3,0),"")</f>
        <v/>
      </c>
      <c r="F88" s="2" t="str">
        <f>IFERROR(VLOOKUP(C88,'Catálogo Productos'!$B$3:$E$53,4,0),"")</f>
        <v/>
      </c>
      <c r="G88" s="2" t="str">
        <f>IF(F88="","",IF(I88="SÍ",F88*'Configuración'!$C$5,0))</f>
        <v/>
      </c>
      <c r="H88" s="2"/>
      <c r="I88" s="2"/>
      <c r="J88" s="2" t="str">
        <f>IF(F88="","",IF(H88="SÍ",'Configuración'!$C$6,0))</f>
        <v/>
      </c>
      <c r="K88" s="2" t="str">
        <f t="shared" si="6"/>
        <v/>
      </c>
      <c r="L88" s="2" t="str">
        <f t="shared" si="7"/>
        <v/>
      </c>
      <c r="M88" s="2" t="str">
        <f t="shared" si="8"/>
        <v/>
      </c>
      <c r="N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2">
        <v>85.0</v>
      </c>
      <c r="B89" s="2"/>
      <c r="C89" s="2"/>
      <c r="D89" s="2" t="str">
        <f>IFERROR(VLOOKUP(C89,'Catálogo Productos'!$B$3:$E$53,2,0),"")</f>
        <v/>
      </c>
      <c r="E89" s="2" t="str">
        <f>IFERROR(VLOOKUP(C89,'Catálogo Productos'!$B$3:$E$53,3,0),"")</f>
        <v/>
      </c>
      <c r="F89" s="2" t="str">
        <f>IFERROR(VLOOKUP(C89,'Catálogo Productos'!$B$3:$E$53,4,0),"")</f>
        <v/>
      </c>
      <c r="G89" s="2" t="str">
        <f>IF(F89="","",IF(I89="SÍ",F89*'Configuración'!$C$5,0))</f>
        <v/>
      </c>
      <c r="H89" s="2"/>
      <c r="I89" s="2"/>
      <c r="J89" s="2" t="str">
        <f>IF(F89="","",IF(H89="SÍ",'Configuración'!$C$6,0))</f>
        <v/>
      </c>
      <c r="K89" s="2" t="str">
        <f t="shared" si="6"/>
        <v/>
      </c>
      <c r="L89" s="2" t="str">
        <f t="shared" si="7"/>
        <v/>
      </c>
      <c r="M89" s="2" t="str">
        <f t="shared" si="8"/>
        <v/>
      </c>
      <c r="N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2">
        <v>86.0</v>
      </c>
      <c r="B90" s="2"/>
      <c r="C90" s="2"/>
      <c r="D90" s="2" t="str">
        <f>IFERROR(VLOOKUP(C90,'Catálogo Productos'!$B$3:$E$53,2,0),"")</f>
        <v/>
      </c>
      <c r="E90" s="2" t="str">
        <f>IFERROR(VLOOKUP(C90,'Catálogo Productos'!$B$3:$E$53,3,0),"")</f>
        <v/>
      </c>
      <c r="F90" s="2" t="str">
        <f>IFERROR(VLOOKUP(C90,'Catálogo Productos'!$B$3:$E$53,4,0),"")</f>
        <v/>
      </c>
      <c r="G90" s="2" t="str">
        <f>IF(F90="","",IF(I90="SÍ",F90*'Configuración'!$C$5,0))</f>
        <v/>
      </c>
      <c r="H90" s="2"/>
      <c r="I90" s="2"/>
      <c r="J90" s="2" t="str">
        <f>IF(F90="","",IF(H90="SÍ",'Configuración'!$C$6,0))</f>
        <v/>
      </c>
      <c r="K90" s="2" t="str">
        <f t="shared" si="6"/>
        <v/>
      </c>
      <c r="L90" s="2" t="str">
        <f t="shared" si="7"/>
        <v/>
      </c>
      <c r="M90" s="2" t="str">
        <f t="shared" si="8"/>
        <v/>
      </c>
      <c r="N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2">
        <v>87.0</v>
      </c>
      <c r="B91" s="2"/>
      <c r="C91" s="2"/>
      <c r="D91" s="2" t="str">
        <f>IFERROR(VLOOKUP(C91,'Catálogo Productos'!$B$3:$E$53,2,0),"")</f>
        <v/>
      </c>
      <c r="E91" s="2" t="str">
        <f>IFERROR(VLOOKUP(C91,'Catálogo Productos'!$B$3:$E$53,3,0),"")</f>
        <v/>
      </c>
      <c r="F91" s="2" t="str">
        <f>IFERROR(VLOOKUP(C91,'Catálogo Productos'!$B$3:$E$53,4,0),"")</f>
        <v/>
      </c>
      <c r="G91" s="2" t="str">
        <f>IF(F91="","",IF(I91="SÍ",F91*'Configuración'!$C$5,0))</f>
        <v/>
      </c>
      <c r="H91" s="2"/>
      <c r="I91" s="2"/>
      <c r="J91" s="2" t="str">
        <f>IF(F91="","",IF(H91="SÍ",'Configuración'!$C$6,0))</f>
        <v/>
      </c>
      <c r="K91" s="2" t="str">
        <f t="shared" si="6"/>
        <v/>
      </c>
      <c r="L91" s="2" t="str">
        <f t="shared" si="7"/>
        <v/>
      </c>
      <c r="M91" s="2" t="str">
        <f t="shared" si="8"/>
        <v/>
      </c>
      <c r="N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2">
        <v>88.0</v>
      </c>
      <c r="B92" s="2"/>
      <c r="C92" s="2"/>
      <c r="D92" s="2" t="str">
        <f>IFERROR(VLOOKUP(C92,'Catálogo Productos'!$B$3:$E$53,2,0),"")</f>
        <v/>
      </c>
      <c r="E92" s="2" t="str">
        <f>IFERROR(VLOOKUP(C92,'Catálogo Productos'!$B$3:$E$53,3,0),"")</f>
        <v/>
      </c>
      <c r="F92" s="2" t="str">
        <f>IFERROR(VLOOKUP(C92,'Catálogo Productos'!$B$3:$E$53,4,0),"")</f>
        <v/>
      </c>
      <c r="G92" s="2" t="str">
        <f>IF(F92="","",IF(I92="SÍ",F92*'Configuración'!$C$5,0))</f>
        <v/>
      </c>
      <c r="H92" s="2"/>
      <c r="I92" s="2"/>
      <c r="J92" s="2" t="str">
        <f>IF(F92="","",IF(H92="SÍ",'Configuración'!$C$6,0))</f>
        <v/>
      </c>
      <c r="K92" s="2" t="str">
        <f t="shared" si="6"/>
        <v/>
      </c>
      <c r="L92" s="2" t="str">
        <f t="shared" si="7"/>
        <v/>
      </c>
      <c r="M92" s="2" t="str">
        <f t="shared" si="8"/>
        <v/>
      </c>
      <c r="N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2">
        <v>89.0</v>
      </c>
      <c r="B93" s="2"/>
      <c r="C93" s="2"/>
      <c r="D93" s="2" t="str">
        <f>IFERROR(VLOOKUP(C93,'Catálogo Productos'!$B$3:$E$53,2,0),"")</f>
        <v/>
      </c>
      <c r="E93" s="2" t="str">
        <f>IFERROR(VLOOKUP(C93,'Catálogo Productos'!$B$3:$E$53,3,0),"")</f>
        <v/>
      </c>
      <c r="F93" s="2" t="str">
        <f>IFERROR(VLOOKUP(C93,'Catálogo Productos'!$B$3:$E$53,4,0),"")</f>
        <v/>
      </c>
      <c r="G93" s="2" t="str">
        <f>IF(F93="","",IF(I93="SÍ",F93*'Configuración'!$C$5,0))</f>
        <v/>
      </c>
      <c r="H93" s="2"/>
      <c r="I93" s="2"/>
      <c r="J93" s="2" t="str">
        <f>IF(F93="","",IF(H93="SÍ",'Configuración'!$C$6,0))</f>
        <v/>
      </c>
      <c r="K93" s="2" t="str">
        <f t="shared" si="6"/>
        <v/>
      </c>
      <c r="L93" s="2" t="str">
        <f t="shared" si="7"/>
        <v/>
      </c>
      <c r="M93" s="2" t="str">
        <f t="shared" si="8"/>
        <v/>
      </c>
      <c r="N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2">
        <v>90.0</v>
      </c>
      <c r="B94" s="2"/>
      <c r="C94" s="2"/>
      <c r="D94" s="2" t="str">
        <f>IFERROR(VLOOKUP(C94,'Catálogo Productos'!$B$3:$E$53,2,0),"")</f>
        <v/>
      </c>
      <c r="E94" s="2" t="str">
        <f>IFERROR(VLOOKUP(C94,'Catálogo Productos'!$B$3:$E$53,3,0),"")</f>
        <v/>
      </c>
      <c r="F94" s="2" t="str">
        <f>IFERROR(VLOOKUP(C94,'Catálogo Productos'!$B$3:$E$53,4,0),"")</f>
        <v/>
      </c>
      <c r="G94" s="2" t="str">
        <f>IF(F94="","",IF(I94="SÍ",F94*'Configuración'!$C$5,0))</f>
        <v/>
      </c>
      <c r="H94" s="2"/>
      <c r="I94" s="2"/>
      <c r="J94" s="2" t="str">
        <f>IF(F94="","",IF(H94="SÍ",'Configuración'!$C$6,0))</f>
        <v/>
      </c>
      <c r="K94" s="2" t="str">
        <f t="shared" si="6"/>
        <v/>
      </c>
      <c r="L94" s="2" t="str">
        <f t="shared" si="7"/>
        <v/>
      </c>
      <c r="M94" s="2" t="str">
        <f t="shared" si="8"/>
        <v/>
      </c>
      <c r="N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2">
        <v>91.0</v>
      </c>
      <c r="B95" s="2"/>
      <c r="C95" s="2"/>
      <c r="D95" s="2" t="str">
        <f>IFERROR(VLOOKUP(C95,'Catálogo Productos'!$B$3:$E$53,2,0),"")</f>
        <v/>
      </c>
      <c r="E95" s="2" t="str">
        <f>IFERROR(VLOOKUP(C95,'Catálogo Productos'!$B$3:$E$53,3,0),"")</f>
        <v/>
      </c>
      <c r="F95" s="2" t="str">
        <f>IFERROR(VLOOKUP(C95,'Catálogo Productos'!$B$3:$E$53,4,0),"")</f>
        <v/>
      </c>
      <c r="G95" s="2" t="str">
        <f>IF(F95="","",IF(I95="SÍ",F95*'Configuración'!$C$5,0))</f>
        <v/>
      </c>
      <c r="H95" s="2"/>
      <c r="I95" s="2"/>
      <c r="J95" s="2" t="str">
        <f>IF(F95="","",IF(H95="SÍ",'Configuración'!$C$6,0))</f>
        <v/>
      </c>
      <c r="K95" s="2" t="str">
        <f t="shared" si="6"/>
        <v/>
      </c>
      <c r="L95" s="2" t="str">
        <f t="shared" si="7"/>
        <v/>
      </c>
      <c r="M95" s="2" t="str">
        <f t="shared" si="8"/>
        <v/>
      </c>
      <c r="N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2">
        <v>92.0</v>
      </c>
      <c r="B96" s="2"/>
      <c r="C96" s="2"/>
      <c r="D96" s="2" t="str">
        <f>IFERROR(VLOOKUP(C96,'Catálogo Productos'!$B$3:$E$53,2,0),"")</f>
        <v/>
      </c>
      <c r="E96" s="2" t="str">
        <f>IFERROR(VLOOKUP(C96,'Catálogo Productos'!$B$3:$E$53,3,0),"")</f>
        <v/>
      </c>
      <c r="F96" s="2" t="str">
        <f>IFERROR(VLOOKUP(C96,'Catálogo Productos'!$B$3:$E$53,4,0),"")</f>
        <v/>
      </c>
      <c r="G96" s="2" t="str">
        <f>IF(F96="","",IF(I96="SÍ",F96*'Configuración'!$C$5,0))</f>
        <v/>
      </c>
      <c r="H96" s="2"/>
      <c r="I96" s="2"/>
      <c r="J96" s="2" t="str">
        <f>IF(F96="","",IF(H96="SÍ",'Configuración'!$C$6,0))</f>
        <v/>
      </c>
      <c r="K96" s="2" t="str">
        <f t="shared" si="6"/>
        <v/>
      </c>
      <c r="L96" s="2" t="str">
        <f t="shared" si="7"/>
        <v/>
      </c>
      <c r="M96" s="2" t="str">
        <f t="shared" si="8"/>
        <v/>
      </c>
      <c r="N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2">
        <v>93.0</v>
      </c>
      <c r="B97" s="2"/>
      <c r="C97" s="2"/>
      <c r="D97" s="2" t="str">
        <f>IFERROR(VLOOKUP(C97,'Catálogo Productos'!$B$3:$E$53,2,0),"")</f>
        <v/>
      </c>
      <c r="E97" s="2" t="str">
        <f>IFERROR(VLOOKUP(C97,'Catálogo Productos'!$B$3:$E$53,3,0),"")</f>
        <v/>
      </c>
      <c r="F97" s="2" t="str">
        <f>IFERROR(VLOOKUP(C97,'Catálogo Productos'!$B$3:$E$53,4,0),"")</f>
        <v/>
      </c>
      <c r="G97" s="2" t="str">
        <f>IF(F97="","",IF(I97="SÍ",F97*'Configuración'!$C$5,0))</f>
        <v/>
      </c>
      <c r="H97" s="2"/>
      <c r="I97" s="2"/>
      <c r="J97" s="2" t="str">
        <f>IF(F97="","",IF(H97="SÍ",'Configuración'!$C$6,0))</f>
        <v/>
      </c>
      <c r="K97" s="2" t="str">
        <f t="shared" si="6"/>
        <v/>
      </c>
      <c r="L97" s="2" t="str">
        <f t="shared" si="7"/>
        <v/>
      </c>
      <c r="M97" s="2" t="str">
        <f t="shared" si="8"/>
        <v/>
      </c>
      <c r="N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2">
        <v>94.0</v>
      </c>
      <c r="B98" s="2"/>
      <c r="C98" s="2"/>
      <c r="D98" s="2" t="str">
        <f>IFERROR(VLOOKUP(C98,'Catálogo Productos'!$B$3:$E$53,2,0),"")</f>
        <v/>
      </c>
      <c r="E98" s="2" t="str">
        <f>IFERROR(VLOOKUP(C98,'Catálogo Productos'!$B$3:$E$53,3,0),"")</f>
        <v/>
      </c>
      <c r="F98" s="2" t="str">
        <f>IFERROR(VLOOKUP(C98,'Catálogo Productos'!$B$3:$E$53,4,0),"")</f>
        <v/>
      </c>
      <c r="G98" s="2" t="str">
        <f>IF(F98="","",IF(I98="SÍ",F98*'Configuración'!$C$5,0))</f>
        <v/>
      </c>
      <c r="H98" s="2"/>
      <c r="I98" s="2"/>
      <c r="J98" s="2" t="str">
        <f>IF(F98="","",IF(H98="SÍ",'Configuración'!$C$6,0))</f>
        <v/>
      </c>
      <c r="K98" s="2" t="str">
        <f t="shared" si="6"/>
        <v/>
      </c>
      <c r="L98" s="2" t="str">
        <f t="shared" si="7"/>
        <v/>
      </c>
      <c r="M98" s="2" t="str">
        <f t="shared" si="8"/>
        <v/>
      </c>
      <c r="N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2">
        <v>95.0</v>
      </c>
      <c r="B99" s="2"/>
      <c r="C99" s="2"/>
      <c r="D99" s="2" t="str">
        <f>IFERROR(VLOOKUP(C99,'Catálogo Productos'!$B$3:$E$53,2,0),"")</f>
        <v/>
      </c>
      <c r="E99" s="2" t="str">
        <f>IFERROR(VLOOKUP(C99,'Catálogo Productos'!$B$3:$E$53,3,0),"")</f>
        <v/>
      </c>
      <c r="F99" s="2" t="str">
        <f>IFERROR(VLOOKUP(C99,'Catálogo Productos'!$B$3:$E$53,4,0),"")</f>
        <v/>
      </c>
      <c r="G99" s="2" t="str">
        <f>IF(F99="","",IF(I99="SÍ",F99*'Configuración'!$C$5,0))</f>
        <v/>
      </c>
      <c r="H99" s="2"/>
      <c r="I99" s="2"/>
      <c r="J99" s="2" t="str">
        <f>IF(F99="","",IF(H99="SÍ",'Configuración'!$C$6,0))</f>
        <v/>
      </c>
      <c r="K99" s="2" t="str">
        <f t="shared" si="6"/>
        <v/>
      </c>
      <c r="L99" s="2" t="str">
        <f t="shared" si="7"/>
        <v/>
      </c>
      <c r="M99" s="2" t="str">
        <f t="shared" si="8"/>
        <v/>
      </c>
      <c r="N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2">
        <v>96.0</v>
      </c>
      <c r="B100" s="2"/>
      <c r="C100" s="2"/>
      <c r="D100" s="2" t="str">
        <f>IFERROR(VLOOKUP(C100,'Catálogo Productos'!$B$3:$E$53,2,0),"")</f>
        <v/>
      </c>
      <c r="E100" s="2" t="str">
        <f>IFERROR(VLOOKUP(C100,'Catálogo Productos'!$B$3:$E$53,3,0),"")</f>
        <v/>
      </c>
      <c r="F100" s="2" t="str">
        <f>IFERROR(VLOOKUP(C100,'Catálogo Productos'!$B$3:$E$53,4,0),"")</f>
        <v/>
      </c>
      <c r="G100" s="2" t="str">
        <f>IF(F100="","",IF(I100="SÍ",F100*'Configuración'!$C$5,0))</f>
        <v/>
      </c>
      <c r="H100" s="2"/>
      <c r="I100" s="2"/>
      <c r="J100" s="2" t="str">
        <f>IF(F100="","",IF(H100="SÍ",'Configuración'!$C$6,0))</f>
        <v/>
      </c>
      <c r="K100" s="2" t="str">
        <f t="shared" si="6"/>
        <v/>
      </c>
      <c r="L100" s="2" t="str">
        <f t="shared" si="7"/>
        <v/>
      </c>
      <c r="M100" s="2" t="str">
        <f t="shared" si="8"/>
        <v/>
      </c>
      <c r="N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2">
        <v>97.0</v>
      </c>
      <c r="B101" s="2"/>
      <c r="C101" s="2"/>
      <c r="D101" s="2" t="str">
        <f>IFERROR(VLOOKUP(C101,'Catálogo Productos'!$B$3:$E$53,2,0),"")</f>
        <v/>
      </c>
      <c r="E101" s="2" t="str">
        <f>IFERROR(VLOOKUP(C101,'Catálogo Productos'!$B$3:$E$53,3,0),"")</f>
        <v/>
      </c>
      <c r="F101" s="2" t="str">
        <f>IFERROR(VLOOKUP(C101,'Catálogo Productos'!$B$3:$E$53,4,0),"")</f>
        <v/>
      </c>
      <c r="G101" s="2" t="str">
        <f>IF(F101="","",IF(I101="SÍ",F101*'Configuración'!$C$5,0))</f>
        <v/>
      </c>
      <c r="H101" s="2"/>
      <c r="I101" s="2"/>
      <c r="J101" s="2" t="str">
        <f>IF(F101="","",IF(H101="SÍ",'Configuración'!$C$6,0))</f>
        <v/>
      </c>
      <c r="K101" s="2" t="str">
        <f t="shared" si="6"/>
        <v/>
      </c>
      <c r="L101" s="2" t="str">
        <f t="shared" si="7"/>
        <v/>
      </c>
      <c r="M101" s="2" t="str">
        <f t="shared" si="8"/>
        <v/>
      </c>
      <c r="N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2">
        <v>98.0</v>
      </c>
      <c r="B102" s="2"/>
      <c r="C102" s="2"/>
      <c r="D102" s="2" t="str">
        <f>IFERROR(VLOOKUP(C102,'Catálogo Productos'!$B$3:$E$53,2,0),"")</f>
        <v/>
      </c>
      <c r="E102" s="2" t="str">
        <f>IFERROR(VLOOKUP(C102,'Catálogo Productos'!$B$3:$E$53,3,0),"")</f>
        <v/>
      </c>
      <c r="F102" s="2" t="str">
        <f>IFERROR(VLOOKUP(C102,'Catálogo Productos'!$B$3:$E$53,4,0),"")</f>
        <v/>
      </c>
      <c r="G102" s="2" t="str">
        <f>IF(F102="","",IF(I102="SÍ",F102*'Configuración'!$C$5,0))</f>
        <v/>
      </c>
      <c r="H102" s="2"/>
      <c r="I102" s="2"/>
      <c r="J102" s="2" t="str">
        <f>IF(F102="","",IF(H102="SÍ",'Configuración'!$C$6,0))</f>
        <v/>
      </c>
      <c r="K102" s="2" t="str">
        <f t="shared" si="6"/>
        <v/>
      </c>
      <c r="L102" s="2" t="str">
        <f t="shared" si="7"/>
        <v/>
      </c>
      <c r="M102" s="2" t="str">
        <f t="shared" si="8"/>
        <v/>
      </c>
      <c r="N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>
      <c r="A103" s="2">
        <v>99.0</v>
      </c>
      <c r="B103" s="2"/>
      <c r="C103" s="2"/>
      <c r="D103" s="2" t="str">
        <f>IFERROR(VLOOKUP(C103,'Catálogo Productos'!$B$3:$E$53,2,0),"")</f>
        <v/>
      </c>
      <c r="E103" s="2" t="str">
        <f>IFERROR(VLOOKUP(C103,'Catálogo Productos'!$B$3:$E$53,3,0),"")</f>
        <v/>
      </c>
      <c r="F103" s="2" t="str">
        <f>IFERROR(VLOOKUP(C103,'Catálogo Productos'!$B$3:$E$53,4,0),"")</f>
        <v/>
      </c>
      <c r="G103" s="2" t="str">
        <f>IF(F103="","",IF(I103="SÍ",F103*'Configuración'!$C$5,0))</f>
        <v/>
      </c>
      <c r="H103" s="2"/>
      <c r="I103" s="2"/>
      <c r="J103" s="2" t="str">
        <f>IF(F103="","",IF(H103="SÍ",'Configuración'!$C$6,0))</f>
        <v/>
      </c>
      <c r="K103" s="2" t="str">
        <f t="shared" si="6"/>
        <v/>
      </c>
      <c r="L103" s="2" t="str">
        <f t="shared" si="7"/>
        <v/>
      </c>
      <c r="M103" s="2" t="str">
        <f t="shared" si="8"/>
        <v/>
      </c>
      <c r="N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customHeight="1">
      <c r="A104" s="2">
        <v>100.0</v>
      </c>
      <c r="B104" s="2"/>
      <c r="C104" s="2"/>
      <c r="D104" s="2" t="str">
        <f>IFERROR(VLOOKUP(C104,'Catálogo Productos'!$B$3:$E$53,2,0),"")</f>
        <v/>
      </c>
      <c r="E104" s="2" t="str">
        <f>IFERROR(VLOOKUP(C104,'Catálogo Productos'!$B$3:$E$53,3,0),"")</f>
        <v/>
      </c>
      <c r="F104" s="2" t="str">
        <f>IFERROR(VLOOKUP(C104,'Catálogo Productos'!$B$3:$E$53,4,0),"")</f>
        <v/>
      </c>
      <c r="G104" s="2" t="str">
        <f>IF(F104="","",IF(I104="SÍ",F104*'Configuración'!$C$5,0))</f>
        <v/>
      </c>
      <c r="H104" s="2"/>
      <c r="I104" s="2"/>
      <c r="J104" s="2" t="str">
        <f>IF(F104="","",IF(H104="SÍ",'Configuración'!$C$6,0))</f>
        <v/>
      </c>
      <c r="K104" s="2" t="str">
        <f t="shared" si="6"/>
        <v/>
      </c>
      <c r="L104" s="2" t="str">
        <f t="shared" si="7"/>
        <v/>
      </c>
      <c r="M104" s="2" t="str">
        <f t="shared" si="8"/>
        <v/>
      </c>
      <c r="N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>
      <c r="A105" s="2">
        <v>101.0</v>
      </c>
      <c r="B105" s="2"/>
      <c r="C105" s="2"/>
      <c r="D105" s="2" t="str">
        <f>IFERROR(VLOOKUP(C105,'Catálogo Productos'!$B$3:$E$53,2,0),"")</f>
        <v/>
      </c>
      <c r="E105" s="2" t="str">
        <f>IFERROR(VLOOKUP(C105,'Catálogo Productos'!$B$3:$E$53,3,0),"")</f>
        <v/>
      </c>
      <c r="F105" s="2" t="str">
        <f>IFERROR(VLOOKUP(C105,'Catálogo Productos'!$B$3:$E$53,4,0),"")</f>
        <v/>
      </c>
      <c r="G105" s="2" t="str">
        <f>IF(F105="","",IF(I105="SÍ",F105*'Configuración'!$C$5,0))</f>
        <v/>
      </c>
      <c r="H105" s="2"/>
      <c r="I105" s="2"/>
      <c r="J105" s="2" t="str">
        <f>IF(F105="","",IF(H105="SÍ",'Configuración'!$C$6,0))</f>
        <v/>
      </c>
      <c r="K105" s="2" t="str">
        <f t="shared" si="6"/>
        <v/>
      </c>
      <c r="L105" s="2" t="str">
        <f t="shared" si="7"/>
        <v/>
      </c>
      <c r="M105" s="2" t="str">
        <f t="shared" si="8"/>
        <v/>
      </c>
      <c r="N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>
      <c r="A106" s="2">
        <v>102.0</v>
      </c>
      <c r="B106" s="2"/>
      <c r="C106" s="2"/>
      <c r="D106" s="2" t="str">
        <f>IFERROR(VLOOKUP(C106,'Catálogo Productos'!$B$3:$E$53,2,0),"")</f>
        <v/>
      </c>
      <c r="E106" s="2" t="str">
        <f>IFERROR(VLOOKUP(C106,'Catálogo Productos'!$B$3:$E$53,3,0),"")</f>
        <v/>
      </c>
      <c r="F106" s="2" t="str">
        <f>IFERROR(VLOOKUP(C106,'Catálogo Productos'!$B$3:$E$53,4,0),"")</f>
        <v/>
      </c>
      <c r="G106" s="2" t="str">
        <f>IF(F106="","",IF(I106="SÍ",F106*'Configuración'!$C$5,0))</f>
        <v/>
      </c>
      <c r="H106" s="2"/>
      <c r="I106" s="2"/>
      <c r="J106" s="2" t="str">
        <f>IF(F106="","",IF(H106="SÍ",'Configuración'!$C$6,0))</f>
        <v/>
      </c>
      <c r="K106" s="2" t="str">
        <f t="shared" si="6"/>
        <v/>
      </c>
      <c r="L106" s="2" t="str">
        <f t="shared" si="7"/>
        <v/>
      </c>
      <c r="M106" s="2" t="str">
        <f t="shared" si="8"/>
        <v/>
      </c>
      <c r="N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customHeight="1">
      <c r="A107" s="2">
        <v>103.0</v>
      </c>
      <c r="B107" s="2"/>
      <c r="C107" s="2"/>
      <c r="D107" s="2" t="str">
        <f>IFERROR(VLOOKUP(C107,'Catálogo Productos'!$B$3:$E$53,2,0),"")</f>
        <v/>
      </c>
      <c r="E107" s="2" t="str">
        <f>IFERROR(VLOOKUP(C107,'Catálogo Productos'!$B$3:$E$53,3,0),"")</f>
        <v/>
      </c>
      <c r="F107" s="2" t="str">
        <f>IFERROR(VLOOKUP(C107,'Catálogo Productos'!$B$3:$E$53,4,0),"")</f>
        <v/>
      </c>
      <c r="G107" s="2" t="str">
        <f>IF(F107="","",IF(I107="SÍ",F107*'Configuración'!$C$5,0))</f>
        <v/>
      </c>
      <c r="H107" s="2"/>
      <c r="I107" s="2"/>
      <c r="J107" s="2" t="str">
        <f>IF(F107="","",IF(H107="SÍ",'Configuración'!$C$6,0))</f>
        <v/>
      </c>
      <c r="K107" s="2" t="str">
        <f t="shared" si="6"/>
        <v/>
      </c>
      <c r="L107" s="2" t="str">
        <f t="shared" si="7"/>
        <v/>
      </c>
      <c r="M107" s="2" t="str">
        <f t="shared" si="8"/>
        <v/>
      </c>
      <c r="N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>
      <c r="A108" s="2">
        <v>104.0</v>
      </c>
      <c r="B108" s="2"/>
      <c r="C108" s="2"/>
      <c r="D108" s="2" t="str">
        <f>IFERROR(VLOOKUP(C108,'Catálogo Productos'!$B$3:$E$53,2,0),"")</f>
        <v/>
      </c>
      <c r="E108" s="2" t="str">
        <f>IFERROR(VLOOKUP(C108,'Catálogo Productos'!$B$3:$E$53,3,0),"")</f>
        <v/>
      </c>
      <c r="F108" s="2" t="str">
        <f>IFERROR(VLOOKUP(C108,'Catálogo Productos'!$B$3:$E$53,4,0),"")</f>
        <v/>
      </c>
      <c r="G108" s="2" t="str">
        <f>IF(F108="","",IF(I108="SÍ",F108*'Configuración'!$C$5,0))</f>
        <v/>
      </c>
      <c r="H108" s="2"/>
      <c r="I108" s="2"/>
      <c r="J108" s="2" t="str">
        <f>IF(F108="","",IF(H108="SÍ",'Configuración'!$C$6,0))</f>
        <v/>
      </c>
      <c r="K108" s="2" t="str">
        <f t="shared" si="6"/>
        <v/>
      </c>
      <c r="L108" s="2" t="str">
        <f t="shared" si="7"/>
        <v/>
      </c>
      <c r="M108" s="2" t="str">
        <f t="shared" si="8"/>
        <v/>
      </c>
      <c r="N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customHeight="1">
      <c r="A109" s="2">
        <v>105.0</v>
      </c>
      <c r="B109" s="2"/>
      <c r="C109" s="2"/>
      <c r="D109" s="2" t="str">
        <f>IFERROR(VLOOKUP(C109,'Catálogo Productos'!$B$3:$E$53,2,0),"")</f>
        <v/>
      </c>
      <c r="E109" s="2" t="str">
        <f>IFERROR(VLOOKUP(C109,'Catálogo Productos'!$B$3:$E$53,3,0),"")</f>
        <v/>
      </c>
      <c r="F109" s="2" t="str">
        <f>IFERROR(VLOOKUP(C109,'Catálogo Productos'!$B$3:$E$53,4,0),"")</f>
        <v/>
      </c>
      <c r="G109" s="2" t="str">
        <f>IF(F109="","",IF(I109="SÍ",F109*'Configuración'!$C$5,0))</f>
        <v/>
      </c>
      <c r="H109" s="2"/>
      <c r="I109" s="2"/>
      <c r="J109" s="2" t="str">
        <f>IF(F109="","",IF(H109="SÍ",'Configuración'!$C$6,0))</f>
        <v/>
      </c>
      <c r="K109" s="2" t="str">
        <f t="shared" si="6"/>
        <v/>
      </c>
      <c r="L109" s="2" t="str">
        <f t="shared" si="7"/>
        <v/>
      </c>
      <c r="M109" s="2" t="str">
        <f t="shared" si="8"/>
        <v/>
      </c>
      <c r="N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customHeight="1">
      <c r="A110" s="2">
        <v>106.0</v>
      </c>
      <c r="B110" s="2"/>
      <c r="C110" s="2"/>
      <c r="D110" s="2" t="str">
        <f>IFERROR(VLOOKUP(C110,'Catálogo Productos'!$B$3:$E$53,2,0),"")</f>
        <v/>
      </c>
      <c r="E110" s="2" t="str">
        <f>IFERROR(VLOOKUP(C110,'Catálogo Productos'!$B$3:$E$53,3,0),"")</f>
        <v/>
      </c>
      <c r="F110" s="2" t="str">
        <f>IFERROR(VLOOKUP(C110,'Catálogo Productos'!$B$3:$E$53,4,0),"")</f>
        <v/>
      </c>
      <c r="G110" s="2" t="str">
        <f>IF(F110="","",IF(I110="SÍ",F110*'Configuración'!$C$5,0))</f>
        <v/>
      </c>
      <c r="H110" s="2"/>
      <c r="I110" s="2"/>
      <c r="J110" s="2" t="str">
        <f>IF(F110="","",IF(H110="SÍ",'Configuración'!$C$6,0))</f>
        <v/>
      </c>
      <c r="K110" s="2" t="str">
        <f t="shared" si="6"/>
        <v/>
      </c>
      <c r="L110" s="2" t="str">
        <f t="shared" si="7"/>
        <v/>
      </c>
      <c r="M110" s="2" t="str">
        <f t="shared" si="8"/>
        <v/>
      </c>
      <c r="N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>
      <c r="A111" s="2">
        <v>107.0</v>
      </c>
      <c r="B111" s="2"/>
      <c r="C111" s="2"/>
      <c r="D111" s="2" t="str">
        <f>IFERROR(VLOOKUP(C111,'Catálogo Productos'!$B$3:$E$53,2,0),"")</f>
        <v/>
      </c>
      <c r="E111" s="2" t="str">
        <f>IFERROR(VLOOKUP(C111,'Catálogo Productos'!$B$3:$E$53,3,0),"")</f>
        <v/>
      </c>
      <c r="F111" s="2" t="str">
        <f>IFERROR(VLOOKUP(C111,'Catálogo Productos'!$B$3:$E$53,4,0),"")</f>
        <v/>
      </c>
      <c r="G111" s="2" t="str">
        <f>IF(F111="","",IF(I111="SÍ",F111*'Configuración'!$C$5,0))</f>
        <v/>
      </c>
      <c r="H111" s="2"/>
      <c r="I111" s="2"/>
      <c r="J111" s="2" t="str">
        <f>IF(F111="","",IF(H111="SÍ",'Configuración'!$C$6,0))</f>
        <v/>
      </c>
      <c r="K111" s="2" t="str">
        <f t="shared" si="6"/>
        <v/>
      </c>
      <c r="L111" s="2" t="str">
        <f t="shared" si="7"/>
        <v/>
      </c>
      <c r="M111" s="2" t="str">
        <f t="shared" si="8"/>
        <v/>
      </c>
      <c r="N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>
      <c r="A112" s="2">
        <v>108.0</v>
      </c>
      <c r="B112" s="2"/>
      <c r="C112" s="2"/>
      <c r="D112" s="2" t="str">
        <f>IFERROR(VLOOKUP(C112,'Catálogo Productos'!$B$3:$E$53,2,0),"")</f>
        <v/>
      </c>
      <c r="E112" s="2" t="str">
        <f>IFERROR(VLOOKUP(C112,'Catálogo Productos'!$B$3:$E$53,3,0),"")</f>
        <v/>
      </c>
      <c r="F112" s="2" t="str">
        <f>IFERROR(VLOOKUP(C112,'Catálogo Productos'!$B$3:$E$53,4,0),"")</f>
        <v/>
      </c>
      <c r="G112" s="2" t="str">
        <f>IF(F112="","",IF(I112="SÍ",F112*'Configuración'!$C$5,0))</f>
        <v/>
      </c>
      <c r="H112" s="2"/>
      <c r="I112" s="2"/>
      <c r="J112" s="2" t="str">
        <f>IF(F112="","",IF(H112="SÍ",'Configuración'!$C$6,0))</f>
        <v/>
      </c>
      <c r="K112" s="2" t="str">
        <f t="shared" si="6"/>
        <v/>
      </c>
      <c r="L112" s="2" t="str">
        <f t="shared" si="7"/>
        <v/>
      </c>
      <c r="M112" s="2" t="str">
        <f t="shared" si="8"/>
        <v/>
      </c>
      <c r="N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customHeight="1">
      <c r="A113" s="2">
        <v>109.0</v>
      </c>
      <c r="B113" s="2"/>
      <c r="C113" s="2"/>
      <c r="D113" s="2" t="str">
        <f>IFERROR(VLOOKUP(C113,'Catálogo Productos'!$B$3:$E$53,2,0),"")</f>
        <v/>
      </c>
      <c r="E113" s="2" t="str">
        <f>IFERROR(VLOOKUP(C113,'Catálogo Productos'!$B$3:$E$53,3,0),"")</f>
        <v/>
      </c>
      <c r="F113" s="2" t="str">
        <f>IFERROR(VLOOKUP(C113,'Catálogo Productos'!$B$3:$E$53,4,0),"")</f>
        <v/>
      </c>
      <c r="G113" s="2" t="str">
        <f>IF(F113="","",IF(I113="SÍ",F113*'Configuración'!$C$5,0))</f>
        <v/>
      </c>
      <c r="H113" s="2"/>
      <c r="I113" s="2"/>
      <c r="J113" s="2" t="str">
        <f>IF(F113="","",IF(H113="SÍ",'Configuración'!$C$6,0))</f>
        <v/>
      </c>
      <c r="K113" s="2" t="str">
        <f t="shared" si="6"/>
        <v/>
      </c>
      <c r="L113" s="2" t="str">
        <f t="shared" si="7"/>
        <v/>
      </c>
      <c r="M113" s="2" t="str">
        <f t="shared" si="8"/>
        <v/>
      </c>
      <c r="N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>
      <c r="A114" s="2">
        <v>110.0</v>
      </c>
      <c r="B114" s="2"/>
      <c r="C114" s="2"/>
      <c r="D114" s="2" t="str">
        <f>IFERROR(VLOOKUP(C114,'Catálogo Productos'!$B$3:$E$53,2,0),"")</f>
        <v/>
      </c>
      <c r="E114" s="2" t="str">
        <f>IFERROR(VLOOKUP(C114,'Catálogo Productos'!$B$3:$E$53,3,0),"")</f>
        <v/>
      </c>
      <c r="F114" s="2" t="str">
        <f>IFERROR(VLOOKUP(C114,'Catálogo Productos'!$B$3:$E$53,4,0),"")</f>
        <v/>
      </c>
      <c r="G114" s="2" t="str">
        <f>IF(F114="","",IF(I114="SÍ",F114*'Configuración'!$C$5,0))</f>
        <v/>
      </c>
      <c r="H114" s="2"/>
      <c r="I114" s="2"/>
      <c r="J114" s="2" t="str">
        <f>IF(F114="","",IF(H114="SÍ",'Configuración'!$C$6,0))</f>
        <v/>
      </c>
      <c r="K114" s="2" t="str">
        <f t="shared" si="6"/>
        <v/>
      </c>
      <c r="L114" s="2" t="str">
        <f t="shared" si="7"/>
        <v/>
      </c>
      <c r="M114" s="2" t="str">
        <f t="shared" si="8"/>
        <v/>
      </c>
      <c r="N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>
      <c r="A115" s="2">
        <v>111.0</v>
      </c>
      <c r="B115" s="2"/>
      <c r="C115" s="2"/>
      <c r="D115" s="2" t="str">
        <f>IFERROR(VLOOKUP(C115,'Catálogo Productos'!$B$3:$E$53,2,0),"")</f>
        <v/>
      </c>
      <c r="E115" s="2" t="str">
        <f>IFERROR(VLOOKUP(C115,'Catálogo Productos'!$B$3:$E$53,3,0),"")</f>
        <v/>
      </c>
      <c r="F115" s="2" t="str">
        <f>IFERROR(VLOOKUP(C115,'Catálogo Productos'!$B$3:$E$53,4,0),"")</f>
        <v/>
      </c>
      <c r="G115" s="2" t="str">
        <f>IF(F115="","",IF(I115="SÍ",F115*'Configuración'!$C$5,0))</f>
        <v/>
      </c>
      <c r="H115" s="2"/>
      <c r="I115" s="2"/>
      <c r="J115" s="2" t="str">
        <f>IF(F115="","",IF(H115="SÍ",'Configuración'!$C$6,0))</f>
        <v/>
      </c>
      <c r="K115" s="2" t="str">
        <f t="shared" si="6"/>
        <v/>
      </c>
      <c r="L115" s="2" t="str">
        <f t="shared" si="7"/>
        <v/>
      </c>
      <c r="M115" s="2" t="str">
        <f t="shared" si="8"/>
        <v/>
      </c>
      <c r="N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>
      <c r="A116" s="2">
        <v>112.0</v>
      </c>
      <c r="B116" s="2"/>
      <c r="C116" s="2"/>
      <c r="D116" s="2" t="str">
        <f>IFERROR(VLOOKUP(C116,'Catálogo Productos'!$B$3:$E$53,2,0),"")</f>
        <v/>
      </c>
      <c r="E116" s="2" t="str">
        <f>IFERROR(VLOOKUP(C116,'Catálogo Productos'!$B$3:$E$53,3,0),"")</f>
        <v/>
      </c>
      <c r="F116" s="2" t="str">
        <f>IFERROR(VLOOKUP(C116,'Catálogo Productos'!$B$3:$E$53,4,0),"")</f>
        <v/>
      </c>
      <c r="G116" s="2" t="str">
        <f>IF(F116="","",IF(I116="SÍ",F116*'Configuración'!$C$5,0))</f>
        <v/>
      </c>
      <c r="H116" s="2"/>
      <c r="I116" s="2"/>
      <c r="J116" s="2" t="str">
        <f>IF(F116="","",IF(H116="SÍ",'Configuración'!$C$6,0))</f>
        <v/>
      </c>
      <c r="K116" s="2" t="str">
        <f t="shared" si="6"/>
        <v/>
      </c>
      <c r="L116" s="2" t="str">
        <f t="shared" si="7"/>
        <v/>
      </c>
      <c r="M116" s="2" t="str">
        <f t="shared" si="8"/>
        <v/>
      </c>
      <c r="N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>
      <c r="A117" s="2">
        <v>113.0</v>
      </c>
      <c r="B117" s="2"/>
      <c r="C117" s="2"/>
      <c r="D117" s="2" t="str">
        <f>IFERROR(VLOOKUP(C117,'Catálogo Productos'!$B$3:$E$53,2,0),"")</f>
        <v/>
      </c>
      <c r="E117" s="2" t="str">
        <f>IFERROR(VLOOKUP(C117,'Catálogo Productos'!$B$3:$E$53,3,0),"")</f>
        <v/>
      </c>
      <c r="F117" s="2" t="str">
        <f>IFERROR(VLOOKUP(C117,'Catálogo Productos'!$B$3:$E$53,4,0),"")</f>
        <v/>
      </c>
      <c r="G117" s="2" t="str">
        <f>IF(F117="","",IF(I117="SÍ",F117*'Configuración'!$C$5,0))</f>
        <v/>
      </c>
      <c r="H117" s="2"/>
      <c r="I117" s="2"/>
      <c r="J117" s="2" t="str">
        <f>IF(F117="","",IF(H117="SÍ",'Configuración'!$C$6,0))</f>
        <v/>
      </c>
      <c r="K117" s="2" t="str">
        <f t="shared" si="6"/>
        <v/>
      </c>
      <c r="L117" s="2" t="str">
        <f t="shared" si="7"/>
        <v/>
      </c>
      <c r="M117" s="2" t="str">
        <f t="shared" si="8"/>
        <v/>
      </c>
      <c r="N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2">
        <v>114.0</v>
      </c>
      <c r="B118" s="2"/>
      <c r="C118" s="2"/>
      <c r="D118" s="2" t="str">
        <f>IFERROR(VLOOKUP(C118,'Catálogo Productos'!$B$3:$E$53,2,0),"")</f>
        <v/>
      </c>
      <c r="E118" s="2" t="str">
        <f>IFERROR(VLOOKUP(C118,'Catálogo Productos'!$B$3:$E$53,3,0),"")</f>
        <v/>
      </c>
      <c r="F118" s="2" t="str">
        <f>IFERROR(VLOOKUP(C118,'Catálogo Productos'!$B$3:$E$53,4,0),"")</f>
        <v/>
      </c>
      <c r="G118" s="2" t="str">
        <f>IF(F118="","",IF(I118="SÍ",F118*'Configuración'!$C$5,0))</f>
        <v/>
      </c>
      <c r="H118" s="2"/>
      <c r="I118" s="2"/>
      <c r="J118" s="2" t="str">
        <f>IF(F118="","",IF(H118="SÍ",'Configuración'!$C$6,0))</f>
        <v/>
      </c>
      <c r="K118" s="2" t="str">
        <f t="shared" si="6"/>
        <v/>
      </c>
      <c r="L118" s="2" t="str">
        <f t="shared" si="7"/>
        <v/>
      </c>
      <c r="M118" s="2" t="str">
        <f t="shared" si="8"/>
        <v/>
      </c>
      <c r="N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>
      <c r="A119" s="2">
        <v>115.0</v>
      </c>
      <c r="B119" s="2"/>
      <c r="C119" s="2"/>
      <c r="D119" s="2" t="str">
        <f>IFERROR(VLOOKUP(C119,'Catálogo Productos'!$B$3:$E$53,2,0),"")</f>
        <v/>
      </c>
      <c r="E119" s="2" t="str">
        <f>IFERROR(VLOOKUP(C119,'Catálogo Productos'!$B$3:$E$53,3,0),"")</f>
        <v/>
      </c>
      <c r="F119" s="2" t="str">
        <f>IFERROR(VLOOKUP(C119,'Catálogo Productos'!$B$3:$E$53,4,0),"")</f>
        <v/>
      </c>
      <c r="G119" s="2" t="str">
        <f>IF(F119="","",IF(I119="SÍ",F119*'Configuración'!$C$5,0))</f>
        <v/>
      </c>
      <c r="H119" s="2"/>
      <c r="I119" s="2"/>
      <c r="J119" s="2" t="str">
        <f>IF(F119="","",IF(H119="SÍ",'Configuración'!$C$6,0))</f>
        <v/>
      </c>
      <c r="K119" s="2" t="str">
        <f t="shared" si="6"/>
        <v/>
      </c>
      <c r="L119" s="2" t="str">
        <f t="shared" si="7"/>
        <v/>
      </c>
      <c r="M119" s="2" t="str">
        <f t="shared" si="8"/>
        <v/>
      </c>
      <c r="N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2">
        <v>116.0</v>
      </c>
      <c r="B120" s="2"/>
      <c r="C120" s="2"/>
      <c r="D120" s="2" t="str">
        <f>IFERROR(VLOOKUP(C120,'Catálogo Productos'!$B$3:$E$53,2,0),"")</f>
        <v/>
      </c>
      <c r="E120" s="2" t="str">
        <f>IFERROR(VLOOKUP(C120,'Catálogo Productos'!$B$3:$E$53,3,0),"")</f>
        <v/>
      </c>
      <c r="F120" s="2" t="str">
        <f>IFERROR(VLOOKUP(C120,'Catálogo Productos'!$B$3:$E$53,4,0),"")</f>
        <v/>
      </c>
      <c r="G120" s="2" t="str">
        <f>IF(F120="","",IF(I120="SÍ",F120*'Configuración'!$C$5,0))</f>
        <v/>
      </c>
      <c r="H120" s="2"/>
      <c r="I120" s="2"/>
      <c r="J120" s="2" t="str">
        <f>IF(F120="","",IF(H120="SÍ",'Configuración'!$C$6,0))</f>
        <v/>
      </c>
      <c r="K120" s="2" t="str">
        <f t="shared" si="6"/>
        <v/>
      </c>
      <c r="L120" s="2" t="str">
        <f t="shared" si="7"/>
        <v/>
      </c>
      <c r="M120" s="2" t="str">
        <f t="shared" si="8"/>
        <v/>
      </c>
      <c r="N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2">
        <v>117.0</v>
      </c>
      <c r="B121" s="2"/>
      <c r="C121" s="2"/>
      <c r="D121" s="2" t="str">
        <f>IFERROR(VLOOKUP(C121,'Catálogo Productos'!$B$3:$E$53,2,0),"")</f>
        <v/>
      </c>
      <c r="E121" s="2" t="str">
        <f>IFERROR(VLOOKUP(C121,'Catálogo Productos'!$B$3:$E$53,3,0),"")</f>
        <v/>
      </c>
      <c r="F121" s="2" t="str">
        <f>IFERROR(VLOOKUP(C121,'Catálogo Productos'!$B$3:$E$53,4,0),"")</f>
        <v/>
      </c>
      <c r="G121" s="2" t="str">
        <f>IF(F121="","",IF(I121="SÍ",F121*'Configuración'!$C$5,0))</f>
        <v/>
      </c>
      <c r="H121" s="2"/>
      <c r="I121" s="2"/>
      <c r="J121" s="2" t="str">
        <f>IF(F121="","",IF(H121="SÍ",'Configuración'!$C$6,0))</f>
        <v/>
      </c>
      <c r="K121" s="2" t="str">
        <f t="shared" si="6"/>
        <v/>
      </c>
      <c r="L121" s="2" t="str">
        <f t="shared" si="7"/>
        <v/>
      </c>
      <c r="M121" s="2" t="str">
        <f t="shared" si="8"/>
        <v/>
      </c>
      <c r="N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>
      <c r="A122" s="2">
        <v>118.0</v>
      </c>
      <c r="B122" s="2"/>
      <c r="C122" s="2"/>
      <c r="D122" s="2" t="str">
        <f>IFERROR(VLOOKUP(C122,'Catálogo Productos'!$B$3:$E$53,2,0),"")</f>
        <v/>
      </c>
      <c r="E122" s="2" t="str">
        <f>IFERROR(VLOOKUP(C122,'Catálogo Productos'!$B$3:$E$53,3,0),"")</f>
        <v/>
      </c>
      <c r="F122" s="2" t="str">
        <f>IFERROR(VLOOKUP(C122,'Catálogo Productos'!$B$3:$E$53,4,0),"")</f>
        <v/>
      </c>
      <c r="G122" s="2" t="str">
        <f>IF(F122="","",IF(I122="SÍ",F122*'Configuración'!$C$5,0))</f>
        <v/>
      </c>
      <c r="H122" s="2"/>
      <c r="I122" s="2"/>
      <c r="J122" s="2" t="str">
        <f>IF(F122="","",IF(H122="SÍ",'Configuración'!$C$6,0))</f>
        <v/>
      </c>
      <c r="K122" s="2" t="str">
        <f t="shared" si="6"/>
        <v/>
      </c>
      <c r="L122" s="2" t="str">
        <f t="shared" si="7"/>
        <v/>
      </c>
      <c r="M122" s="2" t="str">
        <f t="shared" si="8"/>
        <v/>
      </c>
      <c r="N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2">
        <v>119.0</v>
      </c>
      <c r="B123" s="2"/>
      <c r="C123" s="2"/>
      <c r="D123" s="2" t="str">
        <f>IFERROR(VLOOKUP(C123,'Catálogo Productos'!$B$3:$E$53,2,0),"")</f>
        <v/>
      </c>
      <c r="E123" s="2" t="str">
        <f>IFERROR(VLOOKUP(C123,'Catálogo Productos'!$B$3:$E$53,3,0),"")</f>
        <v/>
      </c>
      <c r="F123" s="2" t="str">
        <f>IFERROR(VLOOKUP(C123,'Catálogo Productos'!$B$3:$E$53,4,0),"")</f>
        <v/>
      </c>
      <c r="G123" s="2" t="str">
        <f>IF(F123="","",IF(I123="SÍ",F123*'Configuración'!$C$5,0))</f>
        <v/>
      </c>
      <c r="H123" s="2"/>
      <c r="I123" s="2"/>
      <c r="J123" s="2" t="str">
        <f>IF(F123="","",IF(H123="SÍ",'Configuración'!$C$6,0))</f>
        <v/>
      </c>
      <c r="K123" s="2" t="str">
        <f t="shared" si="6"/>
        <v/>
      </c>
      <c r="L123" s="2" t="str">
        <f t="shared" si="7"/>
        <v/>
      </c>
      <c r="M123" s="2" t="str">
        <f t="shared" si="8"/>
        <v/>
      </c>
      <c r="N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2">
        <v>120.0</v>
      </c>
      <c r="B124" s="2"/>
      <c r="C124" s="2"/>
      <c r="D124" s="2" t="str">
        <f>IFERROR(VLOOKUP(C124,'Catálogo Productos'!$B$3:$E$53,2,0),"")</f>
        <v/>
      </c>
      <c r="E124" s="2" t="str">
        <f>IFERROR(VLOOKUP(C124,'Catálogo Productos'!$B$3:$E$53,3,0),"")</f>
        <v/>
      </c>
      <c r="F124" s="2" t="str">
        <f>IFERROR(VLOOKUP(C124,'Catálogo Productos'!$B$3:$E$53,4,0),"")</f>
        <v/>
      </c>
      <c r="G124" s="2" t="str">
        <f>IF(F124="","",IF(I124="SÍ",F124*'Configuración'!$C$5,0))</f>
        <v/>
      </c>
      <c r="H124" s="2"/>
      <c r="I124" s="2"/>
      <c r="J124" s="2" t="str">
        <f>IF(F124="","",IF(H124="SÍ",'Configuración'!$C$6,0))</f>
        <v/>
      </c>
      <c r="K124" s="2" t="str">
        <f t="shared" si="6"/>
        <v/>
      </c>
      <c r="L124" s="2" t="str">
        <f t="shared" si="7"/>
        <v/>
      </c>
      <c r="M124" s="2" t="str">
        <f t="shared" si="8"/>
        <v/>
      </c>
      <c r="N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>
      <c r="A125" s="2">
        <v>121.0</v>
      </c>
      <c r="B125" s="2"/>
      <c r="C125" s="2"/>
      <c r="D125" s="2" t="str">
        <f>IFERROR(VLOOKUP(C125,'Catálogo Productos'!$B$3:$E$53,2,0),"")</f>
        <v/>
      </c>
      <c r="E125" s="2" t="str">
        <f>IFERROR(VLOOKUP(C125,'Catálogo Productos'!$B$3:$E$53,3,0),"")</f>
        <v/>
      </c>
      <c r="F125" s="2" t="str">
        <f>IFERROR(VLOOKUP(C125,'Catálogo Productos'!$B$3:$E$53,4,0),"")</f>
        <v/>
      </c>
      <c r="G125" s="2" t="str">
        <f>IF(F125="","",IF(I125="SÍ",F125*'Configuración'!$C$5,0))</f>
        <v/>
      </c>
      <c r="H125" s="2"/>
      <c r="I125" s="2"/>
      <c r="J125" s="2" t="str">
        <f>IF(F125="","",IF(H125="SÍ",'Configuración'!$C$6,0))</f>
        <v/>
      </c>
      <c r="K125" s="2" t="str">
        <f t="shared" si="6"/>
        <v/>
      </c>
      <c r="L125" s="2" t="str">
        <f t="shared" si="7"/>
        <v/>
      </c>
      <c r="M125" s="2" t="str">
        <f t="shared" si="8"/>
        <v/>
      </c>
      <c r="N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>
      <c r="A126" s="2">
        <v>122.0</v>
      </c>
      <c r="B126" s="2"/>
      <c r="C126" s="2"/>
      <c r="D126" s="2" t="str">
        <f>IFERROR(VLOOKUP(C126,'Catálogo Productos'!$B$3:$E$53,2,0),"")</f>
        <v/>
      </c>
      <c r="E126" s="2" t="str">
        <f>IFERROR(VLOOKUP(C126,'Catálogo Productos'!$B$3:$E$53,3,0),"")</f>
        <v/>
      </c>
      <c r="F126" s="2" t="str">
        <f>IFERROR(VLOOKUP(C126,'Catálogo Productos'!$B$3:$E$53,4,0),"")</f>
        <v/>
      </c>
      <c r="G126" s="2" t="str">
        <f>IF(F126="","",IF(I126="SÍ",F126*'Configuración'!$C$5,0))</f>
        <v/>
      </c>
      <c r="H126" s="2"/>
      <c r="I126" s="2"/>
      <c r="J126" s="2" t="str">
        <f>IF(F126="","",IF(H126="SÍ",'Configuración'!$C$6,0))</f>
        <v/>
      </c>
      <c r="K126" s="2" t="str">
        <f t="shared" si="6"/>
        <v/>
      </c>
      <c r="L126" s="2" t="str">
        <f t="shared" si="7"/>
        <v/>
      </c>
      <c r="M126" s="2" t="str">
        <f t="shared" si="8"/>
        <v/>
      </c>
      <c r="N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2">
        <v>123.0</v>
      </c>
      <c r="B127" s="2"/>
      <c r="C127" s="2"/>
      <c r="D127" s="2" t="str">
        <f>IFERROR(VLOOKUP(C127,'Catálogo Productos'!$B$3:$E$53,2,0),"")</f>
        <v/>
      </c>
      <c r="E127" s="2" t="str">
        <f>IFERROR(VLOOKUP(C127,'Catálogo Productos'!$B$3:$E$53,3,0),"")</f>
        <v/>
      </c>
      <c r="F127" s="2" t="str">
        <f>IFERROR(VLOOKUP(C127,'Catálogo Productos'!$B$3:$E$53,4,0),"")</f>
        <v/>
      </c>
      <c r="G127" s="2" t="str">
        <f>IF(F127="","",IF(I127="SÍ",F127*'Configuración'!$C$5,0))</f>
        <v/>
      </c>
      <c r="H127" s="2"/>
      <c r="I127" s="2"/>
      <c r="J127" s="2" t="str">
        <f>IF(F127="","",IF(H127="SÍ",'Configuración'!$C$6,0))</f>
        <v/>
      </c>
      <c r="K127" s="2" t="str">
        <f t="shared" si="6"/>
        <v/>
      </c>
      <c r="L127" s="2" t="str">
        <f t="shared" si="7"/>
        <v/>
      </c>
      <c r="M127" s="2" t="str">
        <f t="shared" si="8"/>
        <v/>
      </c>
      <c r="N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2">
        <v>124.0</v>
      </c>
      <c r="B128" s="2"/>
      <c r="C128" s="2"/>
      <c r="D128" s="2" t="str">
        <f>IFERROR(VLOOKUP(C128,'Catálogo Productos'!$B$3:$E$53,2,0),"")</f>
        <v/>
      </c>
      <c r="E128" s="2" t="str">
        <f>IFERROR(VLOOKUP(C128,'Catálogo Productos'!$B$3:$E$53,3,0),"")</f>
        <v/>
      </c>
      <c r="F128" s="2" t="str">
        <f>IFERROR(VLOOKUP(C128,'Catálogo Productos'!$B$3:$E$53,4,0),"")</f>
        <v/>
      </c>
      <c r="G128" s="2" t="str">
        <f>IF(F128="","",IF(I128="SÍ",F128*'Configuración'!$C$5,0))</f>
        <v/>
      </c>
      <c r="H128" s="2"/>
      <c r="I128" s="2"/>
      <c r="J128" s="2" t="str">
        <f>IF(F128="","",IF(H128="SÍ",'Configuración'!$C$6,0))</f>
        <v/>
      </c>
      <c r="K128" s="2" t="str">
        <f t="shared" si="6"/>
        <v/>
      </c>
      <c r="L128" s="2" t="str">
        <f t="shared" si="7"/>
        <v/>
      </c>
      <c r="M128" s="2" t="str">
        <f t="shared" si="8"/>
        <v/>
      </c>
      <c r="N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2">
        <v>125.0</v>
      </c>
      <c r="B129" s="2"/>
      <c r="C129" s="2"/>
      <c r="D129" s="2" t="str">
        <f>IFERROR(VLOOKUP(C129,'Catálogo Productos'!$B$3:$E$53,2,0),"")</f>
        <v/>
      </c>
      <c r="E129" s="2" t="str">
        <f>IFERROR(VLOOKUP(C129,'Catálogo Productos'!$B$3:$E$53,3,0),"")</f>
        <v/>
      </c>
      <c r="F129" s="2" t="str">
        <f>IFERROR(VLOOKUP(C129,'Catálogo Productos'!$B$3:$E$53,4,0),"")</f>
        <v/>
      </c>
      <c r="G129" s="2" t="str">
        <f>IF(F129="","",IF(I129="SÍ",F129*'Configuración'!$C$5,0))</f>
        <v/>
      </c>
      <c r="H129" s="2"/>
      <c r="I129" s="2"/>
      <c r="J129" s="2" t="str">
        <f>IF(F129="","",IF(H129="SÍ",'Configuración'!$C$6,0))</f>
        <v/>
      </c>
      <c r="K129" s="2" t="str">
        <f t="shared" si="6"/>
        <v/>
      </c>
      <c r="L129" s="2" t="str">
        <f t="shared" si="7"/>
        <v/>
      </c>
      <c r="M129" s="2" t="str">
        <f t="shared" si="8"/>
        <v/>
      </c>
      <c r="N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>
      <c r="A130" s="2">
        <v>126.0</v>
      </c>
      <c r="B130" s="2"/>
      <c r="C130" s="2"/>
      <c r="D130" s="2" t="str">
        <f>IFERROR(VLOOKUP(C130,'Catálogo Productos'!$B$3:$E$53,2,0),"")</f>
        <v/>
      </c>
      <c r="E130" s="2" t="str">
        <f>IFERROR(VLOOKUP(C130,'Catálogo Productos'!$B$3:$E$53,3,0),"")</f>
        <v/>
      </c>
      <c r="F130" s="2" t="str">
        <f>IFERROR(VLOOKUP(C130,'Catálogo Productos'!$B$3:$E$53,4,0),"")</f>
        <v/>
      </c>
      <c r="G130" s="2" t="str">
        <f>IF(F130="","",IF(I130="SÍ",F130*'Configuración'!$C$5,0))</f>
        <v/>
      </c>
      <c r="H130" s="2"/>
      <c r="I130" s="2"/>
      <c r="J130" s="2" t="str">
        <f>IF(F130="","",IF(H130="SÍ",'Configuración'!$C$6,0))</f>
        <v/>
      </c>
      <c r="K130" s="2" t="str">
        <f t="shared" si="6"/>
        <v/>
      </c>
      <c r="L130" s="2" t="str">
        <f t="shared" si="7"/>
        <v/>
      </c>
      <c r="M130" s="2" t="str">
        <f t="shared" si="8"/>
        <v/>
      </c>
      <c r="N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>
      <c r="A131" s="2">
        <v>127.0</v>
      </c>
      <c r="B131" s="2"/>
      <c r="C131" s="2"/>
      <c r="D131" s="2" t="str">
        <f>IFERROR(VLOOKUP(C131,'Catálogo Productos'!$B$3:$E$53,2,0),"")</f>
        <v/>
      </c>
      <c r="E131" s="2" t="str">
        <f>IFERROR(VLOOKUP(C131,'Catálogo Productos'!$B$3:$E$53,3,0),"")</f>
        <v/>
      </c>
      <c r="F131" s="2" t="str">
        <f>IFERROR(VLOOKUP(C131,'Catálogo Productos'!$B$3:$E$53,4,0),"")</f>
        <v/>
      </c>
      <c r="G131" s="2" t="str">
        <f>IF(F131="","",IF(I131="SÍ",F131*'Configuración'!$C$5,0))</f>
        <v/>
      </c>
      <c r="H131" s="2"/>
      <c r="I131" s="2"/>
      <c r="J131" s="2" t="str">
        <f>IF(F131="","",IF(H131="SÍ",'Configuración'!$C$6,0))</f>
        <v/>
      </c>
      <c r="K131" s="2" t="str">
        <f t="shared" si="6"/>
        <v/>
      </c>
      <c r="L131" s="2" t="str">
        <f t="shared" si="7"/>
        <v/>
      </c>
      <c r="M131" s="2" t="str">
        <f t="shared" si="8"/>
        <v/>
      </c>
      <c r="N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>
      <c r="A132" s="2">
        <v>128.0</v>
      </c>
      <c r="B132" s="2"/>
      <c r="C132" s="2"/>
      <c r="D132" s="2" t="str">
        <f>IFERROR(VLOOKUP(C132,'Catálogo Productos'!$B$3:$E$53,2,0),"")</f>
        <v/>
      </c>
      <c r="E132" s="2" t="str">
        <f>IFERROR(VLOOKUP(C132,'Catálogo Productos'!$B$3:$E$53,3,0),"")</f>
        <v/>
      </c>
      <c r="F132" s="2" t="str">
        <f>IFERROR(VLOOKUP(C132,'Catálogo Productos'!$B$3:$E$53,4,0),"")</f>
        <v/>
      </c>
      <c r="G132" s="2" t="str">
        <f>IF(F132="","",IF(I132="SÍ",F132*'Configuración'!$C$5,0))</f>
        <v/>
      </c>
      <c r="H132" s="2"/>
      <c r="I132" s="2"/>
      <c r="J132" s="2" t="str">
        <f>IF(F132="","",IF(H132="SÍ",'Configuración'!$C$6,0))</f>
        <v/>
      </c>
      <c r="K132" s="2" t="str">
        <f t="shared" si="6"/>
        <v/>
      </c>
      <c r="L132" s="2" t="str">
        <f t="shared" si="7"/>
        <v/>
      </c>
      <c r="M132" s="2" t="str">
        <f t="shared" si="8"/>
        <v/>
      </c>
      <c r="N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>
      <c r="A133" s="2">
        <v>129.0</v>
      </c>
      <c r="B133" s="2"/>
      <c r="C133" s="2"/>
      <c r="D133" s="2" t="str">
        <f>IFERROR(VLOOKUP(C133,'Catálogo Productos'!$B$3:$E$53,2,0),"")</f>
        <v/>
      </c>
      <c r="E133" s="2" t="str">
        <f>IFERROR(VLOOKUP(C133,'Catálogo Productos'!$B$3:$E$53,3,0),"")</f>
        <v/>
      </c>
      <c r="F133" s="2" t="str">
        <f>IFERROR(VLOOKUP(C133,'Catálogo Productos'!$B$3:$E$53,4,0),"")</f>
        <v/>
      </c>
      <c r="G133" s="2" t="str">
        <f>IF(F133="","",IF(I133="SÍ",F133*'Configuración'!$C$5,0))</f>
        <v/>
      </c>
      <c r="H133" s="2"/>
      <c r="I133" s="2"/>
      <c r="J133" s="2" t="str">
        <f>IF(F133="","",IF(H133="SÍ",'Configuración'!$C$6,0))</f>
        <v/>
      </c>
      <c r="K133" s="2" t="str">
        <f t="shared" si="6"/>
        <v/>
      </c>
      <c r="L133" s="2" t="str">
        <f t="shared" si="7"/>
        <v/>
      </c>
      <c r="M133" s="2" t="str">
        <f t="shared" si="8"/>
        <v/>
      </c>
      <c r="N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>
      <c r="A134" s="2">
        <v>130.0</v>
      </c>
      <c r="B134" s="2"/>
      <c r="C134" s="2"/>
      <c r="D134" s="2" t="str">
        <f>IFERROR(VLOOKUP(C134,'Catálogo Productos'!$B$3:$E$53,2,0),"")</f>
        <v/>
      </c>
      <c r="E134" s="2" t="str">
        <f>IFERROR(VLOOKUP(C134,'Catálogo Productos'!$B$3:$E$53,3,0),"")</f>
        <v/>
      </c>
      <c r="F134" s="2" t="str">
        <f>IFERROR(VLOOKUP(C134,'Catálogo Productos'!$B$3:$E$53,4,0),"")</f>
        <v/>
      </c>
      <c r="G134" s="2" t="str">
        <f>IF(F134="","",IF(I134="SÍ",F134*'Configuración'!$C$5,0))</f>
        <v/>
      </c>
      <c r="H134" s="2"/>
      <c r="I134" s="2"/>
      <c r="J134" s="2" t="str">
        <f>IF(F134="","",IF(H134="SÍ",'Configuración'!$C$6,0))</f>
        <v/>
      </c>
      <c r="K134" s="2" t="str">
        <f t="shared" si="6"/>
        <v/>
      </c>
      <c r="L134" s="2" t="str">
        <f t="shared" si="7"/>
        <v/>
      </c>
      <c r="M134" s="2" t="str">
        <f t="shared" si="8"/>
        <v/>
      </c>
      <c r="N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>
      <c r="A135" s="2">
        <v>131.0</v>
      </c>
      <c r="B135" s="2"/>
      <c r="C135" s="2"/>
      <c r="D135" s="2" t="str">
        <f>IFERROR(VLOOKUP(C135,'Catálogo Productos'!$B$3:$E$53,2,0),"")</f>
        <v/>
      </c>
      <c r="E135" s="2" t="str">
        <f>IFERROR(VLOOKUP(C135,'Catálogo Productos'!$B$3:$E$53,3,0),"")</f>
        <v/>
      </c>
      <c r="F135" s="2" t="str">
        <f>IFERROR(VLOOKUP(C135,'Catálogo Productos'!$B$3:$E$53,4,0),"")</f>
        <v/>
      </c>
      <c r="G135" s="2" t="str">
        <f>IF(F135="","",IF(I135="SÍ",F135*'Configuración'!$C$5,0))</f>
        <v/>
      </c>
      <c r="H135" s="2"/>
      <c r="I135" s="2"/>
      <c r="J135" s="2" t="str">
        <f>IF(F135="","",IF(H135="SÍ",'Configuración'!$C$6,0))</f>
        <v/>
      </c>
      <c r="K135" s="2" t="str">
        <f t="shared" si="6"/>
        <v/>
      </c>
      <c r="L135" s="2" t="str">
        <f t="shared" si="7"/>
        <v/>
      </c>
      <c r="M135" s="2" t="str">
        <f t="shared" si="8"/>
        <v/>
      </c>
      <c r="N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>
      <c r="A136" s="2">
        <v>132.0</v>
      </c>
      <c r="B136" s="2"/>
      <c r="C136" s="2"/>
      <c r="D136" s="2" t="str">
        <f>IFERROR(VLOOKUP(C136,'Catálogo Productos'!$B$3:$E$53,2,0),"")</f>
        <v/>
      </c>
      <c r="E136" s="2" t="str">
        <f>IFERROR(VLOOKUP(C136,'Catálogo Productos'!$B$3:$E$53,3,0),"")</f>
        <v/>
      </c>
      <c r="F136" s="2" t="str">
        <f>IFERROR(VLOOKUP(C136,'Catálogo Productos'!$B$3:$E$53,4,0),"")</f>
        <v/>
      </c>
      <c r="G136" s="2" t="str">
        <f>IF(F136="","",IF(I136="SÍ",F136*'Configuración'!$C$5,0))</f>
        <v/>
      </c>
      <c r="H136" s="2"/>
      <c r="I136" s="2"/>
      <c r="J136" s="2" t="str">
        <f>IF(F136="","",IF(H136="SÍ",'Configuración'!$C$6,0))</f>
        <v/>
      </c>
      <c r="K136" s="2" t="str">
        <f t="shared" si="6"/>
        <v/>
      </c>
      <c r="L136" s="2" t="str">
        <f t="shared" si="7"/>
        <v/>
      </c>
      <c r="M136" s="2" t="str">
        <f t="shared" si="8"/>
        <v/>
      </c>
      <c r="N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customHeight="1">
      <c r="A137" s="2">
        <v>133.0</v>
      </c>
      <c r="B137" s="2"/>
      <c r="C137" s="2"/>
      <c r="D137" s="2" t="str">
        <f>IFERROR(VLOOKUP(C137,'Catálogo Productos'!$B$3:$E$53,2,0),"")</f>
        <v/>
      </c>
      <c r="E137" s="2" t="str">
        <f>IFERROR(VLOOKUP(C137,'Catálogo Productos'!$B$3:$E$53,3,0),"")</f>
        <v/>
      </c>
      <c r="F137" s="2" t="str">
        <f>IFERROR(VLOOKUP(C137,'Catálogo Productos'!$B$3:$E$53,4,0),"")</f>
        <v/>
      </c>
      <c r="G137" s="2" t="str">
        <f>IF(F137="","",IF(I137="SÍ",F137*'Configuración'!$C$5,0))</f>
        <v/>
      </c>
      <c r="H137" s="2"/>
      <c r="I137" s="2"/>
      <c r="J137" s="2" t="str">
        <f>IF(F137="","",IF(H137="SÍ",'Configuración'!$C$6,0))</f>
        <v/>
      </c>
      <c r="K137" s="2" t="str">
        <f t="shared" si="6"/>
        <v/>
      </c>
      <c r="L137" s="2" t="str">
        <f t="shared" si="7"/>
        <v/>
      </c>
      <c r="M137" s="2" t="str">
        <f t="shared" si="8"/>
        <v/>
      </c>
      <c r="N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>
      <c r="A138" s="2">
        <v>134.0</v>
      </c>
      <c r="B138" s="2"/>
      <c r="C138" s="2"/>
      <c r="D138" s="2" t="str">
        <f>IFERROR(VLOOKUP(C138,'Catálogo Productos'!$B$3:$E$53,2,0),"")</f>
        <v/>
      </c>
      <c r="E138" s="2" t="str">
        <f>IFERROR(VLOOKUP(C138,'Catálogo Productos'!$B$3:$E$53,3,0),"")</f>
        <v/>
      </c>
      <c r="F138" s="2" t="str">
        <f>IFERROR(VLOOKUP(C138,'Catálogo Productos'!$B$3:$E$53,4,0),"")</f>
        <v/>
      </c>
      <c r="G138" s="2" t="str">
        <f>IF(F138="","",IF(I138="SÍ",F138*'Configuración'!$C$5,0))</f>
        <v/>
      </c>
      <c r="H138" s="2"/>
      <c r="I138" s="2"/>
      <c r="J138" s="2" t="str">
        <f>IF(F138="","",IF(H138="SÍ",'Configuración'!$C$6,0))</f>
        <v/>
      </c>
      <c r="K138" s="2" t="str">
        <f t="shared" si="6"/>
        <v/>
      </c>
      <c r="L138" s="2" t="str">
        <f t="shared" si="7"/>
        <v/>
      </c>
      <c r="M138" s="2" t="str">
        <f t="shared" si="8"/>
        <v/>
      </c>
      <c r="N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>
      <c r="A139" s="2">
        <v>135.0</v>
      </c>
      <c r="B139" s="2"/>
      <c r="C139" s="2"/>
      <c r="D139" s="2" t="str">
        <f>IFERROR(VLOOKUP(C139,'Catálogo Productos'!$B$3:$E$53,2,0),"")</f>
        <v/>
      </c>
      <c r="E139" s="2" t="str">
        <f>IFERROR(VLOOKUP(C139,'Catálogo Productos'!$B$3:$E$53,3,0),"")</f>
        <v/>
      </c>
      <c r="F139" s="2" t="str">
        <f>IFERROR(VLOOKUP(C139,'Catálogo Productos'!$B$3:$E$53,4,0),"")</f>
        <v/>
      </c>
      <c r="G139" s="2" t="str">
        <f>IF(F139="","",IF(I139="SÍ",F139*'Configuración'!$C$5,0))</f>
        <v/>
      </c>
      <c r="H139" s="2"/>
      <c r="I139" s="2"/>
      <c r="J139" s="2" t="str">
        <f>IF(F139="","",IF(H139="SÍ",'Configuración'!$C$6,0))</f>
        <v/>
      </c>
      <c r="K139" s="2" t="str">
        <f t="shared" si="6"/>
        <v/>
      </c>
      <c r="L139" s="2" t="str">
        <f t="shared" si="7"/>
        <v/>
      </c>
      <c r="M139" s="2" t="str">
        <f t="shared" si="8"/>
        <v/>
      </c>
      <c r="N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>
      <c r="A140" s="2">
        <v>136.0</v>
      </c>
      <c r="B140" s="2"/>
      <c r="C140" s="2"/>
      <c r="D140" s="2" t="str">
        <f>IFERROR(VLOOKUP(C140,'Catálogo Productos'!$B$3:$E$53,2,0),"")</f>
        <v/>
      </c>
      <c r="E140" s="2" t="str">
        <f>IFERROR(VLOOKUP(C140,'Catálogo Productos'!$B$3:$E$53,3,0),"")</f>
        <v/>
      </c>
      <c r="F140" s="2" t="str">
        <f>IFERROR(VLOOKUP(C140,'Catálogo Productos'!$B$3:$E$53,4,0),"")</f>
        <v/>
      </c>
      <c r="G140" s="2" t="str">
        <f>IF(F140="","",IF(I140="SÍ",F140*'Configuración'!$C$5,0))</f>
        <v/>
      </c>
      <c r="H140" s="2"/>
      <c r="I140" s="2"/>
      <c r="J140" s="2" t="str">
        <f>IF(F140="","",IF(H140="SÍ",'Configuración'!$C$6,0))</f>
        <v/>
      </c>
      <c r="K140" s="2" t="str">
        <f t="shared" si="6"/>
        <v/>
      </c>
      <c r="L140" s="2" t="str">
        <f t="shared" si="7"/>
        <v/>
      </c>
      <c r="M140" s="2" t="str">
        <f t="shared" si="8"/>
        <v/>
      </c>
      <c r="N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>
      <c r="A141" s="2">
        <v>137.0</v>
      </c>
      <c r="B141" s="2"/>
      <c r="C141" s="2"/>
      <c r="D141" s="2" t="str">
        <f>IFERROR(VLOOKUP(C141,'Catálogo Productos'!$B$3:$E$53,2,0),"")</f>
        <v/>
      </c>
      <c r="E141" s="2" t="str">
        <f>IFERROR(VLOOKUP(C141,'Catálogo Productos'!$B$3:$E$53,3,0),"")</f>
        <v/>
      </c>
      <c r="F141" s="2" t="str">
        <f>IFERROR(VLOOKUP(C141,'Catálogo Productos'!$B$3:$E$53,4,0),"")</f>
        <v/>
      </c>
      <c r="G141" s="2" t="str">
        <f>IF(F141="","",IF(I141="SÍ",F141*'Configuración'!$C$5,0))</f>
        <v/>
      </c>
      <c r="H141" s="2"/>
      <c r="I141" s="2"/>
      <c r="J141" s="2" t="str">
        <f>IF(F141="","",IF(H141="SÍ",'Configuración'!$C$6,0))</f>
        <v/>
      </c>
      <c r="K141" s="2" t="str">
        <f t="shared" si="6"/>
        <v/>
      </c>
      <c r="L141" s="2" t="str">
        <f t="shared" si="7"/>
        <v/>
      </c>
      <c r="M141" s="2" t="str">
        <f t="shared" si="8"/>
        <v/>
      </c>
      <c r="N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>
      <c r="A142" s="2">
        <v>138.0</v>
      </c>
      <c r="B142" s="2"/>
      <c r="C142" s="2"/>
      <c r="D142" s="2" t="str">
        <f>IFERROR(VLOOKUP(C142,'Catálogo Productos'!$B$3:$E$53,2,0),"")</f>
        <v/>
      </c>
      <c r="E142" s="2" t="str">
        <f>IFERROR(VLOOKUP(C142,'Catálogo Productos'!$B$3:$E$53,3,0),"")</f>
        <v/>
      </c>
      <c r="F142" s="2" t="str">
        <f>IFERROR(VLOOKUP(C142,'Catálogo Productos'!$B$3:$E$53,4,0),"")</f>
        <v/>
      </c>
      <c r="G142" s="2" t="str">
        <f>IF(F142="","",IF(I142="SÍ",F142*'Configuración'!$C$5,0))</f>
        <v/>
      </c>
      <c r="H142" s="2"/>
      <c r="I142" s="2"/>
      <c r="J142" s="2" t="str">
        <f>IF(F142="","",IF(H142="SÍ",'Configuración'!$C$6,0))</f>
        <v/>
      </c>
      <c r="K142" s="2" t="str">
        <f t="shared" si="6"/>
        <v/>
      </c>
      <c r="L142" s="2" t="str">
        <f t="shared" si="7"/>
        <v/>
      </c>
      <c r="M142" s="2" t="str">
        <f t="shared" si="8"/>
        <v/>
      </c>
      <c r="N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customHeight="1">
      <c r="A143" s="2">
        <v>139.0</v>
      </c>
      <c r="B143" s="2"/>
      <c r="C143" s="2"/>
      <c r="D143" s="2" t="str">
        <f>IFERROR(VLOOKUP(C143,'Catálogo Productos'!$B$3:$E$53,2,0),"")</f>
        <v/>
      </c>
      <c r="E143" s="2" t="str">
        <f>IFERROR(VLOOKUP(C143,'Catálogo Productos'!$B$3:$E$53,3,0),"")</f>
        <v/>
      </c>
      <c r="F143" s="2" t="str">
        <f>IFERROR(VLOOKUP(C143,'Catálogo Productos'!$B$3:$E$53,4,0),"")</f>
        <v/>
      </c>
      <c r="G143" s="2" t="str">
        <f>IF(F143="","",IF(I143="SÍ",F143*'Configuración'!$C$5,0))</f>
        <v/>
      </c>
      <c r="H143" s="2"/>
      <c r="I143" s="2"/>
      <c r="J143" s="2" t="str">
        <f>IF(F143="","",IF(H143="SÍ",'Configuración'!$C$6,0))</f>
        <v/>
      </c>
      <c r="K143" s="2" t="str">
        <f t="shared" si="6"/>
        <v/>
      </c>
      <c r="L143" s="2" t="str">
        <f t="shared" si="7"/>
        <v/>
      </c>
      <c r="M143" s="2" t="str">
        <f t="shared" si="8"/>
        <v/>
      </c>
      <c r="N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>
      <c r="A144" s="2">
        <v>140.0</v>
      </c>
      <c r="B144" s="2"/>
      <c r="C144" s="2"/>
      <c r="D144" s="2" t="str">
        <f>IFERROR(VLOOKUP(C144,'Catálogo Productos'!$B$3:$E$53,2,0),"")</f>
        <v/>
      </c>
      <c r="E144" s="2" t="str">
        <f>IFERROR(VLOOKUP(C144,'Catálogo Productos'!$B$3:$E$53,3,0),"")</f>
        <v/>
      </c>
      <c r="F144" s="2" t="str">
        <f>IFERROR(VLOOKUP(C144,'Catálogo Productos'!$B$3:$E$53,4,0),"")</f>
        <v/>
      </c>
      <c r="G144" s="2" t="str">
        <f>IF(F144="","",IF(I144="SÍ",F144*'Configuración'!$C$5,0))</f>
        <v/>
      </c>
      <c r="H144" s="2"/>
      <c r="I144" s="2"/>
      <c r="J144" s="2" t="str">
        <f>IF(F144="","",IF(H144="SÍ",'Configuración'!$C$6,0))</f>
        <v/>
      </c>
      <c r="K144" s="2" t="str">
        <f t="shared" si="6"/>
        <v/>
      </c>
      <c r="L144" s="2" t="str">
        <f t="shared" si="7"/>
        <v/>
      </c>
      <c r="M144" s="2" t="str">
        <f t="shared" si="8"/>
        <v/>
      </c>
      <c r="N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>
      <c r="A145" s="2">
        <v>141.0</v>
      </c>
      <c r="B145" s="2"/>
      <c r="C145" s="2"/>
      <c r="D145" s="2" t="str">
        <f>IFERROR(VLOOKUP(C145,'Catálogo Productos'!$B$3:$E$53,2,0),"")</f>
        <v/>
      </c>
      <c r="E145" s="2" t="str">
        <f>IFERROR(VLOOKUP(C145,'Catálogo Productos'!$B$3:$E$53,3,0),"")</f>
        <v/>
      </c>
      <c r="F145" s="2" t="str">
        <f>IFERROR(VLOOKUP(C145,'Catálogo Productos'!$B$3:$E$53,4,0),"")</f>
        <v/>
      </c>
      <c r="G145" s="2" t="str">
        <f>IF(F145="","",IF(I145="SÍ",F145*'Configuración'!$C$5,0))</f>
        <v/>
      </c>
      <c r="H145" s="2"/>
      <c r="I145" s="2"/>
      <c r="J145" s="2" t="str">
        <f>IF(F145="","",IF(H145="SÍ",'Configuración'!$C$6,0))</f>
        <v/>
      </c>
      <c r="K145" s="2" t="str">
        <f t="shared" si="6"/>
        <v/>
      </c>
      <c r="L145" s="2" t="str">
        <f t="shared" si="7"/>
        <v/>
      </c>
      <c r="M145" s="2" t="str">
        <f t="shared" si="8"/>
        <v/>
      </c>
      <c r="N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>
      <c r="A146" s="2">
        <v>142.0</v>
      </c>
      <c r="B146" s="2"/>
      <c r="C146" s="2"/>
      <c r="D146" s="2" t="str">
        <f>IFERROR(VLOOKUP(C146,'Catálogo Productos'!$B$3:$E$53,2,0),"")</f>
        <v/>
      </c>
      <c r="E146" s="2" t="str">
        <f>IFERROR(VLOOKUP(C146,'Catálogo Productos'!$B$3:$E$53,3,0),"")</f>
        <v/>
      </c>
      <c r="F146" s="2" t="str">
        <f>IFERROR(VLOOKUP(C146,'Catálogo Productos'!$B$3:$E$53,4,0),"")</f>
        <v/>
      </c>
      <c r="G146" s="2" t="str">
        <f>IF(F146="","",IF(I146="SÍ",F146*'Configuración'!$C$5,0))</f>
        <v/>
      </c>
      <c r="H146" s="2"/>
      <c r="I146" s="2"/>
      <c r="J146" s="2" t="str">
        <f>IF(F146="","",IF(H146="SÍ",'Configuración'!$C$6,0))</f>
        <v/>
      </c>
      <c r="K146" s="2" t="str">
        <f t="shared" si="6"/>
        <v/>
      </c>
      <c r="L146" s="2" t="str">
        <f t="shared" si="7"/>
        <v/>
      </c>
      <c r="M146" s="2" t="str">
        <f t="shared" si="8"/>
        <v/>
      </c>
      <c r="N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>
      <c r="A147" s="2">
        <v>143.0</v>
      </c>
      <c r="B147" s="2"/>
      <c r="C147" s="2"/>
      <c r="D147" s="2" t="str">
        <f>IFERROR(VLOOKUP(C147,'Catálogo Productos'!$B$3:$E$53,2,0),"")</f>
        <v/>
      </c>
      <c r="E147" s="2" t="str">
        <f>IFERROR(VLOOKUP(C147,'Catálogo Productos'!$B$3:$E$53,3,0),"")</f>
        <v/>
      </c>
      <c r="F147" s="2" t="str">
        <f>IFERROR(VLOOKUP(C147,'Catálogo Productos'!$B$3:$E$53,4,0),"")</f>
        <v/>
      </c>
      <c r="G147" s="2" t="str">
        <f>IF(F147="","",IF(I147="SÍ",F147*'Configuración'!$C$5,0))</f>
        <v/>
      </c>
      <c r="H147" s="2"/>
      <c r="I147" s="2"/>
      <c r="J147" s="2" t="str">
        <f>IF(F147="","",IF(H147="SÍ",'Configuración'!$C$6,0))</f>
        <v/>
      </c>
      <c r="K147" s="2" t="str">
        <f t="shared" si="6"/>
        <v/>
      </c>
      <c r="L147" s="2" t="str">
        <f t="shared" si="7"/>
        <v/>
      </c>
      <c r="M147" s="2" t="str">
        <f t="shared" si="8"/>
        <v/>
      </c>
      <c r="N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>
      <c r="A148" s="2">
        <v>144.0</v>
      </c>
      <c r="B148" s="2"/>
      <c r="C148" s="2"/>
      <c r="D148" s="2" t="str">
        <f>IFERROR(VLOOKUP(C148,'Catálogo Productos'!$B$3:$E$53,2,0),"")</f>
        <v/>
      </c>
      <c r="E148" s="2" t="str">
        <f>IFERROR(VLOOKUP(C148,'Catálogo Productos'!$B$3:$E$53,3,0),"")</f>
        <v/>
      </c>
      <c r="F148" s="2" t="str">
        <f>IFERROR(VLOOKUP(C148,'Catálogo Productos'!$B$3:$E$53,4,0),"")</f>
        <v/>
      </c>
      <c r="G148" s="2" t="str">
        <f>IF(F148="","",IF(I148="SÍ",F148*'Configuración'!$C$5,0))</f>
        <v/>
      </c>
      <c r="H148" s="2"/>
      <c r="I148" s="2"/>
      <c r="J148" s="2" t="str">
        <f>IF(F148="","",IF(H148="SÍ",'Configuración'!$C$6,0))</f>
        <v/>
      </c>
      <c r="K148" s="2" t="str">
        <f t="shared" si="6"/>
        <v/>
      </c>
      <c r="L148" s="2" t="str">
        <f t="shared" si="7"/>
        <v/>
      </c>
      <c r="M148" s="2" t="str">
        <f t="shared" si="8"/>
        <v/>
      </c>
      <c r="N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customHeight="1">
      <c r="A149" s="2">
        <v>145.0</v>
      </c>
      <c r="B149" s="2"/>
      <c r="C149" s="2"/>
      <c r="D149" s="2" t="str">
        <f>IFERROR(VLOOKUP(C149,'Catálogo Productos'!$B$3:$E$53,2,0),"")</f>
        <v/>
      </c>
      <c r="E149" s="2" t="str">
        <f>IFERROR(VLOOKUP(C149,'Catálogo Productos'!$B$3:$E$53,3,0),"")</f>
        <v/>
      </c>
      <c r="F149" s="2" t="str">
        <f>IFERROR(VLOOKUP(C149,'Catálogo Productos'!$B$3:$E$53,4,0),"")</f>
        <v/>
      </c>
      <c r="G149" s="2" t="str">
        <f>IF(F149="","",IF(I149="SÍ",F149*'Configuración'!$C$5,0))</f>
        <v/>
      </c>
      <c r="H149" s="2"/>
      <c r="I149" s="2"/>
      <c r="J149" s="2" t="str">
        <f>IF(F149="","",IF(H149="SÍ",'Configuración'!$C$6,0))</f>
        <v/>
      </c>
      <c r="K149" s="2" t="str">
        <f t="shared" si="6"/>
        <v/>
      </c>
      <c r="L149" s="2" t="str">
        <f t="shared" si="7"/>
        <v/>
      </c>
      <c r="M149" s="2" t="str">
        <f t="shared" si="8"/>
        <v/>
      </c>
      <c r="N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customHeight="1">
      <c r="A150" s="2">
        <v>146.0</v>
      </c>
      <c r="B150" s="2"/>
      <c r="C150" s="2"/>
      <c r="D150" s="2" t="str">
        <f>IFERROR(VLOOKUP(C150,'Catálogo Productos'!$B$3:$E$53,2,0),"")</f>
        <v/>
      </c>
      <c r="E150" s="2" t="str">
        <f>IFERROR(VLOOKUP(C150,'Catálogo Productos'!$B$3:$E$53,3,0),"")</f>
        <v/>
      </c>
      <c r="F150" s="2" t="str">
        <f>IFERROR(VLOOKUP(C150,'Catálogo Productos'!$B$3:$E$53,4,0),"")</f>
        <v/>
      </c>
      <c r="G150" s="2" t="str">
        <f>IF(F150="","",IF(I150="SÍ",F150*'Configuración'!$C$5,0))</f>
        <v/>
      </c>
      <c r="H150" s="2"/>
      <c r="I150" s="2"/>
      <c r="J150" s="2" t="str">
        <f>IF(F150="","",IF(H150="SÍ",'Configuración'!$C$6,0))</f>
        <v/>
      </c>
      <c r="K150" s="2" t="str">
        <f t="shared" si="6"/>
        <v/>
      </c>
      <c r="L150" s="2" t="str">
        <f t="shared" si="7"/>
        <v/>
      </c>
      <c r="M150" s="2" t="str">
        <f t="shared" si="8"/>
        <v/>
      </c>
      <c r="N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customHeight="1">
      <c r="A151" s="2">
        <v>147.0</v>
      </c>
      <c r="B151" s="2"/>
      <c r="C151" s="2"/>
      <c r="D151" s="2" t="str">
        <f>IFERROR(VLOOKUP(C151,'Catálogo Productos'!$B$3:$E$53,2,0),"")</f>
        <v/>
      </c>
      <c r="E151" s="2" t="str">
        <f>IFERROR(VLOOKUP(C151,'Catálogo Productos'!$B$3:$E$53,3,0),"")</f>
        <v/>
      </c>
      <c r="F151" s="2" t="str">
        <f>IFERROR(VLOOKUP(C151,'Catálogo Productos'!$B$3:$E$53,4,0),"")</f>
        <v/>
      </c>
      <c r="G151" s="2" t="str">
        <f>IF(F151="","",IF(I151="SÍ",F151*'Configuración'!$C$5,0))</f>
        <v/>
      </c>
      <c r="H151" s="2"/>
      <c r="I151" s="2"/>
      <c r="J151" s="2" t="str">
        <f>IF(F151="","",IF(H151="SÍ",'Configuración'!$C$6,0))</f>
        <v/>
      </c>
      <c r="K151" s="2" t="str">
        <f t="shared" si="6"/>
        <v/>
      </c>
      <c r="L151" s="2" t="str">
        <f t="shared" si="7"/>
        <v/>
      </c>
      <c r="M151" s="2" t="str">
        <f t="shared" si="8"/>
        <v/>
      </c>
      <c r="N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customHeight="1">
      <c r="A152" s="2">
        <v>148.0</v>
      </c>
      <c r="B152" s="2"/>
      <c r="C152" s="2"/>
      <c r="D152" s="2" t="str">
        <f>IFERROR(VLOOKUP(C152,'Catálogo Productos'!$B$3:$E$53,2,0),"")</f>
        <v/>
      </c>
      <c r="E152" s="2" t="str">
        <f>IFERROR(VLOOKUP(C152,'Catálogo Productos'!$B$3:$E$53,3,0),"")</f>
        <v/>
      </c>
      <c r="F152" s="2" t="str">
        <f>IFERROR(VLOOKUP(C152,'Catálogo Productos'!$B$3:$E$53,4,0),"")</f>
        <v/>
      </c>
      <c r="G152" s="2" t="str">
        <f>IF(F152="","",IF(I152="SÍ",F152*'Configuración'!$C$5,0))</f>
        <v/>
      </c>
      <c r="H152" s="2"/>
      <c r="I152" s="2"/>
      <c r="J152" s="2" t="str">
        <f>IF(F152="","",IF(H152="SÍ",'Configuración'!$C$6,0))</f>
        <v/>
      </c>
      <c r="K152" s="2" t="str">
        <f t="shared" si="6"/>
        <v/>
      </c>
      <c r="L152" s="2" t="str">
        <f t="shared" si="7"/>
        <v/>
      </c>
      <c r="M152" s="2" t="str">
        <f t="shared" si="8"/>
        <v/>
      </c>
      <c r="N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>
      <c r="A153" s="2">
        <v>149.0</v>
      </c>
      <c r="B153" s="2"/>
      <c r="C153" s="2"/>
      <c r="D153" s="2" t="str">
        <f>IFERROR(VLOOKUP(C153,'Catálogo Productos'!$B$3:$E$53,2,0),"")</f>
        <v/>
      </c>
      <c r="E153" s="2" t="str">
        <f>IFERROR(VLOOKUP(C153,'Catálogo Productos'!$B$3:$E$53,3,0),"")</f>
        <v/>
      </c>
      <c r="F153" s="2" t="str">
        <f>IFERROR(VLOOKUP(C153,'Catálogo Productos'!$B$3:$E$53,4,0),"")</f>
        <v/>
      </c>
      <c r="G153" s="2" t="str">
        <f>IF(F153="","",IF(I153="SÍ",F153*'Configuración'!$C$5,0))</f>
        <v/>
      </c>
      <c r="H153" s="2"/>
      <c r="I153" s="2"/>
      <c r="J153" s="2" t="str">
        <f>IF(F153="","",IF(H153="SÍ",'Configuración'!$C$6,0))</f>
        <v/>
      </c>
      <c r="K153" s="2" t="str">
        <f t="shared" si="6"/>
        <v/>
      </c>
      <c r="L153" s="2" t="str">
        <f t="shared" si="7"/>
        <v/>
      </c>
      <c r="M153" s="2" t="str">
        <f t="shared" si="8"/>
        <v/>
      </c>
      <c r="N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2">
        <v>150.0</v>
      </c>
      <c r="B154" s="2"/>
      <c r="C154" s="2"/>
      <c r="D154" s="2" t="str">
        <f>IFERROR(VLOOKUP(C154,'Catálogo Productos'!$B$3:$E$53,2,0),"")</f>
        <v/>
      </c>
      <c r="E154" s="2" t="str">
        <f>IFERROR(VLOOKUP(C154,'Catálogo Productos'!$B$3:$E$53,3,0),"")</f>
        <v/>
      </c>
      <c r="F154" s="2" t="str">
        <f>IFERROR(VLOOKUP(C154,'Catálogo Productos'!$B$3:$E$53,4,0),"")</f>
        <v/>
      </c>
      <c r="G154" s="2" t="str">
        <f>IF(F154="","",IF(I154="SÍ",F154*'Configuración'!$C$5,0))</f>
        <v/>
      </c>
      <c r="H154" s="2"/>
      <c r="I154" s="2"/>
      <c r="J154" s="2" t="str">
        <f>IF(F154="","",IF(H154="SÍ",'Configuración'!$C$6,0))</f>
        <v/>
      </c>
      <c r="K154" s="2" t="str">
        <f t="shared" si="6"/>
        <v/>
      </c>
      <c r="L154" s="2" t="str">
        <f t="shared" si="7"/>
        <v/>
      </c>
      <c r="M154" s="2" t="str">
        <f t="shared" si="8"/>
        <v/>
      </c>
      <c r="N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customHeight="1">
      <c r="A155" s="2">
        <v>151.0</v>
      </c>
      <c r="B155" s="2"/>
      <c r="C155" s="2"/>
      <c r="D155" s="2" t="str">
        <f>IFERROR(VLOOKUP(C155,'Catálogo Productos'!$B$3:$E$53,2,0),"")</f>
        <v/>
      </c>
      <c r="E155" s="2" t="str">
        <f>IFERROR(VLOOKUP(C155,'Catálogo Productos'!$B$3:$E$53,3,0),"")</f>
        <v/>
      </c>
      <c r="F155" s="2" t="str">
        <f>IFERROR(VLOOKUP(C155,'Catálogo Productos'!$B$3:$E$53,4,0),"")</f>
        <v/>
      </c>
      <c r="G155" s="2" t="str">
        <f>IF(F155="","",IF(I155="SÍ",F155*'Configuración'!$C$5,0))</f>
        <v/>
      </c>
      <c r="H155" s="2"/>
      <c r="I155" s="2"/>
      <c r="J155" s="2" t="str">
        <f>IF(F155="","",IF(H155="SÍ",'Configuración'!$C$6,0))</f>
        <v/>
      </c>
      <c r="K155" s="2" t="str">
        <f t="shared" si="6"/>
        <v/>
      </c>
      <c r="L155" s="2" t="str">
        <f t="shared" si="7"/>
        <v/>
      </c>
      <c r="M155" s="2" t="str">
        <f t="shared" si="8"/>
        <v/>
      </c>
      <c r="N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>
      <c r="A156" s="2">
        <v>152.0</v>
      </c>
      <c r="B156" s="2"/>
      <c r="C156" s="2"/>
      <c r="D156" s="2" t="str">
        <f>IFERROR(VLOOKUP(C156,'Catálogo Productos'!$B$3:$E$53,2,0),"")</f>
        <v/>
      </c>
      <c r="E156" s="2" t="str">
        <f>IFERROR(VLOOKUP(C156,'Catálogo Productos'!$B$3:$E$53,3,0),"")</f>
        <v/>
      </c>
      <c r="F156" s="2" t="str">
        <f>IFERROR(VLOOKUP(C156,'Catálogo Productos'!$B$3:$E$53,4,0),"")</f>
        <v/>
      </c>
      <c r="G156" s="2" t="str">
        <f>IF(F156="","",IF(I156="SÍ",F156*'Configuración'!$C$5,0))</f>
        <v/>
      </c>
      <c r="H156" s="2"/>
      <c r="I156" s="2"/>
      <c r="J156" s="2" t="str">
        <f>IF(F156="","",IF(H156="SÍ",'Configuración'!$C$6,0))</f>
        <v/>
      </c>
      <c r="K156" s="2" t="str">
        <f t="shared" si="6"/>
        <v/>
      </c>
      <c r="L156" s="2" t="str">
        <f t="shared" si="7"/>
        <v/>
      </c>
      <c r="M156" s="2" t="str">
        <f t="shared" si="8"/>
        <v/>
      </c>
      <c r="N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>
      <c r="A157" s="2">
        <v>153.0</v>
      </c>
      <c r="B157" s="2"/>
      <c r="C157" s="2"/>
      <c r="D157" s="2" t="str">
        <f>IFERROR(VLOOKUP(C157,'Catálogo Productos'!$B$3:$E$53,2,0),"")</f>
        <v/>
      </c>
      <c r="E157" s="2" t="str">
        <f>IFERROR(VLOOKUP(C157,'Catálogo Productos'!$B$3:$E$53,3,0),"")</f>
        <v/>
      </c>
      <c r="F157" s="2" t="str">
        <f>IFERROR(VLOOKUP(C157,'Catálogo Productos'!$B$3:$E$53,4,0),"")</f>
        <v/>
      </c>
      <c r="G157" s="2" t="str">
        <f>IF(F157="","",IF(I157="SÍ",F157*'Configuración'!$C$5,0))</f>
        <v/>
      </c>
      <c r="H157" s="2"/>
      <c r="I157" s="2"/>
      <c r="J157" s="2" t="str">
        <f>IF(F157="","",IF(H157="SÍ",'Configuración'!$C$6,0))</f>
        <v/>
      </c>
      <c r="K157" s="2" t="str">
        <f t="shared" si="6"/>
        <v/>
      </c>
      <c r="L157" s="2" t="str">
        <f t="shared" si="7"/>
        <v/>
      </c>
      <c r="M157" s="2" t="str">
        <f t="shared" si="8"/>
        <v/>
      </c>
      <c r="N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>
      <c r="A158" s="2">
        <v>154.0</v>
      </c>
      <c r="B158" s="2"/>
      <c r="C158" s="2"/>
      <c r="D158" s="2" t="str">
        <f>IFERROR(VLOOKUP(C158,'Catálogo Productos'!$B$3:$E$53,2,0),"")</f>
        <v/>
      </c>
      <c r="E158" s="2" t="str">
        <f>IFERROR(VLOOKUP(C158,'Catálogo Productos'!$B$3:$E$53,3,0),"")</f>
        <v/>
      </c>
      <c r="F158" s="2" t="str">
        <f>IFERROR(VLOOKUP(C158,'Catálogo Productos'!$B$3:$E$53,4,0),"")</f>
        <v/>
      </c>
      <c r="G158" s="2" t="str">
        <f>IF(F158="","",IF(I158="SÍ",F158*'Configuración'!$C$5,0))</f>
        <v/>
      </c>
      <c r="H158" s="2"/>
      <c r="I158" s="2"/>
      <c r="J158" s="2" t="str">
        <f>IF(F158="","",IF(H158="SÍ",'Configuración'!$C$6,0))</f>
        <v/>
      </c>
      <c r="K158" s="2" t="str">
        <f t="shared" si="6"/>
        <v/>
      </c>
      <c r="L158" s="2" t="str">
        <f t="shared" si="7"/>
        <v/>
      </c>
      <c r="M158" s="2" t="str">
        <f t="shared" si="8"/>
        <v/>
      </c>
      <c r="N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2">
        <v>155.0</v>
      </c>
      <c r="B159" s="2"/>
      <c r="C159" s="2"/>
      <c r="D159" s="2" t="str">
        <f>IFERROR(VLOOKUP(C159,'Catálogo Productos'!$B$3:$E$53,2,0),"")</f>
        <v/>
      </c>
      <c r="E159" s="2" t="str">
        <f>IFERROR(VLOOKUP(C159,'Catálogo Productos'!$B$3:$E$53,3,0),"")</f>
        <v/>
      </c>
      <c r="F159" s="2" t="str">
        <f>IFERROR(VLOOKUP(C159,'Catálogo Productos'!$B$3:$E$53,4,0),"")</f>
        <v/>
      </c>
      <c r="G159" s="2" t="str">
        <f>IF(F159="","",IF(I159="SÍ",F159*'Configuración'!$C$5,0))</f>
        <v/>
      </c>
      <c r="H159" s="2"/>
      <c r="I159" s="2"/>
      <c r="J159" s="2" t="str">
        <f>IF(F159="","",IF(H159="SÍ",'Configuración'!$C$6,0))</f>
        <v/>
      </c>
      <c r="K159" s="2" t="str">
        <f t="shared" si="6"/>
        <v/>
      </c>
      <c r="L159" s="2" t="str">
        <f t="shared" si="7"/>
        <v/>
      </c>
      <c r="M159" s="2" t="str">
        <f t="shared" si="8"/>
        <v/>
      </c>
      <c r="N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>
      <c r="A160" s="2">
        <v>156.0</v>
      </c>
      <c r="B160" s="2"/>
      <c r="C160" s="2"/>
      <c r="D160" s="2" t="str">
        <f>IFERROR(VLOOKUP(C160,'Catálogo Productos'!$B$3:$E$53,2,0),"")</f>
        <v/>
      </c>
      <c r="E160" s="2" t="str">
        <f>IFERROR(VLOOKUP(C160,'Catálogo Productos'!$B$3:$E$53,3,0),"")</f>
        <v/>
      </c>
      <c r="F160" s="2" t="str">
        <f>IFERROR(VLOOKUP(C160,'Catálogo Productos'!$B$3:$E$53,4,0),"")</f>
        <v/>
      </c>
      <c r="G160" s="2" t="str">
        <f>IF(F160="","",IF(I160="SÍ",F160*'Configuración'!$C$5,0))</f>
        <v/>
      </c>
      <c r="H160" s="2"/>
      <c r="I160" s="2"/>
      <c r="J160" s="2" t="str">
        <f>IF(F160="","",IF(H160="SÍ",'Configuración'!$C$6,0))</f>
        <v/>
      </c>
      <c r="K160" s="2" t="str">
        <f t="shared" si="6"/>
        <v/>
      </c>
      <c r="L160" s="2" t="str">
        <f t="shared" si="7"/>
        <v/>
      </c>
      <c r="M160" s="2" t="str">
        <f t="shared" si="8"/>
        <v/>
      </c>
      <c r="N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>
      <c r="A161" s="2">
        <v>157.0</v>
      </c>
      <c r="B161" s="2"/>
      <c r="C161" s="2"/>
      <c r="D161" s="2" t="str">
        <f>IFERROR(VLOOKUP(C161,'Catálogo Productos'!$B$3:$E$53,2,0),"")</f>
        <v/>
      </c>
      <c r="E161" s="2" t="str">
        <f>IFERROR(VLOOKUP(C161,'Catálogo Productos'!$B$3:$E$53,3,0),"")</f>
        <v/>
      </c>
      <c r="F161" s="2" t="str">
        <f>IFERROR(VLOOKUP(C161,'Catálogo Productos'!$B$3:$E$53,4,0),"")</f>
        <v/>
      </c>
      <c r="G161" s="2" t="str">
        <f>IF(F161="","",IF(I161="SÍ",F161*'Configuración'!$C$5,0))</f>
        <v/>
      </c>
      <c r="H161" s="2"/>
      <c r="I161" s="2"/>
      <c r="J161" s="2" t="str">
        <f>IF(F161="","",IF(H161="SÍ",'Configuración'!$C$6,0))</f>
        <v/>
      </c>
      <c r="K161" s="2" t="str">
        <f t="shared" si="6"/>
        <v/>
      </c>
      <c r="L161" s="2" t="str">
        <f t="shared" si="7"/>
        <v/>
      </c>
      <c r="M161" s="2" t="str">
        <f t="shared" si="8"/>
        <v/>
      </c>
      <c r="N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2">
        <v>158.0</v>
      </c>
      <c r="B162" s="2"/>
      <c r="C162" s="2"/>
      <c r="D162" s="2" t="str">
        <f>IFERROR(VLOOKUP(C162,'Catálogo Productos'!$B$3:$E$53,2,0),"")</f>
        <v/>
      </c>
      <c r="E162" s="2" t="str">
        <f>IFERROR(VLOOKUP(C162,'Catálogo Productos'!$B$3:$E$53,3,0),"")</f>
        <v/>
      </c>
      <c r="F162" s="2" t="str">
        <f>IFERROR(VLOOKUP(C162,'Catálogo Productos'!$B$3:$E$53,4,0),"")</f>
        <v/>
      </c>
      <c r="G162" s="2" t="str">
        <f>IF(F162="","",IF(I162="SÍ",F162*'Configuración'!$C$5,0))</f>
        <v/>
      </c>
      <c r="H162" s="2"/>
      <c r="I162" s="2"/>
      <c r="J162" s="2" t="str">
        <f>IF(F162="","",IF(H162="SÍ",'Configuración'!$C$6,0))</f>
        <v/>
      </c>
      <c r="K162" s="2" t="str">
        <f t="shared" si="6"/>
        <v/>
      </c>
      <c r="L162" s="2" t="str">
        <f t="shared" si="7"/>
        <v/>
      </c>
      <c r="M162" s="2" t="str">
        <f t="shared" si="8"/>
        <v/>
      </c>
      <c r="N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2">
        <v>159.0</v>
      </c>
      <c r="B163" s="2"/>
      <c r="C163" s="2"/>
      <c r="D163" s="2" t="str">
        <f>IFERROR(VLOOKUP(C163,'Catálogo Productos'!$B$3:$E$53,2,0),"")</f>
        <v/>
      </c>
      <c r="E163" s="2" t="str">
        <f>IFERROR(VLOOKUP(C163,'Catálogo Productos'!$B$3:$E$53,3,0),"")</f>
        <v/>
      </c>
      <c r="F163" s="2" t="str">
        <f>IFERROR(VLOOKUP(C163,'Catálogo Productos'!$B$3:$E$53,4,0),"")</f>
        <v/>
      </c>
      <c r="G163" s="2" t="str">
        <f>IF(F163="","",IF(I163="SÍ",F163*'Configuración'!$C$5,0))</f>
        <v/>
      </c>
      <c r="H163" s="2"/>
      <c r="I163" s="2"/>
      <c r="J163" s="2" t="str">
        <f>IF(F163="","",IF(H163="SÍ",'Configuración'!$C$6,0))</f>
        <v/>
      </c>
      <c r="K163" s="2" t="str">
        <f t="shared" si="6"/>
        <v/>
      </c>
      <c r="L163" s="2" t="str">
        <f t="shared" si="7"/>
        <v/>
      </c>
      <c r="M163" s="2" t="str">
        <f t="shared" si="8"/>
        <v/>
      </c>
      <c r="N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>
      <c r="A164" s="2">
        <v>160.0</v>
      </c>
      <c r="B164" s="2"/>
      <c r="C164" s="2"/>
      <c r="D164" s="2" t="str">
        <f>IFERROR(VLOOKUP(C164,'Catálogo Productos'!$B$3:$E$53,2,0),"")</f>
        <v/>
      </c>
      <c r="E164" s="2" t="str">
        <f>IFERROR(VLOOKUP(C164,'Catálogo Productos'!$B$3:$E$53,3,0),"")</f>
        <v/>
      </c>
      <c r="F164" s="2" t="str">
        <f>IFERROR(VLOOKUP(C164,'Catálogo Productos'!$B$3:$E$53,4,0),"")</f>
        <v/>
      </c>
      <c r="G164" s="2" t="str">
        <f>IF(F164="","",IF(I164="SÍ",F164*'Configuración'!$C$5,0))</f>
        <v/>
      </c>
      <c r="H164" s="2"/>
      <c r="I164" s="2"/>
      <c r="J164" s="2" t="str">
        <f>IF(F164="","",IF(H164="SÍ",'Configuración'!$C$6,0))</f>
        <v/>
      </c>
      <c r="K164" s="2" t="str">
        <f t="shared" si="6"/>
        <v/>
      </c>
      <c r="L164" s="2" t="str">
        <f t="shared" si="7"/>
        <v/>
      </c>
      <c r="M164" s="2" t="str">
        <f t="shared" si="8"/>
        <v/>
      </c>
      <c r="N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>
      <c r="A165" s="2">
        <v>161.0</v>
      </c>
      <c r="B165" s="2"/>
      <c r="C165" s="2"/>
      <c r="D165" s="2" t="str">
        <f>IFERROR(VLOOKUP(C165,'Catálogo Productos'!$B$3:$E$53,2,0),"")</f>
        <v/>
      </c>
      <c r="E165" s="2" t="str">
        <f>IFERROR(VLOOKUP(C165,'Catálogo Productos'!$B$3:$E$53,3,0),"")</f>
        <v/>
      </c>
      <c r="F165" s="2" t="str">
        <f>IFERROR(VLOOKUP(C165,'Catálogo Productos'!$B$3:$E$53,4,0),"")</f>
        <v/>
      </c>
      <c r="G165" s="2" t="str">
        <f>IF(F165="","",IF(I165="SÍ",F165*'Configuración'!$C$5,0))</f>
        <v/>
      </c>
      <c r="H165" s="2"/>
      <c r="I165" s="2"/>
      <c r="J165" s="2" t="str">
        <f>IF(F165="","",IF(H165="SÍ",'Configuración'!$C$6,0))</f>
        <v/>
      </c>
      <c r="K165" s="2" t="str">
        <f t="shared" si="6"/>
        <v/>
      </c>
      <c r="L165" s="2" t="str">
        <f t="shared" si="7"/>
        <v/>
      </c>
      <c r="M165" s="2" t="str">
        <f t="shared" si="8"/>
        <v/>
      </c>
      <c r="N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2">
        <v>162.0</v>
      </c>
      <c r="B166" s="2"/>
      <c r="C166" s="2"/>
      <c r="D166" s="2" t="str">
        <f>IFERROR(VLOOKUP(C166,'Catálogo Productos'!$B$3:$E$53,2,0),"")</f>
        <v/>
      </c>
      <c r="E166" s="2" t="str">
        <f>IFERROR(VLOOKUP(C166,'Catálogo Productos'!$B$3:$E$53,3,0),"")</f>
        <v/>
      </c>
      <c r="F166" s="2" t="str">
        <f>IFERROR(VLOOKUP(C166,'Catálogo Productos'!$B$3:$E$53,4,0),"")</f>
        <v/>
      </c>
      <c r="G166" s="2" t="str">
        <f>IF(F166="","",IF(I166="SÍ",F166*'Configuración'!$C$5,0))</f>
        <v/>
      </c>
      <c r="H166" s="2"/>
      <c r="I166" s="2"/>
      <c r="J166" s="2" t="str">
        <f>IF(F166="","",IF(H166="SÍ",'Configuración'!$C$6,0))</f>
        <v/>
      </c>
      <c r="K166" s="2" t="str">
        <f t="shared" si="6"/>
        <v/>
      </c>
      <c r="L166" s="2" t="str">
        <f t="shared" si="7"/>
        <v/>
      </c>
      <c r="M166" s="2" t="str">
        <f t="shared" si="8"/>
        <v/>
      </c>
      <c r="N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>
      <c r="A167" s="2">
        <v>163.0</v>
      </c>
      <c r="B167" s="2"/>
      <c r="C167" s="2"/>
      <c r="D167" s="2" t="str">
        <f>IFERROR(VLOOKUP(C167,'Catálogo Productos'!$B$3:$E$53,2,0),"")</f>
        <v/>
      </c>
      <c r="E167" s="2" t="str">
        <f>IFERROR(VLOOKUP(C167,'Catálogo Productos'!$B$3:$E$53,3,0),"")</f>
        <v/>
      </c>
      <c r="F167" s="2" t="str">
        <f>IFERROR(VLOOKUP(C167,'Catálogo Productos'!$B$3:$E$53,4,0),"")</f>
        <v/>
      </c>
      <c r="G167" s="2" t="str">
        <f>IF(F167="","",IF(I167="SÍ",F167*'Configuración'!$C$5,0))</f>
        <v/>
      </c>
      <c r="H167" s="2"/>
      <c r="I167" s="2"/>
      <c r="J167" s="2" t="str">
        <f>IF(F167="","",IF(H167="SÍ",'Configuración'!$C$6,0))</f>
        <v/>
      </c>
      <c r="K167" s="2" t="str">
        <f t="shared" si="6"/>
        <v/>
      </c>
      <c r="L167" s="2" t="str">
        <f t="shared" si="7"/>
        <v/>
      </c>
      <c r="M167" s="2" t="str">
        <f t="shared" si="8"/>
        <v/>
      </c>
      <c r="N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2">
        <v>164.0</v>
      </c>
      <c r="B168" s="2"/>
      <c r="C168" s="2"/>
      <c r="D168" s="2" t="str">
        <f>IFERROR(VLOOKUP(C168,'Catálogo Productos'!$B$3:$E$53,2,0),"")</f>
        <v/>
      </c>
      <c r="E168" s="2" t="str">
        <f>IFERROR(VLOOKUP(C168,'Catálogo Productos'!$B$3:$E$53,3,0),"")</f>
        <v/>
      </c>
      <c r="F168" s="2" t="str">
        <f>IFERROR(VLOOKUP(C168,'Catálogo Productos'!$B$3:$E$53,4,0),"")</f>
        <v/>
      </c>
      <c r="G168" s="2" t="str">
        <f>IF(F168="","",IF(I168="SÍ",F168*'Configuración'!$C$5,0))</f>
        <v/>
      </c>
      <c r="H168" s="2"/>
      <c r="I168" s="2"/>
      <c r="J168" s="2" t="str">
        <f>IF(F168="","",IF(H168="SÍ",'Configuración'!$C$6,0))</f>
        <v/>
      </c>
      <c r="K168" s="2" t="str">
        <f t="shared" si="6"/>
        <v/>
      </c>
      <c r="L168" s="2" t="str">
        <f t="shared" si="7"/>
        <v/>
      </c>
      <c r="M168" s="2" t="str">
        <f t="shared" si="8"/>
        <v/>
      </c>
      <c r="N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2">
        <v>165.0</v>
      </c>
      <c r="B169" s="2"/>
      <c r="C169" s="2"/>
      <c r="D169" s="2" t="str">
        <f>IFERROR(VLOOKUP(C169,'Catálogo Productos'!$B$3:$E$53,2,0),"")</f>
        <v/>
      </c>
      <c r="E169" s="2" t="str">
        <f>IFERROR(VLOOKUP(C169,'Catálogo Productos'!$B$3:$E$53,3,0),"")</f>
        <v/>
      </c>
      <c r="F169" s="2" t="str">
        <f>IFERROR(VLOOKUP(C169,'Catálogo Productos'!$B$3:$E$53,4,0),"")</f>
        <v/>
      </c>
      <c r="G169" s="2" t="str">
        <f>IF(F169="","",IF(I169="SÍ",F169*'Configuración'!$C$5,0))</f>
        <v/>
      </c>
      <c r="H169" s="2"/>
      <c r="I169" s="2"/>
      <c r="J169" s="2" t="str">
        <f>IF(F169="","",IF(H169="SÍ",'Configuración'!$C$6,0))</f>
        <v/>
      </c>
      <c r="K169" s="2" t="str">
        <f t="shared" si="6"/>
        <v/>
      </c>
      <c r="L169" s="2" t="str">
        <f t="shared" si="7"/>
        <v/>
      </c>
      <c r="M169" s="2" t="str">
        <f t="shared" si="8"/>
        <v/>
      </c>
      <c r="N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>
      <c r="A170" s="2">
        <v>166.0</v>
      </c>
      <c r="B170" s="2"/>
      <c r="C170" s="2"/>
      <c r="D170" s="2" t="str">
        <f>IFERROR(VLOOKUP(C170,'Catálogo Productos'!$B$3:$E$53,2,0),"")</f>
        <v/>
      </c>
      <c r="E170" s="2" t="str">
        <f>IFERROR(VLOOKUP(C170,'Catálogo Productos'!$B$3:$E$53,3,0),"")</f>
        <v/>
      </c>
      <c r="F170" s="2" t="str">
        <f>IFERROR(VLOOKUP(C170,'Catálogo Productos'!$B$3:$E$53,4,0),"")</f>
        <v/>
      </c>
      <c r="G170" s="2" t="str">
        <f>IF(F170="","",IF(I170="SÍ",F170*'Configuración'!$C$5,0))</f>
        <v/>
      </c>
      <c r="H170" s="2"/>
      <c r="I170" s="2"/>
      <c r="J170" s="2" t="str">
        <f>IF(F170="","",IF(H170="SÍ",'Configuración'!$C$6,0))</f>
        <v/>
      </c>
      <c r="K170" s="2" t="str">
        <f t="shared" si="6"/>
        <v/>
      </c>
      <c r="L170" s="2" t="str">
        <f t="shared" si="7"/>
        <v/>
      </c>
      <c r="M170" s="2" t="str">
        <f t="shared" si="8"/>
        <v/>
      </c>
      <c r="N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>
      <c r="A171" s="2">
        <v>167.0</v>
      </c>
      <c r="B171" s="2"/>
      <c r="C171" s="2"/>
      <c r="D171" s="2" t="str">
        <f>IFERROR(VLOOKUP(C171,'Catálogo Productos'!$B$3:$E$53,2,0),"")</f>
        <v/>
      </c>
      <c r="E171" s="2" t="str">
        <f>IFERROR(VLOOKUP(C171,'Catálogo Productos'!$B$3:$E$53,3,0),"")</f>
        <v/>
      </c>
      <c r="F171" s="2" t="str">
        <f>IFERROR(VLOOKUP(C171,'Catálogo Productos'!$B$3:$E$53,4,0),"")</f>
        <v/>
      </c>
      <c r="G171" s="2" t="str">
        <f>IF(F171="","",IF(I171="SÍ",F171*'Configuración'!$C$5,0))</f>
        <v/>
      </c>
      <c r="H171" s="2"/>
      <c r="I171" s="2"/>
      <c r="J171" s="2" t="str">
        <f>IF(F171="","",IF(H171="SÍ",'Configuración'!$C$6,0))</f>
        <v/>
      </c>
      <c r="K171" s="2" t="str">
        <f t="shared" si="6"/>
        <v/>
      </c>
      <c r="L171" s="2" t="str">
        <f t="shared" si="7"/>
        <v/>
      </c>
      <c r="M171" s="2" t="str">
        <f t="shared" si="8"/>
        <v/>
      </c>
      <c r="N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>
      <c r="A172" s="2">
        <v>168.0</v>
      </c>
      <c r="B172" s="2"/>
      <c r="C172" s="2"/>
      <c r="D172" s="2" t="str">
        <f>IFERROR(VLOOKUP(C172,'Catálogo Productos'!$B$3:$E$53,2,0),"")</f>
        <v/>
      </c>
      <c r="E172" s="2" t="str">
        <f>IFERROR(VLOOKUP(C172,'Catálogo Productos'!$B$3:$E$53,3,0),"")</f>
        <v/>
      </c>
      <c r="F172" s="2" t="str">
        <f>IFERROR(VLOOKUP(C172,'Catálogo Productos'!$B$3:$E$53,4,0),"")</f>
        <v/>
      </c>
      <c r="G172" s="2" t="str">
        <f>IF(F172="","",IF(I172="SÍ",F172*'Configuración'!$C$5,0))</f>
        <v/>
      </c>
      <c r="H172" s="2"/>
      <c r="I172" s="2"/>
      <c r="J172" s="2" t="str">
        <f>IF(F172="","",IF(H172="SÍ",'Configuración'!$C$6,0))</f>
        <v/>
      </c>
      <c r="K172" s="2" t="str">
        <f t="shared" si="6"/>
        <v/>
      </c>
      <c r="L172" s="2" t="str">
        <f t="shared" si="7"/>
        <v/>
      </c>
      <c r="M172" s="2" t="str">
        <f t="shared" si="8"/>
        <v/>
      </c>
      <c r="N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2">
        <v>169.0</v>
      </c>
      <c r="B173" s="2"/>
      <c r="C173" s="2"/>
      <c r="D173" s="2" t="str">
        <f>IFERROR(VLOOKUP(C173,'Catálogo Productos'!$B$3:$E$53,2,0),"")</f>
        <v/>
      </c>
      <c r="E173" s="2" t="str">
        <f>IFERROR(VLOOKUP(C173,'Catálogo Productos'!$B$3:$E$53,3,0),"")</f>
        <v/>
      </c>
      <c r="F173" s="2" t="str">
        <f>IFERROR(VLOOKUP(C173,'Catálogo Productos'!$B$3:$E$53,4,0),"")</f>
        <v/>
      </c>
      <c r="G173" s="2" t="str">
        <f>IF(F173="","",IF(I173="SÍ",F173*'Configuración'!$C$5,0))</f>
        <v/>
      </c>
      <c r="H173" s="2"/>
      <c r="I173" s="2"/>
      <c r="J173" s="2" t="str">
        <f>IF(F173="","",IF(H173="SÍ",'Configuración'!$C$6,0))</f>
        <v/>
      </c>
      <c r="K173" s="2" t="str">
        <f t="shared" si="6"/>
        <v/>
      </c>
      <c r="L173" s="2" t="str">
        <f t="shared" si="7"/>
        <v/>
      </c>
      <c r="M173" s="2" t="str">
        <f t="shared" si="8"/>
        <v/>
      </c>
      <c r="N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2">
        <v>170.0</v>
      </c>
      <c r="B174" s="2"/>
      <c r="C174" s="2"/>
      <c r="D174" s="2" t="str">
        <f>IFERROR(VLOOKUP(C174,'Catálogo Productos'!$B$3:$E$53,2,0),"")</f>
        <v/>
      </c>
      <c r="E174" s="2" t="str">
        <f>IFERROR(VLOOKUP(C174,'Catálogo Productos'!$B$3:$E$53,3,0),"")</f>
        <v/>
      </c>
      <c r="F174" s="2" t="str">
        <f>IFERROR(VLOOKUP(C174,'Catálogo Productos'!$B$3:$E$53,4,0),"")</f>
        <v/>
      </c>
      <c r="G174" s="2" t="str">
        <f>IF(F174="","",IF(I174="SÍ",F174*'Configuración'!$C$5,0))</f>
        <v/>
      </c>
      <c r="H174" s="2"/>
      <c r="I174" s="2"/>
      <c r="J174" s="2" t="str">
        <f>IF(F174="","",IF(H174="SÍ",'Configuración'!$C$6,0))</f>
        <v/>
      </c>
      <c r="K174" s="2" t="str">
        <f t="shared" si="6"/>
        <v/>
      </c>
      <c r="L174" s="2" t="str">
        <f t="shared" si="7"/>
        <v/>
      </c>
      <c r="M174" s="2" t="str">
        <f t="shared" si="8"/>
        <v/>
      </c>
      <c r="N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2">
        <v>171.0</v>
      </c>
      <c r="B175" s="2"/>
      <c r="C175" s="2"/>
      <c r="D175" s="2" t="str">
        <f>IFERROR(VLOOKUP(C175,'Catálogo Productos'!$B$3:$E$53,2,0),"")</f>
        <v/>
      </c>
      <c r="E175" s="2" t="str">
        <f>IFERROR(VLOOKUP(C175,'Catálogo Productos'!$B$3:$E$53,3,0),"")</f>
        <v/>
      </c>
      <c r="F175" s="2" t="str">
        <f>IFERROR(VLOOKUP(C175,'Catálogo Productos'!$B$3:$E$53,4,0),"")</f>
        <v/>
      </c>
      <c r="G175" s="2" t="str">
        <f>IF(F175="","",IF(I175="SÍ",F175*'Configuración'!$C$5,0))</f>
        <v/>
      </c>
      <c r="H175" s="2"/>
      <c r="I175" s="2"/>
      <c r="J175" s="2" t="str">
        <f>IF(F175="","",IF(H175="SÍ",'Configuración'!$C$6,0))</f>
        <v/>
      </c>
      <c r="K175" s="2" t="str">
        <f t="shared" si="6"/>
        <v/>
      </c>
      <c r="L175" s="2" t="str">
        <f t="shared" si="7"/>
        <v/>
      </c>
      <c r="M175" s="2" t="str">
        <f t="shared" si="8"/>
        <v/>
      </c>
      <c r="N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2">
        <v>172.0</v>
      </c>
      <c r="B176" s="2"/>
      <c r="C176" s="2"/>
      <c r="D176" s="2" t="str">
        <f>IFERROR(VLOOKUP(C176,'Catálogo Productos'!$B$3:$E$53,2,0),"")</f>
        <v/>
      </c>
      <c r="E176" s="2" t="str">
        <f>IFERROR(VLOOKUP(C176,'Catálogo Productos'!$B$3:$E$53,3,0),"")</f>
        <v/>
      </c>
      <c r="F176" s="2" t="str">
        <f>IFERROR(VLOOKUP(C176,'Catálogo Productos'!$B$3:$E$53,4,0),"")</f>
        <v/>
      </c>
      <c r="G176" s="2" t="str">
        <f>IF(F176="","",IF(I176="SÍ",F176*'Configuración'!$C$5,0))</f>
        <v/>
      </c>
      <c r="H176" s="2"/>
      <c r="I176" s="2"/>
      <c r="J176" s="2" t="str">
        <f>IF(F176="","",IF(H176="SÍ",'Configuración'!$C$6,0))</f>
        <v/>
      </c>
      <c r="K176" s="2" t="str">
        <f t="shared" si="6"/>
        <v/>
      </c>
      <c r="L176" s="2" t="str">
        <f t="shared" si="7"/>
        <v/>
      </c>
      <c r="M176" s="2" t="str">
        <f t="shared" si="8"/>
        <v/>
      </c>
      <c r="N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2">
        <v>173.0</v>
      </c>
      <c r="B177" s="2"/>
      <c r="C177" s="2"/>
      <c r="D177" s="2" t="str">
        <f>IFERROR(VLOOKUP(C177,'Catálogo Productos'!$B$3:$E$53,2,0),"")</f>
        <v/>
      </c>
      <c r="E177" s="2" t="str">
        <f>IFERROR(VLOOKUP(C177,'Catálogo Productos'!$B$3:$E$53,3,0),"")</f>
        <v/>
      </c>
      <c r="F177" s="2" t="str">
        <f>IFERROR(VLOOKUP(C177,'Catálogo Productos'!$B$3:$E$53,4,0),"")</f>
        <v/>
      </c>
      <c r="G177" s="2" t="str">
        <f>IF(F177="","",IF(I177="SÍ",F177*'Configuración'!$C$5,0))</f>
        <v/>
      </c>
      <c r="H177" s="2"/>
      <c r="I177" s="2"/>
      <c r="J177" s="2" t="str">
        <f>IF(F177="","",IF(H177="SÍ",'Configuración'!$C$6,0))</f>
        <v/>
      </c>
      <c r="K177" s="2" t="str">
        <f t="shared" si="6"/>
        <v/>
      </c>
      <c r="L177" s="2" t="str">
        <f t="shared" si="7"/>
        <v/>
      </c>
      <c r="M177" s="2" t="str">
        <f t="shared" si="8"/>
        <v/>
      </c>
      <c r="N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2">
        <v>174.0</v>
      </c>
      <c r="B178" s="2"/>
      <c r="C178" s="2"/>
      <c r="D178" s="2" t="str">
        <f>IFERROR(VLOOKUP(C178,'Catálogo Productos'!$B$3:$E$53,2,0),"")</f>
        <v/>
      </c>
      <c r="E178" s="2" t="str">
        <f>IFERROR(VLOOKUP(C178,'Catálogo Productos'!$B$3:$E$53,3,0),"")</f>
        <v/>
      </c>
      <c r="F178" s="2" t="str">
        <f>IFERROR(VLOOKUP(C178,'Catálogo Productos'!$B$3:$E$53,4,0),"")</f>
        <v/>
      </c>
      <c r="G178" s="2" t="str">
        <f>IF(F178="","",IF(I178="SÍ",F178*'Configuración'!$C$5,0))</f>
        <v/>
      </c>
      <c r="H178" s="2"/>
      <c r="I178" s="2"/>
      <c r="J178" s="2" t="str">
        <f>IF(F178="","",IF(H178="SÍ",'Configuración'!$C$6,0))</f>
        <v/>
      </c>
      <c r="K178" s="2" t="str">
        <f t="shared" si="6"/>
        <v/>
      </c>
      <c r="L178" s="2" t="str">
        <f t="shared" si="7"/>
        <v/>
      </c>
      <c r="M178" s="2" t="str">
        <f t="shared" si="8"/>
        <v/>
      </c>
      <c r="N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2">
        <v>175.0</v>
      </c>
      <c r="B179" s="2"/>
      <c r="C179" s="2"/>
      <c r="D179" s="2" t="str">
        <f>IFERROR(VLOOKUP(C179,'Catálogo Productos'!$B$3:$E$53,2,0),"")</f>
        <v/>
      </c>
      <c r="E179" s="2" t="str">
        <f>IFERROR(VLOOKUP(C179,'Catálogo Productos'!$B$3:$E$53,3,0),"")</f>
        <v/>
      </c>
      <c r="F179" s="2" t="str">
        <f>IFERROR(VLOOKUP(C179,'Catálogo Productos'!$B$3:$E$53,4,0),"")</f>
        <v/>
      </c>
      <c r="G179" s="2" t="str">
        <f>IF(F179="","",IF(I179="SÍ",F179*'Configuración'!$C$5,0))</f>
        <v/>
      </c>
      <c r="H179" s="2"/>
      <c r="I179" s="2"/>
      <c r="J179" s="2" t="str">
        <f>IF(F179="","",IF(H179="SÍ",'Configuración'!$C$6,0))</f>
        <v/>
      </c>
      <c r="K179" s="2" t="str">
        <f t="shared" si="6"/>
        <v/>
      </c>
      <c r="L179" s="2" t="str">
        <f t="shared" si="7"/>
        <v/>
      </c>
      <c r="M179" s="2" t="str">
        <f t="shared" si="8"/>
        <v/>
      </c>
      <c r="N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2">
        <v>176.0</v>
      </c>
      <c r="B180" s="2"/>
      <c r="C180" s="2"/>
      <c r="D180" s="2" t="str">
        <f>IFERROR(VLOOKUP(C180,'Catálogo Productos'!$B$3:$E$53,2,0),"")</f>
        <v/>
      </c>
      <c r="E180" s="2" t="str">
        <f>IFERROR(VLOOKUP(C180,'Catálogo Productos'!$B$3:$E$53,3,0),"")</f>
        <v/>
      </c>
      <c r="F180" s="2" t="str">
        <f>IFERROR(VLOOKUP(C180,'Catálogo Productos'!$B$3:$E$53,4,0),"")</f>
        <v/>
      </c>
      <c r="G180" s="2" t="str">
        <f>IF(F180="","",IF(I180="SÍ",F180*'Configuración'!$C$5,0))</f>
        <v/>
      </c>
      <c r="H180" s="2"/>
      <c r="I180" s="2"/>
      <c r="J180" s="2" t="str">
        <f>IF(F180="","",IF(H180="SÍ",'Configuración'!$C$6,0))</f>
        <v/>
      </c>
      <c r="K180" s="2" t="str">
        <f t="shared" si="6"/>
        <v/>
      </c>
      <c r="L180" s="2" t="str">
        <f t="shared" si="7"/>
        <v/>
      </c>
      <c r="M180" s="2" t="str">
        <f t="shared" si="8"/>
        <v/>
      </c>
      <c r="N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2">
        <v>177.0</v>
      </c>
      <c r="B181" s="2"/>
      <c r="C181" s="2"/>
      <c r="D181" s="2" t="str">
        <f>IFERROR(VLOOKUP(C181,'Catálogo Productos'!$B$3:$E$53,2,0),"")</f>
        <v/>
      </c>
      <c r="E181" s="2" t="str">
        <f>IFERROR(VLOOKUP(C181,'Catálogo Productos'!$B$3:$E$53,3,0),"")</f>
        <v/>
      </c>
      <c r="F181" s="2" t="str">
        <f>IFERROR(VLOOKUP(C181,'Catálogo Productos'!$B$3:$E$53,4,0),"")</f>
        <v/>
      </c>
      <c r="G181" s="2" t="str">
        <f>IF(F181="","",IF(I181="SÍ",F181*'Configuración'!$C$5,0))</f>
        <v/>
      </c>
      <c r="H181" s="2"/>
      <c r="I181" s="2"/>
      <c r="J181" s="2" t="str">
        <f>IF(F181="","",IF(H181="SÍ",'Configuración'!$C$6,0))</f>
        <v/>
      </c>
      <c r="K181" s="2" t="str">
        <f t="shared" si="6"/>
        <v/>
      </c>
      <c r="L181" s="2" t="str">
        <f t="shared" si="7"/>
        <v/>
      </c>
      <c r="M181" s="2" t="str">
        <f t="shared" si="8"/>
        <v/>
      </c>
      <c r="N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2">
        <v>178.0</v>
      </c>
      <c r="B182" s="2"/>
      <c r="C182" s="2"/>
      <c r="D182" s="2" t="str">
        <f>IFERROR(VLOOKUP(C182,'Catálogo Productos'!$B$3:$E$53,2,0),"")</f>
        <v/>
      </c>
      <c r="E182" s="2" t="str">
        <f>IFERROR(VLOOKUP(C182,'Catálogo Productos'!$B$3:$E$53,3,0),"")</f>
        <v/>
      </c>
      <c r="F182" s="2" t="str">
        <f>IFERROR(VLOOKUP(C182,'Catálogo Productos'!$B$3:$E$53,4,0),"")</f>
        <v/>
      </c>
      <c r="G182" s="2" t="str">
        <f>IF(F182="","",IF(I182="SÍ",F182*'Configuración'!$C$5,0))</f>
        <v/>
      </c>
      <c r="H182" s="2"/>
      <c r="I182" s="2"/>
      <c r="J182" s="2" t="str">
        <f>IF(F182="","",IF(H182="SÍ",'Configuración'!$C$6,0))</f>
        <v/>
      </c>
      <c r="K182" s="2" t="str">
        <f t="shared" si="6"/>
        <v/>
      </c>
      <c r="L182" s="2" t="str">
        <f t="shared" si="7"/>
        <v/>
      </c>
      <c r="M182" s="2" t="str">
        <f t="shared" si="8"/>
        <v/>
      </c>
      <c r="N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2">
        <v>179.0</v>
      </c>
      <c r="B183" s="2"/>
      <c r="C183" s="2"/>
      <c r="D183" s="2" t="str">
        <f>IFERROR(VLOOKUP(C183,'Catálogo Productos'!$B$3:$E$53,2,0),"")</f>
        <v/>
      </c>
      <c r="E183" s="2" t="str">
        <f>IFERROR(VLOOKUP(C183,'Catálogo Productos'!$B$3:$E$53,3,0),"")</f>
        <v/>
      </c>
      <c r="F183" s="2" t="str">
        <f>IFERROR(VLOOKUP(C183,'Catálogo Productos'!$B$3:$E$53,4,0),"")</f>
        <v/>
      </c>
      <c r="G183" s="2" t="str">
        <f>IF(F183="","",IF(I183="SÍ",F183*'Configuración'!$C$5,0))</f>
        <v/>
      </c>
      <c r="H183" s="2"/>
      <c r="I183" s="2"/>
      <c r="J183" s="2" t="str">
        <f>IF(F183="","",IF(H183="SÍ",'Configuración'!$C$6,0))</f>
        <v/>
      </c>
      <c r="K183" s="2" t="str">
        <f t="shared" si="6"/>
        <v/>
      </c>
      <c r="L183" s="2" t="str">
        <f t="shared" si="7"/>
        <v/>
      </c>
      <c r="M183" s="2" t="str">
        <f t="shared" si="8"/>
        <v/>
      </c>
      <c r="N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2">
        <v>180.0</v>
      </c>
      <c r="B184" s="2"/>
      <c r="C184" s="2"/>
      <c r="D184" s="2" t="str">
        <f>IFERROR(VLOOKUP(C184,'Catálogo Productos'!$B$3:$E$53,2,0),"")</f>
        <v/>
      </c>
      <c r="E184" s="2" t="str">
        <f>IFERROR(VLOOKUP(C184,'Catálogo Productos'!$B$3:$E$53,3,0),"")</f>
        <v/>
      </c>
      <c r="F184" s="2" t="str">
        <f>IFERROR(VLOOKUP(C184,'Catálogo Productos'!$B$3:$E$53,4,0),"")</f>
        <v/>
      </c>
      <c r="G184" s="2" t="str">
        <f>IF(F184="","",IF(I184="SÍ",F184*'Configuración'!$C$5,0))</f>
        <v/>
      </c>
      <c r="H184" s="2"/>
      <c r="I184" s="2"/>
      <c r="J184" s="2" t="str">
        <f>IF(F184="","",IF(H184="SÍ",'Configuración'!$C$6,0))</f>
        <v/>
      </c>
      <c r="K184" s="2" t="str">
        <f t="shared" si="6"/>
        <v/>
      </c>
      <c r="L184" s="2" t="str">
        <f t="shared" si="7"/>
        <v/>
      </c>
      <c r="M184" s="2" t="str">
        <f t="shared" si="8"/>
        <v/>
      </c>
      <c r="N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2">
        <v>181.0</v>
      </c>
      <c r="B185" s="2"/>
      <c r="C185" s="2"/>
      <c r="D185" s="2" t="str">
        <f>IFERROR(VLOOKUP(C185,'Catálogo Productos'!$B$3:$E$53,2,0),"")</f>
        <v/>
      </c>
      <c r="E185" s="2" t="str">
        <f>IFERROR(VLOOKUP(C185,'Catálogo Productos'!$B$3:$E$53,3,0),"")</f>
        <v/>
      </c>
      <c r="F185" s="2" t="str">
        <f>IFERROR(VLOOKUP(C185,'Catálogo Productos'!$B$3:$E$53,4,0),"")</f>
        <v/>
      </c>
      <c r="G185" s="2" t="str">
        <f>IF(F185="","",IF(I185="SÍ",F185*'Configuración'!$C$5,0))</f>
        <v/>
      </c>
      <c r="H185" s="2"/>
      <c r="I185" s="2"/>
      <c r="J185" s="2" t="str">
        <f>IF(F185="","",IF(H185="SÍ",'Configuración'!$C$6,0))</f>
        <v/>
      </c>
      <c r="K185" s="2" t="str">
        <f t="shared" si="6"/>
        <v/>
      </c>
      <c r="L185" s="2" t="str">
        <f t="shared" si="7"/>
        <v/>
      </c>
      <c r="M185" s="2" t="str">
        <f t="shared" si="8"/>
        <v/>
      </c>
      <c r="N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2">
        <v>182.0</v>
      </c>
      <c r="B186" s="2"/>
      <c r="C186" s="2"/>
      <c r="D186" s="2" t="str">
        <f>IFERROR(VLOOKUP(C186,'Catálogo Productos'!$B$3:$E$53,2,0),"")</f>
        <v/>
      </c>
      <c r="E186" s="2" t="str">
        <f>IFERROR(VLOOKUP(C186,'Catálogo Productos'!$B$3:$E$53,3,0),"")</f>
        <v/>
      </c>
      <c r="F186" s="2" t="str">
        <f>IFERROR(VLOOKUP(C186,'Catálogo Productos'!$B$3:$E$53,4,0),"")</f>
        <v/>
      </c>
      <c r="G186" s="2" t="str">
        <f>IF(F186="","",IF(I186="SÍ",F186*'Configuración'!$C$5,0))</f>
        <v/>
      </c>
      <c r="H186" s="2"/>
      <c r="I186" s="2"/>
      <c r="J186" s="2" t="str">
        <f>IF(F186="","",IF(H186="SÍ",'Configuración'!$C$6,0))</f>
        <v/>
      </c>
      <c r="K186" s="2" t="str">
        <f t="shared" si="6"/>
        <v/>
      </c>
      <c r="L186" s="2" t="str">
        <f t="shared" si="7"/>
        <v/>
      </c>
      <c r="M186" s="2" t="str">
        <f t="shared" si="8"/>
        <v/>
      </c>
      <c r="N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2">
        <v>183.0</v>
      </c>
      <c r="B187" s="2"/>
      <c r="C187" s="2"/>
      <c r="D187" s="2" t="str">
        <f>IFERROR(VLOOKUP(C187,'Catálogo Productos'!$B$3:$E$53,2,0),"")</f>
        <v/>
      </c>
      <c r="E187" s="2" t="str">
        <f>IFERROR(VLOOKUP(C187,'Catálogo Productos'!$B$3:$E$53,3,0),"")</f>
        <v/>
      </c>
      <c r="F187" s="2" t="str">
        <f>IFERROR(VLOOKUP(C187,'Catálogo Productos'!$B$3:$E$53,4,0),"")</f>
        <v/>
      </c>
      <c r="G187" s="2" t="str">
        <f>IF(F187="","",IF(I187="SÍ",F187*'Configuración'!$C$5,0))</f>
        <v/>
      </c>
      <c r="H187" s="2"/>
      <c r="I187" s="2"/>
      <c r="J187" s="2" t="str">
        <f>IF(F187="","",IF(H187="SÍ",'Configuración'!$C$6,0))</f>
        <v/>
      </c>
      <c r="K187" s="2" t="str">
        <f t="shared" si="6"/>
        <v/>
      </c>
      <c r="L187" s="2" t="str">
        <f t="shared" si="7"/>
        <v/>
      </c>
      <c r="M187" s="2" t="str">
        <f t="shared" si="8"/>
        <v/>
      </c>
      <c r="N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2">
        <v>184.0</v>
      </c>
      <c r="B188" s="2"/>
      <c r="C188" s="2"/>
      <c r="D188" s="2" t="str">
        <f>IFERROR(VLOOKUP(C188,'Catálogo Productos'!$B$3:$E$53,2,0),"")</f>
        <v/>
      </c>
      <c r="E188" s="2" t="str">
        <f>IFERROR(VLOOKUP(C188,'Catálogo Productos'!$B$3:$E$53,3,0),"")</f>
        <v/>
      </c>
      <c r="F188" s="2" t="str">
        <f>IFERROR(VLOOKUP(C188,'Catálogo Productos'!$B$3:$E$53,4,0),"")</f>
        <v/>
      </c>
      <c r="G188" s="2" t="str">
        <f>IF(F188="","",IF(I188="SÍ",F188*'Configuración'!$C$5,0))</f>
        <v/>
      </c>
      <c r="H188" s="2"/>
      <c r="I188" s="2"/>
      <c r="J188" s="2" t="str">
        <f>IF(F188="","",IF(H188="SÍ",'Configuración'!$C$6,0))</f>
        <v/>
      </c>
      <c r="K188" s="2" t="str">
        <f t="shared" si="6"/>
        <v/>
      </c>
      <c r="L188" s="2" t="str">
        <f t="shared" si="7"/>
        <v/>
      </c>
      <c r="M188" s="2" t="str">
        <f t="shared" si="8"/>
        <v/>
      </c>
      <c r="N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2">
        <v>185.0</v>
      </c>
      <c r="B189" s="2"/>
      <c r="C189" s="2"/>
      <c r="D189" s="2" t="str">
        <f>IFERROR(VLOOKUP(C189,'Catálogo Productos'!$B$3:$E$53,2,0),"")</f>
        <v/>
      </c>
      <c r="E189" s="2" t="str">
        <f>IFERROR(VLOOKUP(C189,'Catálogo Productos'!$B$3:$E$53,3,0),"")</f>
        <v/>
      </c>
      <c r="F189" s="2" t="str">
        <f>IFERROR(VLOOKUP(C189,'Catálogo Productos'!$B$3:$E$53,4,0),"")</f>
        <v/>
      </c>
      <c r="G189" s="2" t="str">
        <f>IF(F189="","",IF(I189="SÍ",F189*'Configuración'!$C$5,0))</f>
        <v/>
      </c>
      <c r="H189" s="2"/>
      <c r="I189" s="2"/>
      <c r="J189" s="2" t="str">
        <f>IF(F189="","",IF(H189="SÍ",'Configuración'!$C$6,0))</f>
        <v/>
      </c>
      <c r="K189" s="2" t="str">
        <f t="shared" si="6"/>
        <v/>
      </c>
      <c r="L189" s="2" t="str">
        <f t="shared" si="7"/>
        <v/>
      </c>
      <c r="M189" s="2" t="str">
        <f t="shared" si="8"/>
        <v/>
      </c>
      <c r="N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2">
        <v>186.0</v>
      </c>
      <c r="B190" s="2"/>
      <c r="C190" s="2"/>
      <c r="D190" s="2" t="str">
        <f>IFERROR(VLOOKUP(C190,'Catálogo Productos'!$B$3:$E$53,2,0),"")</f>
        <v/>
      </c>
      <c r="E190" s="2" t="str">
        <f>IFERROR(VLOOKUP(C190,'Catálogo Productos'!$B$3:$E$53,3,0),"")</f>
        <v/>
      </c>
      <c r="F190" s="2" t="str">
        <f>IFERROR(VLOOKUP(C190,'Catálogo Productos'!$B$3:$E$53,4,0),"")</f>
        <v/>
      </c>
      <c r="G190" s="2" t="str">
        <f>IF(F190="","",IF(I190="SÍ",F190*'Configuración'!$C$5,0))</f>
        <v/>
      </c>
      <c r="H190" s="2"/>
      <c r="I190" s="2"/>
      <c r="J190" s="2" t="str">
        <f>IF(F190="","",IF(H190="SÍ",'Configuración'!$C$6,0))</f>
        <v/>
      </c>
      <c r="K190" s="2" t="str">
        <f t="shared" si="6"/>
        <v/>
      </c>
      <c r="L190" s="2" t="str">
        <f t="shared" si="7"/>
        <v/>
      </c>
      <c r="M190" s="2" t="str">
        <f t="shared" si="8"/>
        <v/>
      </c>
      <c r="N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2">
        <v>187.0</v>
      </c>
      <c r="B191" s="2"/>
      <c r="C191" s="2"/>
      <c r="D191" s="2" t="str">
        <f>IFERROR(VLOOKUP(C191,'Catálogo Productos'!$B$3:$E$53,2,0),"")</f>
        <v/>
      </c>
      <c r="E191" s="2" t="str">
        <f>IFERROR(VLOOKUP(C191,'Catálogo Productos'!$B$3:$E$53,3,0),"")</f>
        <v/>
      </c>
      <c r="F191" s="2" t="str">
        <f>IFERROR(VLOOKUP(C191,'Catálogo Productos'!$B$3:$E$53,4,0),"")</f>
        <v/>
      </c>
      <c r="G191" s="2" t="str">
        <f>IF(F191="","",IF(I191="SÍ",F191*'Configuración'!$C$5,0))</f>
        <v/>
      </c>
      <c r="H191" s="2"/>
      <c r="I191" s="2"/>
      <c r="J191" s="2" t="str">
        <f>IF(F191="","",IF(H191="SÍ",'Configuración'!$C$6,0))</f>
        <v/>
      </c>
      <c r="K191" s="2" t="str">
        <f t="shared" si="6"/>
        <v/>
      </c>
      <c r="L191" s="2" t="str">
        <f t="shared" si="7"/>
        <v/>
      </c>
      <c r="M191" s="2" t="str">
        <f t="shared" si="8"/>
        <v/>
      </c>
      <c r="N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2">
        <v>188.0</v>
      </c>
      <c r="B192" s="2"/>
      <c r="C192" s="2"/>
      <c r="D192" s="2" t="str">
        <f>IFERROR(VLOOKUP(C192,'Catálogo Productos'!$B$3:$E$53,2,0),"")</f>
        <v/>
      </c>
      <c r="E192" s="2" t="str">
        <f>IFERROR(VLOOKUP(C192,'Catálogo Productos'!$B$3:$E$53,3,0),"")</f>
        <v/>
      </c>
      <c r="F192" s="2" t="str">
        <f>IFERROR(VLOOKUP(C192,'Catálogo Productos'!$B$3:$E$53,4,0),"")</f>
        <v/>
      </c>
      <c r="G192" s="2" t="str">
        <f>IF(F192="","",IF(I192="SÍ",F192*'Configuración'!$C$5,0))</f>
        <v/>
      </c>
      <c r="H192" s="2"/>
      <c r="I192" s="2"/>
      <c r="J192" s="2" t="str">
        <f>IF(F192="","",IF(H192="SÍ",'Configuración'!$C$6,0))</f>
        <v/>
      </c>
      <c r="K192" s="2" t="str">
        <f t="shared" si="6"/>
        <v/>
      </c>
      <c r="L192" s="2" t="str">
        <f t="shared" si="7"/>
        <v/>
      </c>
      <c r="M192" s="2" t="str">
        <f t="shared" si="8"/>
        <v/>
      </c>
      <c r="N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2">
        <v>189.0</v>
      </c>
      <c r="B193" s="2"/>
      <c r="C193" s="2"/>
      <c r="D193" s="2" t="str">
        <f>IFERROR(VLOOKUP(C193,'Catálogo Productos'!$B$3:$E$53,2,0),"")</f>
        <v/>
      </c>
      <c r="E193" s="2" t="str">
        <f>IFERROR(VLOOKUP(C193,'Catálogo Productos'!$B$3:$E$53,3,0),"")</f>
        <v/>
      </c>
      <c r="F193" s="2" t="str">
        <f>IFERROR(VLOOKUP(C193,'Catálogo Productos'!$B$3:$E$53,4,0),"")</f>
        <v/>
      </c>
      <c r="G193" s="2" t="str">
        <f>IF(F193="","",IF(I193="SÍ",F193*'Configuración'!$C$5,0))</f>
        <v/>
      </c>
      <c r="H193" s="2"/>
      <c r="I193" s="2"/>
      <c r="J193" s="2" t="str">
        <f>IF(F193="","",IF(H193="SÍ",'Configuración'!$C$6,0))</f>
        <v/>
      </c>
      <c r="K193" s="2" t="str">
        <f t="shared" si="6"/>
        <v/>
      </c>
      <c r="L193" s="2" t="str">
        <f t="shared" si="7"/>
        <v/>
      </c>
      <c r="M193" s="2" t="str">
        <f t="shared" si="8"/>
        <v/>
      </c>
      <c r="N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2">
        <v>190.0</v>
      </c>
      <c r="B194" s="2"/>
      <c r="C194" s="2"/>
      <c r="D194" s="2" t="str">
        <f>IFERROR(VLOOKUP(C194,'Catálogo Productos'!$B$3:$E$53,2,0),"")</f>
        <v/>
      </c>
      <c r="E194" s="2" t="str">
        <f>IFERROR(VLOOKUP(C194,'Catálogo Productos'!$B$3:$E$53,3,0),"")</f>
        <v/>
      </c>
      <c r="F194" s="2" t="str">
        <f>IFERROR(VLOOKUP(C194,'Catálogo Productos'!$B$3:$E$53,4,0),"")</f>
        <v/>
      </c>
      <c r="G194" s="2" t="str">
        <f>IF(F194="","",IF(I194="SÍ",F194*'Configuración'!$C$5,0))</f>
        <v/>
      </c>
      <c r="H194" s="2"/>
      <c r="I194" s="2"/>
      <c r="J194" s="2" t="str">
        <f>IF(F194="","",IF(H194="SÍ",'Configuración'!$C$6,0))</f>
        <v/>
      </c>
      <c r="K194" s="2" t="str">
        <f t="shared" si="6"/>
        <v/>
      </c>
      <c r="L194" s="2" t="str">
        <f t="shared" si="7"/>
        <v/>
      </c>
      <c r="M194" s="2" t="str">
        <f t="shared" si="8"/>
        <v/>
      </c>
      <c r="N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2">
        <v>191.0</v>
      </c>
      <c r="B195" s="2"/>
      <c r="C195" s="2"/>
      <c r="D195" s="2" t="str">
        <f>IFERROR(VLOOKUP(C195,'Catálogo Productos'!$B$3:$E$53,2,0),"")</f>
        <v/>
      </c>
      <c r="E195" s="2" t="str">
        <f>IFERROR(VLOOKUP(C195,'Catálogo Productos'!$B$3:$E$53,3,0),"")</f>
        <v/>
      </c>
      <c r="F195" s="2" t="str">
        <f>IFERROR(VLOOKUP(C195,'Catálogo Productos'!$B$3:$E$53,4,0),"")</f>
        <v/>
      </c>
      <c r="G195" s="2" t="str">
        <f>IF(F195="","",IF(I195="SÍ",F195*'Configuración'!$C$5,0))</f>
        <v/>
      </c>
      <c r="H195" s="2"/>
      <c r="I195" s="2"/>
      <c r="J195" s="2" t="str">
        <f>IF(F195="","",IF(H195="SÍ",'Configuración'!$C$6,0))</f>
        <v/>
      </c>
      <c r="K195" s="2" t="str">
        <f t="shared" si="6"/>
        <v/>
      </c>
      <c r="L195" s="2" t="str">
        <f t="shared" si="7"/>
        <v/>
      </c>
      <c r="M195" s="2" t="str">
        <f t="shared" si="8"/>
        <v/>
      </c>
      <c r="N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2">
        <v>192.0</v>
      </c>
      <c r="B196" s="2"/>
      <c r="C196" s="2"/>
      <c r="D196" s="2" t="str">
        <f>IFERROR(VLOOKUP(C196,'Catálogo Productos'!$B$3:$E$53,2,0),"")</f>
        <v/>
      </c>
      <c r="E196" s="2" t="str">
        <f>IFERROR(VLOOKUP(C196,'Catálogo Productos'!$B$3:$E$53,3,0),"")</f>
        <v/>
      </c>
      <c r="F196" s="2" t="str">
        <f>IFERROR(VLOOKUP(C196,'Catálogo Productos'!$B$3:$E$53,4,0),"")</f>
        <v/>
      </c>
      <c r="G196" s="2" t="str">
        <f>IF(F196="","",IF(I196="SÍ",F196*'Configuración'!$C$5,0))</f>
        <v/>
      </c>
      <c r="H196" s="2"/>
      <c r="I196" s="2"/>
      <c r="J196" s="2" t="str">
        <f>IF(F196="","",IF(H196="SÍ",'Configuración'!$C$6,0))</f>
        <v/>
      </c>
      <c r="K196" s="2" t="str">
        <f t="shared" si="6"/>
        <v/>
      </c>
      <c r="L196" s="2" t="str">
        <f t="shared" si="7"/>
        <v/>
      </c>
      <c r="M196" s="2" t="str">
        <f t="shared" si="8"/>
        <v/>
      </c>
      <c r="N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2">
        <v>193.0</v>
      </c>
      <c r="B197" s="2"/>
      <c r="C197" s="2"/>
      <c r="D197" s="2" t="str">
        <f>IFERROR(VLOOKUP(C197,'Catálogo Productos'!$B$3:$E$53,2,0),"")</f>
        <v/>
      </c>
      <c r="E197" s="2" t="str">
        <f>IFERROR(VLOOKUP(C197,'Catálogo Productos'!$B$3:$E$53,3,0),"")</f>
        <v/>
      </c>
      <c r="F197" s="2" t="str">
        <f>IFERROR(VLOOKUP(C197,'Catálogo Productos'!$B$3:$E$53,4,0),"")</f>
        <v/>
      </c>
      <c r="G197" s="2" t="str">
        <f>IF(F197="","",IF(I197="SÍ",F197*'Configuración'!$C$5,0))</f>
        <v/>
      </c>
      <c r="H197" s="2"/>
      <c r="I197" s="2"/>
      <c r="J197" s="2" t="str">
        <f>IF(F197="","",IF(H197="SÍ",'Configuración'!$C$6,0))</f>
        <v/>
      </c>
      <c r="K197" s="2" t="str">
        <f t="shared" si="6"/>
        <v/>
      </c>
      <c r="L197" s="2" t="str">
        <f t="shared" si="7"/>
        <v/>
      </c>
      <c r="M197" s="2" t="str">
        <f t="shared" si="8"/>
        <v/>
      </c>
      <c r="N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2">
        <v>194.0</v>
      </c>
      <c r="B198" s="2"/>
      <c r="C198" s="2"/>
      <c r="D198" s="2" t="str">
        <f>IFERROR(VLOOKUP(C198,'Catálogo Productos'!$B$3:$E$53,2,0),"")</f>
        <v/>
      </c>
      <c r="E198" s="2" t="str">
        <f>IFERROR(VLOOKUP(C198,'Catálogo Productos'!$B$3:$E$53,3,0),"")</f>
        <v/>
      </c>
      <c r="F198" s="2" t="str">
        <f>IFERROR(VLOOKUP(C198,'Catálogo Productos'!$B$3:$E$53,4,0),"")</f>
        <v/>
      </c>
      <c r="G198" s="2" t="str">
        <f>IF(F198="","",IF(I198="SÍ",F198*'Configuración'!$C$5,0))</f>
        <v/>
      </c>
      <c r="H198" s="2"/>
      <c r="I198" s="2"/>
      <c r="J198" s="2" t="str">
        <f>IF(F198="","",IF(H198="SÍ",'Configuración'!$C$6,0))</f>
        <v/>
      </c>
      <c r="K198" s="2" t="str">
        <f t="shared" si="6"/>
        <v/>
      </c>
      <c r="L198" s="2" t="str">
        <f t="shared" si="7"/>
        <v/>
      </c>
      <c r="M198" s="2" t="str">
        <f t="shared" si="8"/>
        <v/>
      </c>
      <c r="N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2">
        <v>195.0</v>
      </c>
      <c r="B199" s="2"/>
      <c r="C199" s="2"/>
      <c r="D199" s="2" t="str">
        <f>IFERROR(VLOOKUP(C199,'Catálogo Productos'!$B$3:$E$53,2,0),"")</f>
        <v/>
      </c>
      <c r="E199" s="2" t="str">
        <f>IFERROR(VLOOKUP(C199,'Catálogo Productos'!$B$3:$E$53,3,0),"")</f>
        <v/>
      </c>
      <c r="F199" s="2" t="str">
        <f>IFERROR(VLOOKUP(C199,'Catálogo Productos'!$B$3:$E$53,4,0),"")</f>
        <v/>
      </c>
      <c r="G199" s="2" t="str">
        <f>IF(F199="","",IF(I199="SÍ",F199*'Configuración'!$C$5,0))</f>
        <v/>
      </c>
      <c r="H199" s="2"/>
      <c r="I199" s="2"/>
      <c r="J199" s="2" t="str">
        <f>IF(F199="","",IF(H199="SÍ",'Configuración'!$C$6,0))</f>
        <v/>
      </c>
      <c r="K199" s="2" t="str">
        <f t="shared" si="6"/>
        <v/>
      </c>
      <c r="L199" s="2" t="str">
        <f t="shared" si="7"/>
        <v/>
      </c>
      <c r="M199" s="2" t="str">
        <f t="shared" si="8"/>
        <v/>
      </c>
      <c r="N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2">
        <v>196.0</v>
      </c>
      <c r="B200" s="2"/>
      <c r="C200" s="2"/>
      <c r="D200" s="2" t="str">
        <f>IFERROR(VLOOKUP(C200,'Catálogo Productos'!$B$3:$E$53,2,0),"")</f>
        <v/>
      </c>
      <c r="E200" s="2" t="str">
        <f>IFERROR(VLOOKUP(C200,'Catálogo Productos'!$B$3:$E$53,3,0),"")</f>
        <v/>
      </c>
      <c r="F200" s="2" t="str">
        <f>IFERROR(VLOOKUP(C200,'Catálogo Productos'!$B$3:$E$53,4,0),"")</f>
        <v/>
      </c>
      <c r="G200" s="2" t="str">
        <f>IF(F200="","",IF(I200="SÍ",F200*'Configuración'!$C$5,0))</f>
        <v/>
      </c>
      <c r="H200" s="2"/>
      <c r="I200" s="2"/>
      <c r="J200" s="2" t="str">
        <f>IF(F200="","",IF(H200="SÍ",'Configuración'!$C$6,0))</f>
        <v/>
      </c>
      <c r="K200" s="2" t="str">
        <f t="shared" si="6"/>
        <v/>
      </c>
      <c r="L200" s="2" t="str">
        <f t="shared" si="7"/>
        <v/>
      </c>
      <c r="M200" s="2" t="str">
        <f t="shared" si="8"/>
        <v/>
      </c>
      <c r="N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2">
        <v>197.0</v>
      </c>
      <c r="B201" s="2"/>
      <c r="C201" s="2"/>
      <c r="D201" s="2" t="str">
        <f>IFERROR(VLOOKUP(C201,'Catálogo Productos'!$B$3:$E$53,2,0),"")</f>
        <v/>
      </c>
      <c r="E201" s="2" t="str">
        <f>IFERROR(VLOOKUP(C201,'Catálogo Productos'!$B$3:$E$53,3,0),"")</f>
        <v/>
      </c>
      <c r="F201" s="2" t="str">
        <f>IFERROR(VLOOKUP(C201,'Catálogo Productos'!$B$3:$E$53,4,0),"")</f>
        <v/>
      </c>
      <c r="G201" s="2" t="str">
        <f>IF(F201="","",IF(I201="SÍ",F201*'Configuración'!$C$5,0))</f>
        <v/>
      </c>
      <c r="H201" s="2"/>
      <c r="I201" s="2"/>
      <c r="J201" s="2" t="str">
        <f>IF(F201="","",IF(H201="SÍ",'Configuración'!$C$6,0))</f>
        <v/>
      </c>
      <c r="K201" s="2" t="str">
        <f t="shared" si="6"/>
        <v/>
      </c>
      <c r="L201" s="2" t="str">
        <f t="shared" si="7"/>
        <v/>
      </c>
      <c r="M201" s="2" t="str">
        <f t="shared" si="8"/>
        <v/>
      </c>
      <c r="N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2">
        <v>198.0</v>
      </c>
      <c r="B202" s="2"/>
      <c r="C202" s="2"/>
      <c r="D202" s="2" t="str">
        <f>IFERROR(VLOOKUP(C202,'Catálogo Productos'!$B$3:$E$53,2,0),"")</f>
        <v/>
      </c>
      <c r="E202" s="2" t="str">
        <f>IFERROR(VLOOKUP(C202,'Catálogo Productos'!$B$3:$E$53,3,0),"")</f>
        <v/>
      </c>
      <c r="F202" s="2" t="str">
        <f>IFERROR(VLOOKUP(C202,'Catálogo Productos'!$B$3:$E$53,4,0),"")</f>
        <v/>
      </c>
      <c r="G202" s="2" t="str">
        <f>IF(F202="","",IF(I202="SÍ",F202*'Configuración'!$C$5,0))</f>
        <v/>
      </c>
      <c r="H202" s="2"/>
      <c r="I202" s="2"/>
      <c r="J202" s="2" t="str">
        <f>IF(F202="","",IF(H202="SÍ",'Configuración'!$C$6,0))</f>
        <v/>
      </c>
      <c r="K202" s="2" t="str">
        <f t="shared" si="6"/>
        <v/>
      </c>
      <c r="L202" s="2" t="str">
        <f t="shared" si="7"/>
        <v/>
      </c>
      <c r="M202" s="2" t="str">
        <f t="shared" si="8"/>
        <v/>
      </c>
      <c r="N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2">
        <v>199.0</v>
      </c>
      <c r="B203" s="2"/>
      <c r="C203" s="2"/>
      <c r="D203" s="2" t="str">
        <f>IFERROR(VLOOKUP(C203,'Catálogo Productos'!$B$3:$E$53,2,0),"")</f>
        <v/>
      </c>
      <c r="E203" s="2" t="str">
        <f>IFERROR(VLOOKUP(C203,'Catálogo Productos'!$B$3:$E$53,3,0),"")</f>
        <v/>
      </c>
      <c r="F203" s="2" t="str">
        <f>IFERROR(VLOOKUP(C203,'Catálogo Productos'!$B$3:$E$53,4,0),"")</f>
        <v/>
      </c>
      <c r="G203" s="2" t="str">
        <f>IF(F203="","",IF(I203="SÍ",F203*'Configuración'!$C$5,0))</f>
        <v/>
      </c>
      <c r="H203" s="2"/>
      <c r="I203" s="2"/>
      <c r="J203" s="2" t="str">
        <f>IF(F203="","",IF(H203="SÍ",'Configuración'!$C$6,0))</f>
        <v/>
      </c>
      <c r="K203" s="2" t="str">
        <f t="shared" si="6"/>
        <v/>
      </c>
      <c r="L203" s="2" t="str">
        <f t="shared" si="7"/>
        <v/>
      </c>
      <c r="M203" s="2" t="str">
        <f t="shared" si="8"/>
        <v/>
      </c>
      <c r="N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2">
        <v>200.0</v>
      </c>
      <c r="B204" s="2"/>
      <c r="C204" s="2"/>
      <c r="D204" s="2" t="str">
        <f>IFERROR(VLOOKUP(C204,'Catálogo Productos'!$B$3:$E$53,2,0),"")</f>
        <v/>
      </c>
      <c r="E204" s="2" t="str">
        <f>IFERROR(VLOOKUP(C204,'Catálogo Productos'!$B$3:$E$53,3,0),"")</f>
        <v/>
      </c>
      <c r="F204" s="2" t="str">
        <f>IFERROR(VLOOKUP(C204,'Catálogo Productos'!$B$3:$E$53,4,0),"")</f>
        <v/>
      </c>
      <c r="G204" s="2" t="str">
        <f>IF(F204="","",IF(I204="SÍ",F204*'Configuración'!$C$5,0))</f>
        <v/>
      </c>
      <c r="H204" s="2"/>
      <c r="I204" s="2"/>
      <c r="J204" s="2" t="str">
        <f>IF(F204="","",IF(H204="SÍ",'Configuración'!$C$6,0))</f>
        <v/>
      </c>
      <c r="K204" s="2" t="str">
        <f t="shared" si="6"/>
        <v/>
      </c>
      <c r="L204" s="2" t="str">
        <f t="shared" si="7"/>
        <v/>
      </c>
      <c r="M204" s="2" t="str">
        <f t="shared" si="8"/>
        <v/>
      </c>
      <c r="N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</row>
  </sheetData>
  <mergeCells count="3">
    <mergeCell ref="A1:P1"/>
    <mergeCell ref="A2:P2"/>
    <mergeCell ref="A64:D64"/>
  </mergeCells>
  <dataValidations>
    <dataValidation type="list" allowBlank="1" showErrorMessage="1" sqref="H5:H204">
      <formula1>"SÍ,No"</formula1>
    </dataValidation>
    <dataValidation type="list" allowBlank="1" showInputMessage="1" showErrorMessage="1" prompt="Valor inválido - Selecciona SÍ o NO" sqref="I5:I204">
      <formula1>"SÍ,NO"</formula1>
    </dataValidation>
    <dataValidation type="list" allowBlank="1" showInputMessage="1" showErrorMessage="1" prompt="Producto inválido - Selecciona un producto del catálogo" sqref="C5:C63 C65:C204">
      <formula1>ListaProductos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AE60"/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35.0"/>
    <col customWidth="1" min="3" max="3" width="18.0"/>
    <col customWidth="1" min="4" max="4" width="12.0"/>
    <col customWidth="1" min="5" max="5" width="35.0"/>
    <col customWidth="1" min="6" max="6" width="8.71"/>
  </cols>
  <sheetData>
    <row r="1" ht="39.75" customHeight="1">
      <c r="A1" s="8" t="s">
        <v>159</v>
      </c>
      <c r="B1" s="9"/>
      <c r="C1" s="9"/>
      <c r="D1" s="9"/>
      <c r="E1" s="10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32" t="str">
        <f>'Configuración'!C20&amp;" "&amp;'Configuración'!C21</f>
        <v>Abril 2026</v>
      </c>
      <c r="B2" s="9"/>
      <c r="C2" s="9"/>
      <c r="D2" s="9"/>
      <c r="E2" s="10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A4" s="11" t="s">
        <v>114</v>
      </c>
      <c r="B4" s="9"/>
      <c r="C4" s="9"/>
      <c r="D4" s="9"/>
      <c r="E4" s="10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0" customHeight="1">
      <c r="A6" s="2"/>
      <c r="B6" s="15" t="s">
        <v>115</v>
      </c>
      <c r="C6" s="56">
        <f>'Marzo 2026 - Ventas'!F64</f>
        <v>436.09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2"/>
      <c r="B7" s="15" t="s">
        <v>116</v>
      </c>
      <c r="C7" s="56">
        <f>'Marzo 2026 - Ventas'!G64</f>
        <v>44.7293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0" customHeight="1">
      <c r="A8" s="2"/>
      <c r="B8" s="15" t="s">
        <v>117</v>
      </c>
      <c r="C8" s="56">
        <f>'Marzo 2026 - Ventas'!J64</f>
        <v>70.2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2"/>
      <c r="B9" s="15" t="s">
        <v>118</v>
      </c>
      <c r="C9" s="56">
        <f>'Marzo 2026 - Ventas'!K64</f>
        <v>321.1607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2"/>
      <c r="B10" s="15" t="s">
        <v>119</v>
      </c>
      <c r="C10" s="56">
        <f>'Marzo 2026 - Ventas'!E64</f>
        <v>76.72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2"/>
      <c r="B11" s="97" t="s">
        <v>120</v>
      </c>
      <c r="C11" s="98">
        <f>'Marzo 2026 - Ventas'!L64</f>
        <v>230.4507</v>
      </c>
      <c r="D11" s="99"/>
      <c r="E11" s="99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0" customHeight="1">
      <c r="A13" s="100" t="s">
        <v>121</v>
      </c>
      <c r="B13" s="9"/>
      <c r="C13" s="9"/>
      <c r="D13" s="9"/>
      <c r="E13" s="10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0" customHeight="1">
      <c r="A15" s="2"/>
      <c r="B15" s="15" t="s">
        <v>122</v>
      </c>
      <c r="C15" s="56">
        <f>C9</f>
        <v>321.1607</v>
      </c>
      <c r="D15" s="2"/>
      <c r="E15" s="101" t="s">
        <v>123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0" customHeight="1">
      <c r="A16" s="2"/>
      <c r="B16" s="15" t="s">
        <v>124</v>
      </c>
      <c r="C16" s="56">
        <f>C11</f>
        <v>230.4507</v>
      </c>
      <c r="D16" s="2"/>
      <c r="E16" s="101" t="s">
        <v>125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0" customHeight="1">
      <c r="A17" s="2"/>
      <c r="B17" s="15" t="s">
        <v>126</v>
      </c>
      <c r="C17" s="56">
        <f>C10</f>
        <v>76.72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0" customHeight="1">
      <c r="A18" s="2"/>
      <c r="B18" s="102" t="s">
        <v>127</v>
      </c>
      <c r="C18" s="103">
        <f>C15-C10</f>
        <v>244.4407</v>
      </c>
      <c r="D18" s="104"/>
      <c r="E18" s="10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0" customHeight="1">
      <c r="A19" s="2"/>
      <c r="B19" s="105"/>
      <c r="C19" s="106"/>
      <c r="D19" s="2"/>
      <c r="E19" s="107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0" customHeight="1">
      <c r="A21" s="108" t="s">
        <v>128</v>
      </c>
      <c r="B21" s="9"/>
      <c r="C21" s="9"/>
      <c r="D21" s="9"/>
      <c r="E21" s="10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0" customHeight="1">
      <c r="A23" s="2"/>
      <c r="B23" s="15" t="s">
        <v>129</v>
      </c>
      <c r="C23" s="56">
        <f>C18</f>
        <v>244.4407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0" customHeight="1">
      <c r="A24" s="2"/>
      <c r="B24" s="15" t="s">
        <v>130</v>
      </c>
      <c r="C24" s="56">
        <f>IF(C23&gt;0,C23*'Configuración'!$C$14,0)</f>
        <v>171.10849</v>
      </c>
      <c r="D24" s="109">
        <f>'Configuración'!$C$14</f>
        <v>0.7</v>
      </c>
      <c r="E24" s="17" t="s">
        <v>131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0" customHeight="1">
      <c r="A25" s="2"/>
      <c r="B25" s="15" t="s">
        <v>132</v>
      </c>
      <c r="C25" s="56">
        <f>IF(C23&gt;0,C23*'Configuración'!$C$15,0)</f>
        <v>73.33221</v>
      </c>
      <c r="D25" s="109">
        <f>'Configuración'!$C$15</f>
        <v>0.3</v>
      </c>
      <c r="E25" s="17" t="s">
        <v>133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0" customHeight="1">
      <c r="A27" s="110" t="s">
        <v>134</v>
      </c>
      <c r="B27" s="9"/>
      <c r="C27" s="9"/>
      <c r="D27" s="9"/>
      <c r="E27" s="10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0" customHeight="1">
      <c r="A29" s="2"/>
      <c r="B29" s="15" t="s">
        <v>135</v>
      </c>
      <c r="C29" s="111">
        <f>'Marzo 2026 - Ventas'!C66</f>
        <v>60</v>
      </c>
      <c r="D29" s="2"/>
      <c r="E29" s="101" t="s">
        <v>136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0" customHeight="1">
      <c r="A30" s="2"/>
      <c r="B30" s="15" t="s">
        <v>137</v>
      </c>
      <c r="C30" s="56">
        <f>IF(C29&gt;0,C6/C29,0)</f>
        <v>7.268166667</v>
      </c>
      <c r="D30" s="2"/>
      <c r="E30" s="101" t="s">
        <v>138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0" customHeight="1">
      <c r="A31" s="2"/>
      <c r="B31" s="15" t="s">
        <v>139</v>
      </c>
      <c r="C31" s="56">
        <f>IF(C29&gt;0,C18/C29,0)</f>
        <v>4.074011667</v>
      </c>
      <c r="D31" s="2"/>
      <c r="E31" s="101" t="s">
        <v>140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0" customHeight="1">
      <c r="A32" s="2"/>
      <c r="B32" s="15" t="s">
        <v>141</v>
      </c>
      <c r="C32" s="112">
        <f>IF(C9=0,0,C18/C9)</f>
        <v>0.7611164753</v>
      </c>
      <c r="D32" s="2"/>
      <c r="E32" s="101" t="s">
        <v>142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3.25" customHeight="1">
      <c r="A33" s="2"/>
      <c r="B33" s="15" t="s">
        <v>143</v>
      </c>
      <c r="C33" s="56">
        <f>'Marzo 2026 - Ventas'!G64+'Marzo 2026 - Ventas'!J64</f>
        <v>114.9293</v>
      </c>
      <c r="D33" s="2"/>
      <c r="E33" s="101" t="s">
        <v>144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0" customHeight="1">
      <c r="A34" s="2"/>
      <c r="B34" s="15" t="s">
        <v>145</v>
      </c>
      <c r="C34" s="112">
        <f>IF(C10=0,0,C18/C10)</f>
        <v>3.186140511</v>
      </c>
      <c r="D34" s="2"/>
      <c r="E34" s="101" t="s">
        <v>146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0" customHeight="1">
      <c r="A36" s="110" t="s">
        <v>147</v>
      </c>
      <c r="B36" s="9"/>
      <c r="C36" s="9"/>
      <c r="D36" s="9"/>
      <c r="E36" s="10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0" customHeight="1">
      <c r="A38" s="2"/>
      <c r="B38" s="15" t="s">
        <v>148</v>
      </c>
      <c r="C38" s="113" t="str">
        <f>IF(C29=0,"—",IF(C18&gt;0,"✅ SÍ","❌ NO"))</f>
        <v>✅ SÍ</v>
      </c>
      <c r="D38" s="2"/>
      <c r="E38" s="101" t="s">
        <v>149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0" customHeight="1">
      <c r="A39" s="2"/>
      <c r="B39" s="15" t="s">
        <v>150</v>
      </c>
      <c r="C39" s="113" t="str">
        <f>IF(C29=0,"—",IF(C24&gt;0,"✅ SÍ","❌ NO"))</f>
        <v>✅ SÍ</v>
      </c>
      <c r="D39" s="2"/>
      <c r="E39" s="101" t="s">
        <v>151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0" customHeight="1">
      <c r="A40" s="2"/>
      <c r="B40" s="15" t="s">
        <v>152</v>
      </c>
      <c r="C40" s="113" t="str">
        <f>IF(C29=0,"—",IF(C25&gt;0,"✅ SÍ","❌ NO"))</f>
        <v>✅ SÍ</v>
      </c>
      <c r="D40" s="2"/>
      <c r="E40" s="101" t="s">
        <v>153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0" customHeight="1">
      <c r="A41" s="2"/>
      <c r="B41" s="15" t="s">
        <v>154</v>
      </c>
      <c r="C41" s="113" t="str">
        <f>IF(C29&gt;=50,"✅ SÍ — ¡Baja tu tarifa de envío!","❌ NO — Aún no")</f>
        <v>✅ SÍ — ¡Baja tu tarifa de envío!</v>
      </c>
      <c r="D41" s="2"/>
      <c r="E41" s="101" t="s">
        <v>155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7"/>
      <c r="B242" s="7"/>
      <c r="C242" s="7"/>
      <c r="D242" s="7"/>
      <c r="E242" s="7"/>
      <c r="F242" s="7"/>
    </row>
    <row r="243" ht="15.75" customHeight="1">
      <c r="A243" s="7"/>
      <c r="B243" s="7"/>
      <c r="C243" s="7"/>
      <c r="D243" s="7"/>
      <c r="E243" s="7"/>
      <c r="F243" s="7"/>
    </row>
    <row r="244" ht="15.75" customHeight="1">
      <c r="A244" s="7"/>
      <c r="B244" s="7"/>
      <c r="C244" s="7"/>
      <c r="D244" s="7"/>
      <c r="E244" s="7"/>
      <c r="F244" s="7"/>
    </row>
    <row r="245" ht="15.75" customHeight="1">
      <c r="A245" s="7"/>
      <c r="B245" s="7"/>
      <c r="C245" s="7"/>
      <c r="D245" s="7"/>
      <c r="E245" s="7"/>
      <c r="F245" s="7"/>
    </row>
    <row r="246" ht="15.75" customHeight="1">
      <c r="A246" s="7"/>
      <c r="B246" s="7"/>
      <c r="C246" s="7"/>
      <c r="D246" s="7"/>
      <c r="E246" s="7"/>
      <c r="F246" s="7"/>
    </row>
    <row r="247" ht="15.75" customHeight="1">
      <c r="A247" s="7"/>
      <c r="B247" s="7"/>
      <c r="C247" s="7"/>
      <c r="D247" s="7"/>
      <c r="E247" s="7"/>
      <c r="F247" s="7"/>
    </row>
    <row r="248" ht="15.75" customHeight="1">
      <c r="A248" s="7"/>
      <c r="B248" s="7"/>
      <c r="C248" s="7"/>
      <c r="D248" s="7"/>
      <c r="E248" s="7"/>
      <c r="F248" s="7"/>
    </row>
    <row r="249" ht="15.75" customHeight="1">
      <c r="A249" s="7"/>
      <c r="B249" s="7"/>
      <c r="C249" s="7"/>
      <c r="D249" s="7"/>
      <c r="E249" s="7"/>
      <c r="F249" s="7"/>
    </row>
    <row r="250" ht="15.75" customHeight="1">
      <c r="A250" s="7"/>
      <c r="B250" s="7"/>
      <c r="C250" s="7"/>
      <c r="D250" s="7"/>
      <c r="E250" s="7"/>
      <c r="F250" s="7"/>
    </row>
    <row r="251" ht="15.75" customHeight="1">
      <c r="A251" s="7"/>
      <c r="B251" s="7"/>
      <c r="C251" s="7"/>
      <c r="D251" s="7"/>
      <c r="E251" s="7"/>
      <c r="F251" s="7"/>
    </row>
    <row r="252" ht="15.75" customHeight="1">
      <c r="A252" s="7"/>
      <c r="B252" s="7"/>
      <c r="C252" s="7"/>
      <c r="D252" s="7"/>
      <c r="E252" s="7"/>
      <c r="F252" s="7"/>
    </row>
    <row r="253" ht="15.75" customHeight="1">
      <c r="A253" s="7"/>
      <c r="B253" s="7"/>
      <c r="C253" s="7"/>
      <c r="D253" s="7"/>
      <c r="E253" s="7"/>
      <c r="F253" s="7"/>
    </row>
    <row r="254" ht="15.75" customHeight="1">
      <c r="A254" s="7"/>
      <c r="B254" s="7"/>
      <c r="C254" s="7"/>
      <c r="D254" s="7"/>
      <c r="E254" s="7"/>
      <c r="F254" s="7"/>
    </row>
    <row r="255" ht="15.75" customHeight="1">
      <c r="A255" s="7"/>
      <c r="B255" s="7"/>
      <c r="C255" s="7"/>
      <c r="D255" s="7"/>
      <c r="E255" s="7"/>
      <c r="F255" s="7"/>
    </row>
    <row r="256" ht="15.75" customHeight="1">
      <c r="A256" s="7"/>
      <c r="B256" s="7"/>
      <c r="C256" s="7"/>
      <c r="D256" s="7"/>
      <c r="E256" s="7"/>
      <c r="F256" s="7"/>
    </row>
    <row r="257" ht="15.75" customHeight="1">
      <c r="A257" s="7"/>
      <c r="B257" s="7"/>
      <c r="C257" s="7"/>
      <c r="D257" s="7"/>
      <c r="E257" s="7"/>
      <c r="F257" s="7"/>
    </row>
    <row r="258" ht="15.75" customHeight="1">
      <c r="A258" s="7"/>
      <c r="B258" s="7"/>
      <c r="C258" s="7"/>
      <c r="D258" s="7"/>
      <c r="E258" s="7"/>
      <c r="F258" s="7"/>
    </row>
    <row r="259" ht="15.75" customHeight="1">
      <c r="A259" s="7"/>
      <c r="B259" s="7"/>
      <c r="C259" s="7"/>
      <c r="D259" s="7"/>
      <c r="E259" s="7"/>
      <c r="F259" s="7"/>
    </row>
    <row r="260" ht="15.75" customHeight="1">
      <c r="A260" s="7"/>
      <c r="B260" s="7"/>
      <c r="C260" s="7"/>
      <c r="D260" s="7"/>
      <c r="E260" s="7"/>
      <c r="F260" s="7"/>
    </row>
    <row r="261" ht="15.75" customHeight="1">
      <c r="A261" s="7"/>
      <c r="B261" s="7"/>
      <c r="C261" s="7"/>
      <c r="D261" s="7"/>
      <c r="E261" s="7"/>
      <c r="F261" s="7"/>
    </row>
    <row r="262" ht="15.75" customHeight="1">
      <c r="A262" s="7"/>
      <c r="B262" s="7"/>
      <c r="C262" s="7"/>
      <c r="D262" s="7"/>
      <c r="E262" s="7"/>
      <c r="F262" s="7"/>
    </row>
    <row r="263" ht="15.75" customHeight="1">
      <c r="A263" s="7"/>
      <c r="B263" s="7"/>
      <c r="C263" s="7"/>
      <c r="D263" s="7"/>
      <c r="E263" s="7"/>
      <c r="F263" s="7"/>
    </row>
    <row r="264" ht="15.75" customHeight="1">
      <c r="A264" s="7"/>
      <c r="B264" s="7"/>
      <c r="C264" s="7"/>
      <c r="D264" s="7"/>
      <c r="E264" s="7"/>
      <c r="F264" s="7"/>
    </row>
    <row r="265" ht="15.75" customHeight="1">
      <c r="A265" s="7"/>
      <c r="B265" s="7"/>
      <c r="C265" s="7"/>
      <c r="D265" s="7"/>
      <c r="E265" s="7"/>
      <c r="F265" s="7"/>
    </row>
    <row r="266" ht="15.75" customHeight="1">
      <c r="A266" s="7"/>
      <c r="B266" s="7"/>
      <c r="C266" s="7"/>
      <c r="D266" s="7"/>
      <c r="E266" s="7"/>
      <c r="F266" s="7"/>
    </row>
    <row r="267" ht="15.75" customHeight="1">
      <c r="A267" s="7"/>
      <c r="B267" s="7"/>
      <c r="C267" s="7"/>
      <c r="D267" s="7"/>
      <c r="E267" s="7"/>
      <c r="F267" s="7"/>
    </row>
    <row r="268" ht="15.75" customHeight="1">
      <c r="A268" s="7"/>
      <c r="B268" s="7"/>
      <c r="C268" s="7"/>
      <c r="D268" s="7"/>
      <c r="E268" s="7"/>
      <c r="F268" s="7"/>
    </row>
    <row r="269" ht="15.75" customHeight="1">
      <c r="A269" s="7"/>
      <c r="B269" s="7"/>
      <c r="C269" s="7"/>
      <c r="D269" s="7"/>
      <c r="E269" s="7"/>
      <c r="F269" s="7"/>
    </row>
    <row r="270" ht="15.75" customHeight="1">
      <c r="A270" s="7"/>
      <c r="B270" s="7"/>
      <c r="C270" s="7"/>
      <c r="D270" s="7"/>
      <c r="E270" s="7"/>
      <c r="F270" s="7"/>
    </row>
    <row r="271" ht="15.75" customHeight="1">
      <c r="A271" s="7"/>
      <c r="B271" s="7"/>
      <c r="C271" s="7"/>
      <c r="D271" s="7"/>
      <c r="E271" s="7"/>
      <c r="F271" s="7"/>
    </row>
    <row r="272" ht="15.75" customHeight="1">
      <c r="A272" s="7"/>
      <c r="B272" s="7"/>
      <c r="C272" s="7"/>
      <c r="D272" s="7"/>
      <c r="E272" s="7"/>
      <c r="F272" s="7"/>
    </row>
    <row r="273" ht="15.75" customHeight="1">
      <c r="A273" s="7"/>
      <c r="B273" s="7"/>
      <c r="C273" s="7"/>
      <c r="D273" s="7"/>
      <c r="E273" s="7"/>
      <c r="F273" s="7"/>
    </row>
    <row r="274" ht="15.75" customHeight="1">
      <c r="A274" s="7"/>
      <c r="B274" s="7"/>
      <c r="C274" s="7"/>
      <c r="D274" s="7"/>
      <c r="E274" s="7"/>
      <c r="F274" s="7"/>
    </row>
    <row r="275" ht="15.75" customHeight="1">
      <c r="A275" s="7"/>
      <c r="B275" s="7"/>
      <c r="C275" s="7"/>
      <c r="D275" s="7"/>
      <c r="E275" s="7"/>
      <c r="F275" s="7"/>
    </row>
    <row r="276" ht="15.75" customHeight="1">
      <c r="A276" s="7"/>
      <c r="B276" s="7"/>
      <c r="C276" s="7"/>
      <c r="D276" s="7"/>
      <c r="E276" s="7"/>
      <c r="F276" s="7"/>
    </row>
    <row r="277" ht="15.75" customHeight="1">
      <c r="A277" s="7"/>
      <c r="B277" s="7"/>
      <c r="C277" s="7"/>
      <c r="D277" s="7"/>
      <c r="E277" s="7"/>
      <c r="F277" s="7"/>
    </row>
    <row r="278" ht="15.75" customHeight="1">
      <c r="A278" s="7"/>
      <c r="B278" s="7"/>
      <c r="C278" s="7"/>
      <c r="D278" s="7"/>
      <c r="E278" s="7"/>
      <c r="F278" s="7"/>
    </row>
    <row r="279" ht="15.75" customHeight="1">
      <c r="A279" s="7"/>
      <c r="B279" s="7"/>
      <c r="C279" s="7"/>
      <c r="D279" s="7"/>
      <c r="E279" s="7"/>
      <c r="F279" s="7"/>
    </row>
    <row r="280" ht="15.75" customHeight="1">
      <c r="A280" s="7"/>
      <c r="B280" s="7"/>
      <c r="C280" s="7"/>
      <c r="D280" s="7"/>
      <c r="E280" s="7"/>
      <c r="F280" s="7"/>
    </row>
    <row r="281" ht="15.75" customHeight="1">
      <c r="A281" s="7"/>
      <c r="B281" s="7"/>
      <c r="C281" s="7"/>
      <c r="D281" s="7"/>
      <c r="E281" s="7"/>
      <c r="F281" s="7"/>
    </row>
    <row r="282" ht="15.75" customHeight="1">
      <c r="A282" s="7"/>
      <c r="B282" s="7"/>
      <c r="C282" s="7"/>
      <c r="D282" s="7"/>
      <c r="E282" s="7"/>
      <c r="F282" s="7"/>
    </row>
    <row r="283" ht="15.75" customHeight="1">
      <c r="A283" s="7"/>
      <c r="B283" s="7"/>
      <c r="C283" s="7"/>
      <c r="D283" s="7"/>
      <c r="E283" s="7"/>
      <c r="F283" s="7"/>
    </row>
    <row r="284" ht="15.75" customHeight="1">
      <c r="A284" s="7"/>
      <c r="B284" s="7"/>
      <c r="C284" s="7"/>
      <c r="D284" s="7"/>
      <c r="E284" s="7"/>
      <c r="F284" s="7"/>
    </row>
    <row r="285" ht="15.75" customHeight="1">
      <c r="A285" s="7"/>
      <c r="B285" s="7"/>
      <c r="C285" s="7"/>
      <c r="D285" s="7"/>
      <c r="E285" s="7"/>
      <c r="F285" s="7"/>
    </row>
    <row r="286" ht="15.75" customHeight="1">
      <c r="A286" s="7"/>
      <c r="B286" s="7"/>
      <c r="C286" s="7"/>
      <c r="D286" s="7"/>
      <c r="E286" s="7"/>
      <c r="F286" s="7"/>
    </row>
    <row r="287" ht="15.75" customHeight="1">
      <c r="A287" s="7"/>
      <c r="B287" s="7"/>
      <c r="C287" s="7"/>
      <c r="D287" s="7"/>
      <c r="E287" s="7"/>
      <c r="F287" s="7"/>
    </row>
    <row r="288" ht="15.75" customHeight="1">
      <c r="A288" s="7"/>
      <c r="B288" s="7"/>
      <c r="C288" s="7"/>
      <c r="D288" s="7"/>
      <c r="E288" s="7"/>
      <c r="F288" s="7"/>
    </row>
    <row r="289" ht="15.75" customHeight="1">
      <c r="A289" s="7"/>
      <c r="B289" s="7"/>
      <c r="C289" s="7"/>
      <c r="D289" s="7"/>
      <c r="E289" s="7"/>
      <c r="F289" s="7"/>
    </row>
    <row r="290" ht="15.75" customHeight="1">
      <c r="A290" s="7"/>
      <c r="B290" s="7"/>
      <c r="C290" s="7"/>
      <c r="D290" s="7"/>
      <c r="E290" s="7"/>
      <c r="F290" s="7"/>
    </row>
    <row r="291" ht="15.75" customHeight="1">
      <c r="A291" s="7"/>
      <c r="B291" s="7"/>
      <c r="C291" s="7"/>
      <c r="D291" s="7"/>
      <c r="E291" s="7"/>
      <c r="F291" s="7"/>
    </row>
    <row r="292" ht="15.75" customHeight="1">
      <c r="A292" s="7"/>
      <c r="B292" s="7"/>
      <c r="C292" s="7"/>
      <c r="D292" s="7"/>
      <c r="E292" s="7"/>
      <c r="F292" s="7"/>
    </row>
    <row r="293" ht="15.75" customHeight="1">
      <c r="A293" s="7"/>
      <c r="B293" s="7"/>
      <c r="C293" s="7"/>
      <c r="D293" s="7"/>
      <c r="E293" s="7"/>
      <c r="F293" s="7"/>
    </row>
    <row r="294" ht="15.75" customHeight="1">
      <c r="A294" s="7"/>
      <c r="B294" s="7"/>
      <c r="C294" s="7"/>
      <c r="D294" s="7"/>
      <c r="E294" s="7"/>
      <c r="F294" s="7"/>
    </row>
    <row r="295" ht="15.75" customHeight="1">
      <c r="A295" s="7"/>
      <c r="B295" s="7"/>
      <c r="C295" s="7"/>
      <c r="D295" s="7"/>
      <c r="E295" s="7"/>
      <c r="F295" s="7"/>
    </row>
    <row r="296" ht="15.75" customHeight="1">
      <c r="A296" s="7"/>
      <c r="B296" s="7"/>
      <c r="C296" s="7"/>
      <c r="D296" s="7"/>
      <c r="E296" s="7"/>
      <c r="F296" s="7"/>
    </row>
    <row r="297" ht="15.75" customHeight="1">
      <c r="A297" s="7"/>
      <c r="B297" s="7"/>
      <c r="C297" s="7"/>
      <c r="D297" s="7"/>
      <c r="E297" s="7"/>
      <c r="F297" s="7"/>
    </row>
    <row r="298" ht="15.75" customHeight="1">
      <c r="A298" s="7"/>
      <c r="B298" s="7"/>
      <c r="C298" s="7"/>
      <c r="D298" s="7"/>
      <c r="E298" s="7"/>
      <c r="F298" s="7"/>
    </row>
    <row r="299" ht="15.75" customHeight="1">
      <c r="A299" s="7"/>
      <c r="B299" s="7"/>
      <c r="C299" s="7"/>
      <c r="D299" s="7"/>
      <c r="E299" s="7"/>
      <c r="F299" s="7"/>
    </row>
    <row r="300" ht="15.75" customHeight="1">
      <c r="A300" s="7"/>
      <c r="B300" s="7"/>
      <c r="C300" s="7"/>
      <c r="D300" s="7"/>
      <c r="E300" s="7"/>
      <c r="F300" s="7"/>
    </row>
    <row r="301" ht="15.75" customHeight="1">
      <c r="A301" s="7"/>
      <c r="B301" s="7"/>
      <c r="C301" s="7"/>
      <c r="D301" s="7"/>
      <c r="E301" s="7"/>
      <c r="F301" s="7"/>
    </row>
    <row r="302" ht="15.75" customHeight="1">
      <c r="A302" s="7"/>
      <c r="B302" s="7"/>
      <c r="C302" s="7"/>
      <c r="D302" s="7"/>
      <c r="E302" s="7"/>
      <c r="F302" s="7"/>
    </row>
    <row r="303" ht="15.75" customHeight="1">
      <c r="A303" s="7"/>
      <c r="B303" s="7"/>
      <c r="C303" s="7"/>
      <c r="D303" s="7"/>
      <c r="E303" s="7"/>
      <c r="F303" s="7"/>
    </row>
    <row r="304" ht="15.75" customHeight="1">
      <c r="A304" s="7"/>
      <c r="B304" s="7"/>
      <c r="C304" s="7"/>
      <c r="D304" s="7"/>
      <c r="E304" s="7"/>
      <c r="F304" s="7"/>
    </row>
    <row r="305" ht="15.75" customHeight="1">
      <c r="A305" s="7"/>
      <c r="B305" s="7"/>
      <c r="C305" s="7"/>
      <c r="D305" s="7"/>
      <c r="E305" s="7"/>
      <c r="F305" s="7"/>
    </row>
    <row r="306" ht="15.75" customHeight="1">
      <c r="A306" s="7"/>
      <c r="B306" s="7"/>
      <c r="C306" s="7"/>
      <c r="D306" s="7"/>
      <c r="E306" s="7"/>
      <c r="F306" s="7"/>
    </row>
    <row r="307" ht="15.75" customHeight="1">
      <c r="A307" s="7"/>
      <c r="B307" s="7"/>
      <c r="C307" s="7"/>
      <c r="D307" s="7"/>
      <c r="E307" s="7"/>
      <c r="F307" s="7"/>
    </row>
    <row r="308" ht="15.75" customHeight="1">
      <c r="A308" s="7"/>
      <c r="B308" s="7"/>
      <c r="C308" s="7"/>
      <c r="D308" s="7"/>
      <c r="E308" s="7"/>
      <c r="F308" s="7"/>
    </row>
    <row r="309" ht="15.75" customHeight="1">
      <c r="A309" s="7"/>
      <c r="B309" s="7"/>
      <c r="C309" s="7"/>
      <c r="D309" s="7"/>
      <c r="E309" s="7"/>
      <c r="F309" s="7"/>
    </row>
    <row r="310" ht="15.75" customHeight="1">
      <c r="A310" s="7"/>
      <c r="B310" s="7"/>
      <c r="C310" s="7"/>
      <c r="D310" s="7"/>
      <c r="E310" s="7"/>
      <c r="F310" s="7"/>
    </row>
    <row r="311" ht="15.75" customHeight="1">
      <c r="A311" s="7"/>
      <c r="B311" s="7"/>
      <c r="C311" s="7"/>
      <c r="D311" s="7"/>
      <c r="E311" s="7"/>
      <c r="F311" s="7"/>
    </row>
    <row r="312" ht="15.75" customHeight="1">
      <c r="A312" s="7"/>
      <c r="B312" s="7"/>
      <c r="C312" s="7"/>
      <c r="D312" s="7"/>
      <c r="E312" s="7"/>
      <c r="F312" s="7"/>
    </row>
    <row r="313" ht="15.75" customHeight="1">
      <c r="A313" s="7"/>
      <c r="B313" s="7"/>
      <c r="C313" s="7"/>
      <c r="D313" s="7"/>
      <c r="E313" s="7"/>
      <c r="F313" s="7"/>
    </row>
    <row r="314" ht="15.75" customHeight="1">
      <c r="A314" s="7"/>
      <c r="B314" s="7"/>
      <c r="C314" s="7"/>
      <c r="D314" s="7"/>
      <c r="E314" s="7"/>
      <c r="F314" s="7"/>
    </row>
    <row r="315" ht="15.75" customHeight="1">
      <c r="A315" s="7"/>
      <c r="B315" s="7"/>
      <c r="C315" s="7"/>
      <c r="D315" s="7"/>
      <c r="E315" s="7"/>
      <c r="F315" s="7"/>
    </row>
    <row r="316" ht="15.75" customHeight="1">
      <c r="A316" s="7"/>
      <c r="B316" s="7"/>
      <c r="C316" s="7"/>
      <c r="D316" s="7"/>
      <c r="E316" s="7"/>
      <c r="F316" s="7"/>
    </row>
    <row r="317" ht="15.75" customHeight="1">
      <c r="A317" s="7"/>
      <c r="B317" s="7"/>
      <c r="C317" s="7"/>
      <c r="D317" s="7"/>
      <c r="E317" s="7"/>
      <c r="F317" s="7"/>
    </row>
    <row r="318" ht="15.75" customHeight="1">
      <c r="A318" s="7"/>
      <c r="B318" s="7"/>
      <c r="C318" s="7"/>
      <c r="D318" s="7"/>
      <c r="E318" s="7"/>
      <c r="F318" s="7"/>
    </row>
    <row r="319" ht="15.75" customHeight="1">
      <c r="A319" s="7"/>
      <c r="B319" s="7"/>
      <c r="C319" s="7"/>
      <c r="D319" s="7"/>
      <c r="E319" s="7"/>
      <c r="F319" s="7"/>
    </row>
    <row r="320" ht="15.75" customHeight="1">
      <c r="A320" s="7"/>
      <c r="B320" s="7"/>
      <c r="C320" s="7"/>
      <c r="D320" s="7"/>
      <c r="E320" s="7"/>
      <c r="F320" s="7"/>
    </row>
    <row r="321" ht="15.75" customHeight="1">
      <c r="A321" s="7"/>
      <c r="B321" s="7"/>
      <c r="C321" s="7"/>
      <c r="D321" s="7"/>
      <c r="E321" s="7"/>
      <c r="F321" s="7"/>
    </row>
    <row r="322" ht="15.75" customHeight="1">
      <c r="A322" s="7"/>
      <c r="B322" s="7"/>
      <c r="C322" s="7"/>
      <c r="D322" s="7"/>
      <c r="E322" s="7"/>
      <c r="F322" s="7"/>
    </row>
    <row r="323" ht="15.75" customHeight="1">
      <c r="A323" s="7"/>
      <c r="B323" s="7"/>
      <c r="C323" s="7"/>
      <c r="D323" s="7"/>
      <c r="E323" s="7"/>
      <c r="F323" s="7"/>
    </row>
    <row r="324" ht="15.75" customHeight="1">
      <c r="A324" s="7"/>
      <c r="B324" s="7"/>
      <c r="C324" s="7"/>
      <c r="D324" s="7"/>
      <c r="E324" s="7"/>
      <c r="F324" s="7"/>
    </row>
    <row r="325" ht="15.75" customHeight="1">
      <c r="A325" s="7"/>
      <c r="B325" s="7"/>
      <c r="C325" s="7"/>
      <c r="D325" s="7"/>
      <c r="E325" s="7"/>
      <c r="F325" s="7"/>
    </row>
    <row r="326" ht="15.75" customHeight="1">
      <c r="A326" s="7"/>
      <c r="B326" s="7"/>
      <c r="C326" s="7"/>
      <c r="D326" s="7"/>
      <c r="E326" s="7"/>
      <c r="F326" s="7"/>
    </row>
    <row r="327" ht="15.75" customHeight="1">
      <c r="A327" s="7"/>
      <c r="B327" s="7"/>
      <c r="C327" s="7"/>
      <c r="D327" s="7"/>
      <c r="E327" s="7"/>
      <c r="F327" s="7"/>
    </row>
    <row r="328" ht="15.75" customHeight="1">
      <c r="A328" s="7"/>
      <c r="B328" s="7"/>
      <c r="C328" s="7"/>
      <c r="D328" s="7"/>
      <c r="E328" s="7"/>
      <c r="F328" s="7"/>
    </row>
    <row r="329" ht="15.75" customHeight="1">
      <c r="A329" s="7"/>
      <c r="B329" s="7"/>
      <c r="C329" s="7"/>
      <c r="D329" s="7"/>
      <c r="E329" s="7"/>
      <c r="F329" s="7"/>
    </row>
    <row r="330" ht="15.75" customHeight="1">
      <c r="A330" s="7"/>
      <c r="B330" s="7"/>
      <c r="C330" s="7"/>
      <c r="D330" s="7"/>
      <c r="E330" s="7"/>
      <c r="F330" s="7"/>
    </row>
    <row r="331" ht="15.75" customHeight="1">
      <c r="A331" s="7"/>
      <c r="B331" s="7"/>
      <c r="C331" s="7"/>
      <c r="D331" s="7"/>
      <c r="E331" s="7"/>
      <c r="F331" s="7"/>
    </row>
    <row r="332" ht="15.75" customHeight="1">
      <c r="A332" s="7"/>
      <c r="B332" s="7"/>
      <c r="C332" s="7"/>
      <c r="D332" s="7"/>
      <c r="E332" s="7"/>
      <c r="F332" s="7"/>
    </row>
    <row r="333" ht="15.75" customHeight="1">
      <c r="A333" s="7"/>
      <c r="B333" s="7"/>
      <c r="C333" s="7"/>
      <c r="D333" s="7"/>
      <c r="E333" s="7"/>
      <c r="F333" s="7"/>
    </row>
    <row r="334" ht="15.75" customHeight="1">
      <c r="A334" s="7"/>
      <c r="B334" s="7"/>
      <c r="C334" s="7"/>
      <c r="D334" s="7"/>
      <c r="E334" s="7"/>
      <c r="F334" s="7"/>
    </row>
    <row r="335" ht="15.75" customHeight="1">
      <c r="A335" s="7"/>
      <c r="B335" s="7"/>
      <c r="C335" s="7"/>
      <c r="D335" s="7"/>
      <c r="E335" s="7"/>
      <c r="F335" s="7"/>
    </row>
    <row r="336" ht="15.75" customHeight="1">
      <c r="A336" s="7"/>
      <c r="B336" s="7"/>
      <c r="C336" s="7"/>
      <c r="D336" s="7"/>
      <c r="E336" s="7"/>
      <c r="F336" s="7"/>
    </row>
    <row r="337" ht="15.75" customHeight="1">
      <c r="A337" s="7"/>
      <c r="B337" s="7"/>
      <c r="C337" s="7"/>
      <c r="D337" s="7"/>
      <c r="E337" s="7"/>
      <c r="F337" s="7"/>
    </row>
    <row r="338" ht="15.75" customHeight="1">
      <c r="A338" s="7"/>
      <c r="B338" s="7"/>
      <c r="C338" s="7"/>
      <c r="D338" s="7"/>
      <c r="E338" s="7"/>
      <c r="F338" s="7"/>
    </row>
    <row r="339" ht="15.75" customHeight="1">
      <c r="A339" s="7"/>
      <c r="B339" s="7"/>
      <c r="C339" s="7"/>
      <c r="D339" s="7"/>
      <c r="E339" s="7"/>
      <c r="F339" s="7"/>
    </row>
    <row r="340" ht="15.75" customHeight="1">
      <c r="A340" s="7"/>
      <c r="B340" s="7"/>
      <c r="C340" s="7"/>
      <c r="D340" s="7"/>
      <c r="E340" s="7"/>
      <c r="F340" s="7"/>
    </row>
    <row r="341" ht="15.75" customHeight="1">
      <c r="A341" s="7"/>
      <c r="B341" s="7"/>
      <c r="C341" s="7"/>
      <c r="D341" s="7"/>
      <c r="E341" s="7"/>
      <c r="F341" s="7"/>
    </row>
    <row r="342" ht="15.75" customHeight="1">
      <c r="A342" s="7"/>
      <c r="B342" s="7"/>
      <c r="C342" s="7"/>
      <c r="D342" s="7"/>
      <c r="E342" s="7"/>
      <c r="F342" s="7"/>
    </row>
    <row r="343" ht="15.75" customHeight="1">
      <c r="A343" s="7"/>
      <c r="B343" s="7"/>
      <c r="C343" s="7"/>
      <c r="D343" s="7"/>
      <c r="E343" s="7"/>
      <c r="F343" s="7"/>
    </row>
    <row r="344" ht="15.75" customHeight="1">
      <c r="A344" s="7"/>
      <c r="B344" s="7"/>
      <c r="C344" s="7"/>
      <c r="D344" s="7"/>
      <c r="E344" s="7"/>
      <c r="F344" s="7"/>
    </row>
    <row r="345" ht="15.75" customHeight="1">
      <c r="A345" s="7"/>
      <c r="B345" s="7"/>
      <c r="C345" s="7"/>
      <c r="D345" s="7"/>
      <c r="E345" s="7"/>
      <c r="F345" s="7"/>
    </row>
    <row r="346" ht="15.75" customHeight="1">
      <c r="A346" s="7"/>
      <c r="B346" s="7"/>
      <c r="C346" s="7"/>
      <c r="D346" s="7"/>
      <c r="E346" s="7"/>
      <c r="F346" s="7"/>
    </row>
    <row r="347" ht="15.75" customHeight="1">
      <c r="A347" s="7"/>
      <c r="B347" s="7"/>
      <c r="C347" s="7"/>
      <c r="D347" s="7"/>
      <c r="E347" s="7"/>
      <c r="F347" s="7"/>
    </row>
    <row r="348" ht="15.75" customHeight="1">
      <c r="A348" s="7"/>
      <c r="B348" s="7"/>
      <c r="C348" s="7"/>
      <c r="D348" s="7"/>
      <c r="E348" s="7"/>
      <c r="F348" s="7"/>
    </row>
    <row r="349" ht="15.75" customHeight="1">
      <c r="A349" s="7"/>
      <c r="B349" s="7"/>
      <c r="C349" s="7"/>
      <c r="D349" s="7"/>
      <c r="E349" s="7"/>
      <c r="F349" s="7"/>
    </row>
    <row r="350" ht="15.75" customHeight="1">
      <c r="A350" s="7"/>
      <c r="B350" s="7"/>
      <c r="C350" s="7"/>
      <c r="D350" s="7"/>
      <c r="E350" s="7"/>
      <c r="F350" s="7"/>
    </row>
    <row r="351" ht="15.75" customHeight="1">
      <c r="A351" s="7"/>
      <c r="B351" s="7"/>
      <c r="C351" s="7"/>
      <c r="D351" s="7"/>
      <c r="E351" s="7"/>
      <c r="F351" s="7"/>
    </row>
    <row r="352" ht="15.75" customHeight="1">
      <c r="A352" s="7"/>
      <c r="B352" s="7"/>
      <c r="C352" s="7"/>
      <c r="D352" s="7"/>
      <c r="E352" s="7"/>
      <c r="F352" s="7"/>
    </row>
    <row r="353" ht="15.75" customHeight="1">
      <c r="A353" s="7"/>
      <c r="B353" s="7"/>
      <c r="C353" s="7"/>
      <c r="D353" s="7"/>
      <c r="E353" s="7"/>
      <c r="F353" s="7"/>
    </row>
    <row r="354" ht="15.75" customHeight="1">
      <c r="A354" s="7"/>
      <c r="B354" s="7"/>
      <c r="C354" s="7"/>
      <c r="D354" s="7"/>
      <c r="E354" s="7"/>
      <c r="F354" s="7"/>
    </row>
    <row r="355" ht="15.75" customHeight="1">
      <c r="A355" s="7"/>
      <c r="B355" s="7"/>
      <c r="C355" s="7"/>
      <c r="D355" s="7"/>
      <c r="E355" s="7"/>
      <c r="F355" s="7"/>
    </row>
    <row r="356" ht="15.75" customHeight="1">
      <c r="A356" s="7"/>
      <c r="B356" s="7"/>
      <c r="C356" s="7"/>
      <c r="D356" s="7"/>
      <c r="E356" s="7"/>
      <c r="F356" s="7"/>
    </row>
    <row r="357" ht="15.75" customHeight="1">
      <c r="A357" s="7"/>
      <c r="B357" s="7"/>
      <c r="C357" s="7"/>
      <c r="D357" s="7"/>
      <c r="E357" s="7"/>
      <c r="F357" s="7"/>
    </row>
    <row r="358" ht="15.75" customHeight="1">
      <c r="A358" s="7"/>
      <c r="B358" s="7"/>
      <c r="C358" s="7"/>
      <c r="D358" s="7"/>
      <c r="E358" s="7"/>
      <c r="F358" s="7"/>
    </row>
    <row r="359" ht="15.75" customHeight="1">
      <c r="A359" s="7"/>
      <c r="B359" s="7"/>
      <c r="C359" s="7"/>
      <c r="D359" s="7"/>
      <c r="E359" s="7"/>
      <c r="F359" s="7"/>
    </row>
    <row r="360" ht="15.75" customHeight="1">
      <c r="A360" s="7"/>
      <c r="B360" s="7"/>
      <c r="C360" s="7"/>
      <c r="D360" s="7"/>
      <c r="E360" s="7"/>
      <c r="F360" s="7"/>
    </row>
    <row r="361" ht="15.75" customHeight="1">
      <c r="A361" s="7"/>
      <c r="B361" s="7"/>
      <c r="C361" s="7"/>
      <c r="D361" s="7"/>
      <c r="E361" s="7"/>
      <c r="F361" s="7"/>
    </row>
    <row r="362" ht="15.75" customHeight="1">
      <c r="A362" s="7"/>
      <c r="B362" s="7"/>
      <c r="C362" s="7"/>
      <c r="D362" s="7"/>
      <c r="E362" s="7"/>
      <c r="F362" s="7"/>
    </row>
    <row r="363" ht="15.75" customHeight="1">
      <c r="A363" s="7"/>
      <c r="B363" s="7"/>
      <c r="C363" s="7"/>
      <c r="D363" s="7"/>
      <c r="E363" s="7"/>
      <c r="F363" s="7"/>
    </row>
    <row r="364" ht="15.75" customHeight="1">
      <c r="A364" s="7"/>
      <c r="B364" s="7"/>
      <c r="C364" s="7"/>
      <c r="D364" s="7"/>
      <c r="E364" s="7"/>
      <c r="F364" s="7"/>
    </row>
    <row r="365" ht="15.75" customHeight="1">
      <c r="A365" s="7"/>
      <c r="B365" s="7"/>
      <c r="C365" s="7"/>
      <c r="D365" s="7"/>
      <c r="E365" s="7"/>
      <c r="F365" s="7"/>
    </row>
    <row r="366" ht="15.75" customHeight="1">
      <c r="A366" s="7"/>
      <c r="B366" s="7"/>
      <c r="C366" s="7"/>
      <c r="D366" s="7"/>
      <c r="E366" s="7"/>
      <c r="F366" s="7"/>
    </row>
    <row r="367" ht="15.75" customHeight="1">
      <c r="A367" s="7"/>
      <c r="B367" s="7"/>
      <c r="C367" s="7"/>
      <c r="D367" s="7"/>
      <c r="E367" s="7"/>
      <c r="F367" s="7"/>
    </row>
    <row r="368" ht="15.75" customHeight="1">
      <c r="A368" s="7"/>
      <c r="B368" s="7"/>
      <c r="C368" s="7"/>
      <c r="D368" s="7"/>
      <c r="E368" s="7"/>
      <c r="F368" s="7"/>
    </row>
    <row r="369" ht="15.75" customHeight="1">
      <c r="A369" s="7"/>
      <c r="B369" s="7"/>
      <c r="C369" s="7"/>
      <c r="D369" s="7"/>
      <c r="E369" s="7"/>
      <c r="F369" s="7"/>
    </row>
    <row r="370" ht="15.75" customHeight="1">
      <c r="A370" s="7"/>
      <c r="B370" s="7"/>
      <c r="C370" s="7"/>
      <c r="D370" s="7"/>
      <c r="E370" s="7"/>
      <c r="F370" s="7"/>
    </row>
    <row r="371" ht="15.75" customHeight="1">
      <c r="A371" s="7"/>
      <c r="B371" s="7"/>
      <c r="C371" s="7"/>
      <c r="D371" s="7"/>
      <c r="E371" s="7"/>
      <c r="F371" s="7"/>
    </row>
    <row r="372" ht="15.75" customHeight="1">
      <c r="A372" s="7"/>
      <c r="B372" s="7"/>
      <c r="C372" s="7"/>
      <c r="D372" s="7"/>
      <c r="E372" s="7"/>
      <c r="F372" s="7"/>
    </row>
    <row r="373" ht="15.75" customHeight="1">
      <c r="A373" s="7"/>
      <c r="B373" s="7"/>
      <c r="C373" s="7"/>
      <c r="D373" s="7"/>
      <c r="E373" s="7"/>
      <c r="F373" s="7"/>
    </row>
    <row r="374" ht="15.75" customHeight="1">
      <c r="A374" s="7"/>
      <c r="B374" s="7"/>
      <c r="C374" s="7"/>
      <c r="D374" s="7"/>
      <c r="E374" s="7"/>
      <c r="F374" s="7"/>
    </row>
    <row r="375" ht="15.75" customHeight="1">
      <c r="A375" s="7"/>
      <c r="B375" s="7"/>
      <c r="C375" s="7"/>
      <c r="D375" s="7"/>
      <c r="E375" s="7"/>
      <c r="F375" s="7"/>
    </row>
    <row r="376" ht="15.75" customHeight="1">
      <c r="A376" s="7"/>
      <c r="B376" s="7"/>
      <c r="C376" s="7"/>
      <c r="D376" s="7"/>
      <c r="E376" s="7"/>
      <c r="F376" s="7"/>
    </row>
    <row r="377" ht="15.75" customHeight="1">
      <c r="A377" s="7"/>
      <c r="B377" s="7"/>
      <c r="C377" s="7"/>
      <c r="D377" s="7"/>
      <c r="E377" s="7"/>
      <c r="F377" s="7"/>
    </row>
    <row r="378" ht="15.75" customHeight="1">
      <c r="A378" s="7"/>
      <c r="B378" s="7"/>
      <c r="C378" s="7"/>
      <c r="D378" s="7"/>
      <c r="E378" s="7"/>
      <c r="F378" s="7"/>
    </row>
    <row r="379" ht="15.75" customHeight="1">
      <c r="A379" s="7"/>
      <c r="B379" s="7"/>
      <c r="C379" s="7"/>
      <c r="D379" s="7"/>
      <c r="E379" s="7"/>
      <c r="F379" s="7"/>
    </row>
    <row r="380" ht="15.75" customHeight="1">
      <c r="A380" s="7"/>
      <c r="B380" s="7"/>
      <c r="C380" s="7"/>
      <c r="D380" s="7"/>
      <c r="E380" s="7"/>
      <c r="F380" s="7"/>
    </row>
    <row r="381" ht="15.75" customHeight="1">
      <c r="A381" s="7"/>
      <c r="B381" s="7"/>
      <c r="C381" s="7"/>
      <c r="D381" s="7"/>
      <c r="E381" s="7"/>
      <c r="F381" s="7"/>
    </row>
    <row r="382" ht="15.75" customHeight="1">
      <c r="A382" s="7"/>
      <c r="B382" s="7"/>
      <c r="C382" s="7"/>
      <c r="D382" s="7"/>
      <c r="E382" s="7"/>
      <c r="F382" s="7"/>
    </row>
    <row r="383" ht="15.75" customHeight="1">
      <c r="A383" s="7"/>
      <c r="B383" s="7"/>
      <c r="C383" s="7"/>
      <c r="D383" s="7"/>
      <c r="E383" s="7"/>
      <c r="F383" s="7"/>
    </row>
    <row r="384" ht="15.75" customHeight="1">
      <c r="A384" s="7"/>
      <c r="B384" s="7"/>
      <c r="C384" s="7"/>
      <c r="D384" s="7"/>
      <c r="E384" s="7"/>
      <c r="F384" s="7"/>
    </row>
    <row r="385" ht="15.75" customHeight="1">
      <c r="A385" s="7"/>
      <c r="B385" s="7"/>
      <c r="C385" s="7"/>
      <c r="D385" s="7"/>
      <c r="E385" s="7"/>
      <c r="F385" s="7"/>
    </row>
    <row r="386" ht="15.75" customHeight="1">
      <c r="A386" s="7"/>
      <c r="B386" s="7"/>
      <c r="C386" s="7"/>
      <c r="D386" s="7"/>
      <c r="E386" s="7"/>
      <c r="F386" s="7"/>
    </row>
    <row r="387" ht="15.75" customHeight="1">
      <c r="A387" s="7"/>
      <c r="B387" s="7"/>
      <c r="C387" s="7"/>
      <c r="D387" s="7"/>
      <c r="E387" s="7"/>
      <c r="F387" s="7"/>
    </row>
    <row r="388" ht="15.75" customHeight="1">
      <c r="A388" s="7"/>
      <c r="B388" s="7"/>
      <c r="C388" s="7"/>
      <c r="D388" s="7"/>
      <c r="E388" s="7"/>
      <c r="F388" s="7"/>
    </row>
    <row r="389" ht="15.75" customHeight="1">
      <c r="A389" s="7"/>
      <c r="B389" s="7"/>
      <c r="C389" s="7"/>
      <c r="D389" s="7"/>
      <c r="E389" s="7"/>
      <c r="F389" s="7"/>
    </row>
    <row r="390" ht="15.75" customHeight="1">
      <c r="A390" s="7"/>
      <c r="B390" s="7"/>
      <c r="C390" s="7"/>
      <c r="D390" s="7"/>
      <c r="E390" s="7"/>
      <c r="F390" s="7"/>
    </row>
    <row r="391" ht="15.75" customHeight="1">
      <c r="A391" s="7"/>
      <c r="B391" s="7"/>
      <c r="C391" s="7"/>
      <c r="D391" s="7"/>
      <c r="E391" s="7"/>
      <c r="F391" s="7"/>
    </row>
    <row r="392" ht="15.75" customHeight="1">
      <c r="A392" s="7"/>
      <c r="B392" s="7"/>
      <c r="C392" s="7"/>
      <c r="D392" s="7"/>
      <c r="E392" s="7"/>
      <c r="F392" s="7"/>
    </row>
    <row r="393" ht="15.75" customHeight="1">
      <c r="A393" s="7"/>
      <c r="B393" s="7"/>
      <c r="C393" s="7"/>
      <c r="D393" s="7"/>
      <c r="E393" s="7"/>
      <c r="F393" s="7"/>
    </row>
    <row r="394" ht="15.75" customHeight="1">
      <c r="A394" s="7"/>
      <c r="B394" s="7"/>
      <c r="C394" s="7"/>
      <c r="D394" s="7"/>
      <c r="E394" s="7"/>
      <c r="F394" s="7"/>
    </row>
    <row r="395" ht="15.75" customHeight="1">
      <c r="A395" s="7"/>
      <c r="B395" s="7"/>
      <c r="C395" s="7"/>
      <c r="D395" s="7"/>
      <c r="E395" s="7"/>
      <c r="F395" s="7"/>
    </row>
    <row r="396" ht="15.75" customHeight="1">
      <c r="A396" s="7"/>
      <c r="B396" s="7"/>
      <c r="C396" s="7"/>
      <c r="D396" s="7"/>
      <c r="E396" s="7"/>
      <c r="F396" s="7"/>
    </row>
    <row r="397" ht="15.75" customHeight="1">
      <c r="A397" s="7"/>
      <c r="B397" s="7"/>
      <c r="C397" s="7"/>
      <c r="D397" s="7"/>
      <c r="E397" s="7"/>
      <c r="F397" s="7"/>
    </row>
    <row r="398" ht="15.75" customHeight="1">
      <c r="A398" s="7"/>
      <c r="B398" s="7"/>
      <c r="C398" s="7"/>
      <c r="D398" s="7"/>
      <c r="E398" s="7"/>
      <c r="F398" s="7"/>
    </row>
    <row r="399" ht="15.75" customHeight="1">
      <c r="A399" s="7"/>
      <c r="B399" s="7"/>
      <c r="C399" s="7"/>
      <c r="D399" s="7"/>
      <c r="E399" s="7"/>
      <c r="F399" s="7"/>
    </row>
    <row r="400" ht="15.75" customHeight="1">
      <c r="A400" s="7"/>
      <c r="B400" s="7"/>
      <c r="C400" s="7"/>
      <c r="D400" s="7"/>
      <c r="E400" s="7"/>
      <c r="F400" s="7"/>
    </row>
    <row r="401" ht="15.75" customHeight="1">
      <c r="A401" s="7"/>
      <c r="B401" s="7"/>
      <c r="C401" s="7"/>
      <c r="D401" s="7"/>
      <c r="E401" s="7"/>
      <c r="F401" s="7"/>
    </row>
    <row r="402" ht="15.75" customHeight="1">
      <c r="A402" s="7"/>
      <c r="B402" s="7"/>
      <c r="C402" s="7"/>
      <c r="D402" s="7"/>
      <c r="E402" s="7"/>
      <c r="F402" s="7"/>
    </row>
    <row r="403" ht="15.75" customHeight="1">
      <c r="A403" s="7"/>
      <c r="B403" s="7"/>
      <c r="C403" s="7"/>
      <c r="D403" s="7"/>
      <c r="E403" s="7"/>
      <c r="F403" s="7"/>
    </row>
    <row r="404" ht="15.75" customHeight="1">
      <c r="A404" s="7"/>
      <c r="B404" s="7"/>
      <c r="C404" s="7"/>
      <c r="D404" s="7"/>
      <c r="E404" s="7"/>
      <c r="F404" s="7"/>
    </row>
    <row r="405" ht="15.75" customHeight="1">
      <c r="A405" s="7"/>
      <c r="B405" s="7"/>
      <c r="C405" s="7"/>
      <c r="D405" s="7"/>
      <c r="E405" s="7"/>
      <c r="F405" s="7"/>
    </row>
    <row r="406" ht="15.75" customHeight="1">
      <c r="A406" s="7"/>
      <c r="B406" s="7"/>
      <c r="C406" s="7"/>
      <c r="D406" s="7"/>
      <c r="E406" s="7"/>
      <c r="F406" s="7"/>
    </row>
    <row r="407" ht="15.75" customHeight="1">
      <c r="A407" s="7"/>
      <c r="B407" s="7"/>
      <c r="C407" s="7"/>
      <c r="D407" s="7"/>
      <c r="E407" s="7"/>
      <c r="F407" s="7"/>
    </row>
    <row r="408" ht="15.75" customHeight="1">
      <c r="A408" s="7"/>
      <c r="B408" s="7"/>
      <c r="C408" s="7"/>
      <c r="D408" s="7"/>
      <c r="E408" s="7"/>
      <c r="F408" s="7"/>
    </row>
    <row r="409" ht="15.75" customHeight="1">
      <c r="A409" s="7"/>
      <c r="B409" s="7"/>
      <c r="C409" s="7"/>
      <c r="D409" s="7"/>
      <c r="E409" s="7"/>
      <c r="F409" s="7"/>
    </row>
    <row r="410" ht="15.75" customHeight="1">
      <c r="A410" s="7"/>
      <c r="B410" s="7"/>
      <c r="C410" s="7"/>
      <c r="D410" s="7"/>
      <c r="E410" s="7"/>
      <c r="F410" s="7"/>
    </row>
    <row r="411" ht="15.75" customHeight="1">
      <c r="A411" s="7"/>
      <c r="B411" s="7"/>
      <c r="C411" s="7"/>
      <c r="D411" s="7"/>
      <c r="E411" s="7"/>
      <c r="F411" s="7"/>
    </row>
    <row r="412" ht="15.75" customHeight="1">
      <c r="A412" s="7"/>
      <c r="B412" s="7"/>
      <c r="C412" s="7"/>
      <c r="D412" s="7"/>
      <c r="E412" s="7"/>
      <c r="F412" s="7"/>
    </row>
    <row r="413" ht="15.75" customHeight="1">
      <c r="A413" s="7"/>
      <c r="B413" s="7"/>
      <c r="C413" s="7"/>
      <c r="D413" s="7"/>
      <c r="E413" s="7"/>
      <c r="F413" s="7"/>
    </row>
    <row r="414" ht="15.75" customHeight="1">
      <c r="A414" s="7"/>
      <c r="B414" s="7"/>
      <c r="C414" s="7"/>
      <c r="D414" s="7"/>
      <c r="E414" s="7"/>
      <c r="F414" s="7"/>
    </row>
    <row r="415" ht="15.75" customHeight="1">
      <c r="A415" s="7"/>
      <c r="B415" s="7"/>
      <c r="C415" s="7"/>
      <c r="D415" s="7"/>
      <c r="E415" s="7"/>
      <c r="F415" s="7"/>
    </row>
    <row r="416" ht="15.75" customHeight="1">
      <c r="A416" s="7"/>
      <c r="B416" s="7"/>
      <c r="C416" s="7"/>
      <c r="D416" s="7"/>
      <c r="E416" s="7"/>
      <c r="F416" s="7"/>
    </row>
    <row r="417" ht="15.75" customHeight="1">
      <c r="A417" s="7"/>
      <c r="B417" s="7"/>
      <c r="C417" s="7"/>
      <c r="D417" s="7"/>
      <c r="E417" s="7"/>
      <c r="F417" s="7"/>
    </row>
    <row r="418" ht="15.75" customHeight="1">
      <c r="A418" s="7"/>
      <c r="B418" s="7"/>
      <c r="C418" s="7"/>
      <c r="D418" s="7"/>
      <c r="E418" s="7"/>
      <c r="F418" s="7"/>
    </row>
    <row r="419" ht="15.75" customHeight="1">
      <c r="A419" s="7"/>
      <c r="B419" s="7"/>
      <c r="C419" s="7"/>
      <c r="D419" s="7"/>
      <c r="E419" s="7"/>
      <c r="F419" s="7"/>
    </row>
    <row r="420" ht="15.75" customHeight="1">
      <c r="A420" s="7"/>
      <c r="B420" s="7"/>
      <c r="C420" s="7"/>
      <c r="D420" s="7"/>
      <c r="E420" s="7"/>
      <c r="F420" s="7"/>
    </row>
    <row r="421" ht="15.75" customHeight="1">
      <c r="A421" s="7"/>
      <c r="B421" s="7"/>
      <c r="C421" s="7"/>
      <c r="D421" s="7"/>
      <c r="E421" s="7"/>
      <c r="F421" s="7"/>
    </row>
    <row r="422" ht="15.75" customHeight="1">
      <c r="A422" s="7"/>
      <c r="B422" s="7"/>
      <c r="C422" s="7"/>
      <c r="D422" s="7"/>
      <c r="E422" s="7"/>
      <c r="F422" s="7"/>
    </row>
    <row r="423" ht="15.75" customHeight="1">
      <c r="A423" s="7"/>
      <c r="B423" s="7"/>
      <c r="C423" s="7"/>
      <c r="D423" s="7"/>
      <c r="E423" s="7"/>
      <c r="F423" s="7"/>
    </row>
    <row r="424" ht="15.75" customHeight="1">
      <c r="A424" s="7"/>
      <c r="B424" s="7"/>
      <c r="C424" s="7"/>
      <c r="D424" s="7"/>
      <c r="E424" s="7"/>
      <c r="F424" s="7"/>
    </row>
    <row r="425" ht="15.75" customHeight="1">
      <c r="A425" s="7"/>
      <c r="B425" s="7"/>
      <c r="C425" s="7"/>
      <c r="D425" s="7"/>
      <c r="E425" s="7"/>
      <c r="F425" s="7"/>
    </row>
    <row r="426" ht="15.75" customHeight="1">
      <c r="A426" s="7"/>
      <c r="B426" s="7"/>
      <c r="C426" s="7"/>
      <c r="D426" s="7"/>
      <c r="E426" s="7"/>
      <c r="F426" s="7"/>
    </row>
    <row r="427" ht="15.75" customHeight="1">
      <c r="A427" s="7"/>
      <c r="B427" s="7"/>
      <c r="C427" s="7"/>
      <c r="D427" s="7"/>
      <c r="E427" s="7"/>
      <c r="F427" s="7"/>
    </row>
    <row r="428" ht="15.75" customHeight="1">
      <c r="A428" s="7"/>
      <c r="B428" s="7"/>
      <c r="C428" s="7"/>
      <c r="D428" s="7"/>
      <c r="E428" s="7"/>
      <c r="F428" s="7"/>
    </row>
    <row r="429" ht="15.75" customHeight="1">
      <c r="A429" s="7"/>
      <c r="B429" s="7"/>
      <c r="C429" s="7"/>
      <c r="D429" s="7"/>
      <c r="E429" s="7"/>
      <c r="F429" s="7"/>
    </row>
    <row r="430" ht="15.75" customHeight="1">
      <c r="A430" s="7"/>
      <c r="B430" s="7"/>
      <c r="C430" s="7"/>
      <c r="D430" s="7"/>
      <c r="E430" s="7"/>
      <c r="F430" s="7"/>
    </row>
    <row r="431" ht="15.75" customHeight="1">
      <c r="A431" s="7"/>
      <c r="B431" s="7"/>
      <c r="C431" s="7"/>
      <c r="D431" s="7"/>
      <c r="E431" s="7"/>
      <c r="F431" s="7"/>
    </row>
    <row r="432" ht="15.75" customHeight="1">
      <c r="A432" s="7"/>
      <c r="B432" s="7"/>
      <c r="C432" s="7"/>
      <c r="D432" s="7"/>
      <c r="E432" s="7"/>
      <c r="F432" s="7"/>
    </row>
    <row r="433" ht="15.75" customHeight="1">
      <c r="A433" s="7"/>
      <c r="B433" s="7"/>
      <c r="C433" s="7"/>
      <c r="D433" s="7"/>
      <c r="E433" s="7"/>
      <c r="F433" s="7"/>
    </row>
    <row r="434" ht="15.75" customHeight="1">
      <c r="A434" s="7"/>
      <c r="B434" s="7"/>
      <c r="C434" s="7"/>
      <c r="D434" s="7"/>
      <c r="E434" s="7"/>
      <c r="F434" s="7"/>
    </row>
    <row r="435" ht="15.75" customHeight="1">
      <c r="A435" s="7"/>
      <c r="B435" s="7"/>
      <c r="C435" s="7"/>
      <c r="D435" s="7"/>
      <c r="E435" s="7"/>
      <c r="F435" s="7"/>
    </row>
    <row r="436" ht="15.75" customHeight="1">
      <c r="A436" s="7"/>
      <c r="B436" s="7"/>
      <c r="C436" s="7"/>
      <c r="D436" s="7"/>
      <c r="E436" s="7"/>
      <c r="F436" s="7"/>
    </row>
    <row r="437" ht="15.75" customHeight="1">
      <c r="A437" s="7"/>
      <c r="B437" s="7"/>
      <c r="C437" s="7"/>
      <c r="D437" s="7"/>
      <c r="E437" s="7"/>
      <c r="F437" s="7"/>
    </row>
    <row r="438" ht="15.75" customHeight="1">
      <c r="A438" s="7"/>
      <c r="B438" s="7"/>
      <c r="C438" s="7"/>
      <c r="D438" s="7"/>
      <c r="E438" s="7"/>
      <c r="F438" s="7"/>
    </row>
    <row r="439" ht="15.75" customHeight="1">
      <c r="A439" s="7"/>
      <c r="B439" s="7"/>
      <c r="C439" s="7"/>
      <c r="D439" s="7"/>
      <c r="E439" s="7"/>
      <c r="F439" s="7"/>
    </row>
    <row r="440" ht="15.75" customHeight="1">
      <c r="A440" s="7"/>
      <c r="B440" s="7"/>
      <c r="C440" s="7"/>
      <c r="D440" s="7"/>
      <c r="E440" s="7"/>
      <c r="F440" s="7"/>
    </row>
    <row r="441" ht="15.75" customHeight="1">
      <c r="A441" s="7"/>
      <c r="B441" s="7"/>
      <c r="C441" s="7"/>
      <c r="D441" s="7"/>
      <c r="E441" s="7"/>
      <c r="F441" s="7"/>
    </row>
    <row r="442" ht="15.75" customHeight="1">
      <c r="A442" s="7"/>
      <c r="B442" s="7"/>
      <c r="C442" s="7"/>
      <c r="D442" s="7"/>
      <c r="E442" s="7"/>
      <c r="F442" s="7"/>
    </row>
    <row r="443" ht="15.75" customHeight="1">
      <c r="A443" s="7"/>
      <c r="B443" s="7"/>
      <c r="C443" s="7"/>
      <c r="D443" s="7"/>
      <c r="E443" s="7"/>
      <c r="F443" s="7"/>
    </row>
    <row r="444" ht="15.75" customHeight="1">
      <c r="A444" s="7"/>
      <c r="B444" s="7"/>
      <c r="C444" s="7"/>
      <c r="D444" s="7"/>
      <c r="E444" s="7"/>
      <c r="F444" s="7"/>
    </row>
    <row r="445" ht="15.75" customHeight="1">
      <c r="A445" s="7"/>
      <c r="B445" s="7"/>
      <c r="C445" s="7"/>
      <c r="D445" s="7"/>
      <c r="E445" s="7"/>
      <c r="F445" s="7"/>
    </row>
    <row r="446" ht="15.75" customHeight="1">
      <c r="A446" s="7"/>
      <c r="B446" s="7"/>
      <c r="C446" s="7"/>
      <c r="D446" s="7"/>
      <c r="E446" s="7"/>
      <c r="F446" s="7"/>
    </row>
    <row r="447" ht="15.75" customHeight="1">
      <c r="A447" s="7"/>
      <c r="B447" s="7"/>
      <c r="C447" s="7"/>
      <c r="D447" s="7"/>
      <c r="E447" s="7"/>
      <c r="F447" s="7"/>
    </row>
    <row r="448" ht="15.75" customHeight="1">
      <c r="A448" s="7"/>
      <c r="B448" s="7"/>
      <c r="C448" s="7"/>
      <c r="D448" s="7"/>
      <c r="E448" s="7"/>
      <c r="F448" s="7"/>
    </row>
    <row r="449" ht="15.75" customHeight="1">
      <c r="A449" s="7"/>
      <c r="B449" s="7"/>
      <c r="C449" s="7"/>
      <c r="D449" s="7"/>
      <c r="E449" s="7"/>
      <c r="F449" s="7"/>
    </row>
    <row r="450" ht="15.75" customHeight="1">
      <c r="A450" s="7"/>
      <c r="B450" s="7"/>
      <c r="C450" s="7"/>
      <c r="D450" s="7"/>
      <c r="E450" s="7"/>
      <c r="F450" s="7"/>
    </row>
    <row r="451" ht="15.75" customHeight="1">
      <c r="A451" s="7"/>
      <c r="B451" s="7"/>
      <c r="C451" s="7"/>
      <c r="D451" s="7"/>
      <c r="E451" s="7"/>
      <c r="F451" s="7"/>
    </row>
    <row r="452" ht="15.75" customHeight="1">
      <c r="A452" s="7"/>
      <c r="B452" s="7"/>
      <c r="C452" s="7"/>
      <c r="D452" s="7"/>
      <c r="E452" s="7"/>
      <c r="F452" s="7"/>
    </row>
    <row r="453" ht="15.75" customHeight="1">
      <c r="A453" s="7"/>
      <c r="B453" s="7"/>
      <c r="C453" s="7"/>
      <c r="D453" s="7"/>
      <c r="E453" s="7"/>
      <c r="F453" s="7"/>
    </row>
    <row r="454" ht="15.75" customHeight="1">
      <c r="A454" s="7"/>
      <c r="B454" s="7"/>
      <c r="C454" s="7"/>
      <c r="D454" s="7"/>
      <c r="E454" s="7"/>
      <c r="F454" s="7"/>
    </row>
    <row r="455" ht="15.75" customHeight="1">
      <c r="A455" s="7"/>
      <c r="B455" s="7"/>
      <c r="C455" s="7"/>
      <c r="D455" s="7"/>
      <c r="E455" s="7"/>
      <c r="F455" s="7"/>
    </row>
    <row r="456" ht="15.75" customHeight="1">
      <c r="A456" s="7"/>
      <c r="B456" s="7"/>
      <c r="C456" s="7"/>
      <c r="D456" s="7"/>
      <c r="E456" s="7"/>
      <c r="F456" s="7"/>
    </row>
    <row r="457" ht="15.75" customHeight="1">
      <c r="A457" s="7"/>
      <c r="B457" s="7"/>
      <c r="C457" s="7"/>
      <c r="D457" s="7"/>
      <c r="E457" s="7"/>
      <c r="F457" s="7"/>
    </row>
    <row r="458" ht="15.75" customHeight="1">
      <c r="A458" s="7"/>
      <c r="B458" s="7"/>
      <c r="C458" s="7"/>
      <c r="D458" s="7"/>
      <c r="E458" s="7"/>
      <c r="F458" s="7"/>
    </row>
    <row r="459" ht="15.75" customHeight="1">
      <c r="A459" s="7"/>
      <c r="B459" s="7"/>
      <c r="C459" s="7"/>
      <c r="D459" s="7"/>
      <c r="E459" s="7"/>
      <c r="F459" s="7"/>
    </row>
    <row r="460" ht="15.75" customHeight="1">
      <c r="A460" s="7"/>
      <c r="B460" s="7"/>
      <c r="C460" s="7"/>
      <c r="D460" s="7"/>
      <c r="E460" s="7"/>
      <c r="F460" s="7"/>
    </row>
    <row r="461" ht="15.75" customHeight="1">
      <c r="A461" s="7"/>
      <c r="B461" s="7"/>
      <c r="C461" s="7"/>
      <c r="D461" s="7"/>
      <c r="E461" s="7"/>
      <c r="F461" s="7"/>
    </row>
    <row r="462" ht="15.75" customHeight="1">
      <c r="A462" s="7"/>
      <c r="B462" s="7"/>
      <c r="C462" s="7"/>
      <c r="D462" s="7"/>
      <c r="E462" s="7"/>
      <c r="F462" s="7"/>
    </row>
    <row r="463" ht="15.75" customHeight="1">
      <c r="A463" s="7"/>
      <c r="B463" s="7"/>
      <c r="C463" s="7"/>
      <c r="D463" s="7"/>
      <c r="E463" s="7"/>
      <c r="F463" s="7"/>
    </row>
    <row r="464" ht="15.75" customHeight="1">
      <c r="A464" s="7"/>
      <c r="B464" s="7"/>
      <c r="C464" s="7"/>
      <c r="D464" s="7"/>
      <c r="E464" s="7"/>
      <c r="F464" s="7"/>
    </row>
    <row r="465" ht="15.75" customHeight="1">
      <c r="A465" s="7"/>
      <c r="B465" s="7"/>
      <c r="C465" s="7"/>
      <c r="D465" s="7"/>
      <c r="E465" s="7"/>
      <c r="F465" s="7"/>
    </row>
    <row r="466" ht="15.75" customHeight="1">
      <c r="A466" s="7"/>
      <c r="B466" s="7"/>
      <c r="C466" s="7"/>
      <c r="D466" s="7"/>
      <c r="E466" s="7"/>
      <c r="F466" s="7"/>
    </row>
    <row r="467" ht="15.75" customHeight="1">
      <c r="A467" s="7"/>
      <c r="B467" s="7"/>
      <c r="C467" s="7"/>
      <c r="D467" s="7"/>
      <c r="E467" s="7"/>
      <c r="F467" s="7"/>
    </row>
    <row r="468" ht="15.75" customHeight="1">
      <c r="A468" s="7"/>
      <c r="B468" s="7"/>
      <c r="C468" s="7"/>
      <c r="D468" s="7"/>
      <c r="E468" s="7"/>
      <c r="F468" s="7"/>
    </row>
    <row r="469" ht="15.75" customHeight="1">
      <c r="A469" s="7"/>
      <c r="B469" s="7"/>
      <c r="C469" s="7"/>
      <c r="D469" s="7"/>
      <c r="E469" s="7"/>
      <c r="F469" s="7"/>
    </row>
    <row r="470" ht="15.75" customHeight="1">
      <c r="A470" s="7"/>
      <c r="B470" s="7"/>
      <c r="C470" s="7"/>
      <c r="D470" s="7"/>
      <c r="E470" s="7"/>
      <c r="F470" s="7"/>
    </row>
    <row r="471" ht="15.75" customHeight="1">
      <c r="A471" s="7"/>
      <c r="B471" s="7"/>
      <c r="C471" s="7"/>
      <c r="D471" s="7"/>
      <c r="E471" s="7"/>
      <c r="F471" s="7"/>
    </row>
    <row r="472" ht="15.75" customHeight="1">
      <c r="A472" s="7"/>
      <c r="B472" s="7"/>
      <c r="C472" s="7"/>
      <c r="D472" s="7"/>
      <c r="E472" s="7"/>
      <c r="F472" s="7"/>
    </row>
    <row r="473" ht="15.75" customHeight="1">
      <c r="A473" s="7"/>
      <c r="B473" s="7"/>
      <c r="C473" s="7"/>
      <c r="D473" s="7"/>
      <c r="E473" s="7"/>
      <c r="F473" s="7"/>
    </row>
    <row r="474" ht="15.75" customHeight="1">
      <c r="A474" s="7"/>
      <c r="B474" s="7"/>
      <c r="C474" s="7"/>
      <c r="D474" s="7"/>
      <c r="E474" s="7"/>
      <c r="F474" s="7"/>
    </row>
    <row r="475" ht="15.75" customHeight="1">
      <c r="A475" s="7"/>
      <c r="B475" s="7"/>
      <c r="C475" s="7"/>
      <c r="D475" s="7"/>
      <c r="E475" s="7"/>
      <c r="F475" s="7"/>
    </row>
    <row r="476" ht="15.75" customHeight="1">
      <c r="A476" s="7"/>
      <c r="B476" s="7"/>
      <c r="C476" s="7"/>
      <c r="D476" s="7"/>
      <c r="E476" s="7"/>
      <c r="F476" s="7"/>
    </row>
    <row r="477" ht="15.75" customHeight="1">
      <c r="A477" s="7"/>
      <c r="B477" s="7"/>
      <c r="C477" s="7"/>
      <c r="D477" s="7"/>
      <c r="E477" s="7"/>
      <c r="F477" s="7"/>
    </row>
    <row r="478" ht="15.75" customHeight="1">
      <c r="A478" s="7"/>
      <c r="B478" s="7"/>
      <c r="C478" s="7"/>
      <c r="D478" s="7"/>
      <c r="E478" s="7"/>
      <c r="F478" s="7"/>
    </row>
    <row r="479" ht="15.75" customHeight="1">
      <c r="A479" s="7"/>
      <c r="B479" s="7"/>
      <c r="C479" s="7"/>
      <c r="D479" s="7"/>
      <c r="E479" s="7"/>
      <c r="F479" s="7"/>
    </row>
    <row r="480" ht="15.75" customHeight="1">
      <c r="A480" s="7"/>
      <c r="B480" s="7"/>
      <c r="C480" s="7"/>
      <c r="D480" s="7"/>
      <c r="E480" s="7"/>
      <c r="F480" s="7"/>
    </row>
    <row r="481" ht="15.75" customHeight="1">
      <c r="A481" s="7"/>
      <c r="B481" s="7"/>
      <c r="C481" s="7"/>
      <c r="D481" s="7"/>
      <c r="E481" s="7"/>
      <c r="F481" s="7"/>
    </row>
    <row r="482" ht="15.75" customHeight="1">
      <c r="A482" s="7"/>
      <c r="B482" s="7"/>
      <c r="C482" s="7"/>
      <c r="D482" s="7"/>
      <c r="E482" s="7"/>
      <c r="F482" s="7"/>
    </row>
    <row r="483" ht="15.75" customHeight="1">
      <c r="A483" s="7"/>
      <c r="B483" s="7"/>
      <c r="C483" s="7"/>
      <c r="D483" s="7"/>
      <c r="E483" s="7"/>
      <c r="F483" s="7"/>
    </row>
    <row r="484" ht="15.75" customHeight="1">
      <c r="A484" s="7"/>
      <c r="B484" s="7"/>
      <c r="C484" s="7"/>
      <c r="D484" s="7"/>
      <c r="E484" s="7"/>
      <c r="F484" s="7"/>
    </row>
    <row r="485" ht="15.75" customHeight="1">
      <c r="A485" s="7"/>
      <c r="B485" s="7"/>
      <c r="C485" s="7"/>
      <c r="D485" s="7"/>
      <c r="E485" s="7"/>
      <c r="F485" s="7"/>
    </row>
    <row r="486" ht="15.75" customHeight="1">
      <c r="A486" s="7"/>
      <c r="B486" s="7"/>
      <c r="C486" s="7"/>
      <c r="D486" s="7"/>
      <c r="E486" s="7"/>
      <c r="F486" s="7"/>
    </row>
    <row r="487" ht="15.75" customHeight="1">
      <c r="A487" s="7"/>
      <c r="B487" s="7"/>
      <c r="C487" s="7"/>
      <c r="D487" s="7"/>
      <c r="E487" s="7"/>
      <c r="F487" s="7"/>
    </row>
    <row r="488" ht="15.75" customHeight="1">
      <c r="A488" s="7"/>
      <c r="B488" s="7"/>
      <c r="C488" s="7"/>
      <c r="D488" s="7"/>
      <c r="E488" s="7"/>
      <c r="F488" s="7"/>
    </row>
    <row r="489" ht="15.75" customHeight="1">
      <c r="A489" s="7"/>
      <c r="B489" s="7"/>
      <c r="C489" s="7"/>
      <c r="D489" s="7"/>
      <c r="E489" s="7"/>
      <c r="F489" s="7"/>
    </row>
    <row r="490" ht="15.75" customHeight="1">
      <c r="A490" s="7"/>
      <c r="B490" s="7"/>
      <c r="C490" s="7"/>
      <c r="D490" s="7"/>
      <c r="E490" s="7"/>
      <c r="F490" s="7"/>
    </row>
    <row r="491" ht="15.75" customHeight="1">
      <c r="A491" s="7"/>
      <c r="B491" s="7"/>
      <c r="C491" s="7"/>
      <c r="D491" s="7"/>
      <c r="E491" s="7"/>
      <c r="F491" s="7"/>
    </row>
    <row r="492" ht="15.75" customHeight="1">
      <c r="A492" s="7"/>
      <c r="B492" s="7"/>
      <c r="C492" s="7"/>
      <c r="D492" s="7"/>
      <c r="E492" s="7"/>
      <c r="F492" s="7"/>
    </row>
    <row r="493" ht="15.75" customHeight="1">
      <c r="A493" s="7"/>
      <c r="B493" s="7"/>
      <c r="C493" s="7"/>
      <c r="D493" s="7"/>
      <c r="E493" s="7"/>
      <c r="F493" s="7"/>
    </row>
    <row r="494" ht="15.75" customHeight="1">
      <c r="A494" s="7"/>
      <c r="B494" s="7"/>
      <c r="C494" s="7"/>
      <c r="D494" s="7"/>
      <c r="E494" s="7"/>
      <c r="F494" s="7"/>
    </row>
    <row r="495" ht="15.75" customHeight="1">
      <c r="A495" s="7"/>
      <c r="B495" s="7"/>
      <c r="C495" s="7"/>
      <c r="D495" s="7"/>
      <c r="E495" s="7"/>
      <c r="F495" s="7"/>
    </row>
    <row r="496" ht="15.75" customHeight="1">
      <c r="A496" s="7"/>
      <c r="B496" s="7"/>
      <c r="C496" s="7"/>
      <c r="D496" s="7"/>
      <c r="E496" s="7"/>
      <c r="F496" s="7"/>
    </row>
    <row r="497" ht="15.75" customHeight="1">
      <c r="A497" s="7"/>
      <c r="B497" s="7"/>
      <c r="C497" s="7"/>
      <c r="D497" s="7"/>
      <c r="E497" s="7"/>
      <c r="F497" s="7"/>
    </row>
    <row r="498" ht="15.75" customHeight="1">
      <c r="A498" s="7"/>
      <c r="B498" s="7"/>
      <c r="C498" s="7"/>
      <c r="D498" s="7"/>
      <c r="E498" s="7"/>
      <c r="F498" s="7"/>
    </row>
    <row r="499" ht="15.75" customHeight="1">
      <c r="A499" s="7"/>
      <c r="B499" s="7"/>
      <c r="C499" s="7"/>
      <c r="D499" s="7"/>
      <c r="E499" s="7"/>
      <c r="F499" s="7"/>
    </row>
    <row r="500" ht="15.75" customHeight="1">
      <c r="A500" s="7"/>
      <c r="B500" s="7"/>
      <c r="C500" s="7"/>
      <c r="D500" s="7"/>
      <c r="E500" s="7"/>
      <c r="F500" s="7"/>
    </row>
    <row r="501" ht="15.75" customHeight="1">
      <c r="A501" s="7"/>
      <c r="B501" s="7"/>
      <c r="C501" s="7"/>
      <c r="D501" s="7"/>
      <c r="E501" s="7"/>
      <c r="F501" s="7"/>
    </row>
    <row r="502" ht="15.75" customHeight="1">
      <c r="A502" s="7"/>
      <c r="B502" s="7"/>
      <c r="C502" s="7"/>
      <c r="D502" s="7"/>
      <c r="E502" s="7"/>
      <c r="F502" s="7"/>
    </row>
    <row r="503" ht="15.75" customHeight="1">
      <c r="A503" s="7"/>
      <c r="B503" s="7"/>
      <c r="C503" s="7"/>
      <c r="D503" s="7"/>
      <c r="E503" s="7"/>
      <c r="F503" s="7"/>
    </row>
    <row r="504" ht="15.75" customHeight="1">
      <c r="A504" s="7"/>
      <c r="B504" s="7"/>
      <c r="C504" s="7"/>
      <c r="D504" s="7"/>
      <c r="E504" s="7"/>
      <c r="F504" s="7"/>
    </row>
    <row r="505" ht="15.75" customHeight="1">
      <c r="A505" s="7"/>
      <c r="B505" s="7"/>
      <c r="C505" s="7"/>
      <c r="D505" s="7"/>
      <c r="E505" s="7"/>
      <c r="F505" s="7"/>
    </row>
    <row r="506" ht="15.75" customHeight="1">
      <c r="A506" s="7"/>
      <c r="B506" s="7"/>
      <c r="C506" s="7"/>
      <c r="D506" s="7"/>
      <c r="E506" s="7"/>
      <c r="F506" s="7"/>
    </row>
    <row r="507" ht="15.75" customHeight="1">
      <c r="A507" s="7"/>
      <c r="B507" s="7"/>
      <c r="C507" s="7"/>
      <c r="D507" s="7"/>
      <c r="E507" s="7"/>
      <c r="F507" s="7"/>
    </row>
    <row r="508" ht="15.75" customHeight="1">
      <c r="A508" s="7"/>
      <c r="B508" s="7"/>
      <c r="C508" s="7"/>
      <c r="D508" s="7"/>
      <c r="E508" s="7"/>
      <c r="F508" s="7"/>
    </row>
    <row r="509" ht="15.75" customHeight="1">
      <c r="A509" s="7"/>
      <c r="B509" s="7"/>
      <c r="C509" s="7"/>
      <c r="D509" s="7"/>
      <c r="E509" s="7"/>
      <c r="F509" s="7"/>
    </row>
    <row r="510" ht="15.75" customHeight="1">
      <c r="A510" s="7"/>
      <c r="B510" s="7"/>
      <c r="C510" s="7"/>
      <c r="D510" s="7"/>
      <c r="E510" s="7"/>
      <c r="F510" s="7"/>
    </row>
    <row r="511" ht="15.75" customHeight="1">
      <c r="A511" s="7"/>
      <c r="B511" s="7"/>
      <c r="C511" s="7"/>
      <c r="D511" s="7"/>
      <c r="E511" s="7"/>
      <c r="F511" s="7"/>
    </row>
    <row r="512" ht="15.75" customHeight="1">
      <c r="A512" s="7"/>
      <c r="B512" s="7"/>
      <c r="C512" s="7"/>
      <c r="D512" s="7"/>
      <c r="E512" s="7"/>
      <c r="F512" s="7"/>
    </row>
    <row r="513" ht="15.75" customHeight="1">
      <c r="A513" s="7"/>
      <c r="B513" s="7"/>
      <c r="C513" s="7"/>
      <c r="D513" s="7"/>
      <c r="E513" s="7"/>
      <c r="F513" s="7"/>
    </row>
    <row r="514" ht="15.75" customHeight="1">
      <c r="A514" s="7"/>
      <c r="B514" s="7"/>
      <c r="C514" s="7"/>
      <c r="D514" s="7"/>
      <c r="E514" s="7"/>
      <c r="F514" s="7"/>
    </row>
    <row r="515" ht="15.75" customHeight="1">
      <c r="A515" s="7"/>
      <c r="B515" s="7"/>
      <c r="C515" s="7"/>
      <c r="D515" s="7"/>
      <c r="E515" s="7"/>
      <c r="F515" s="7"/>
    </row>
    <row r="516" ht="15.75" customHeight="1">
      <c r="A516" s="7"/>
      <c r="B516" s="7"/>
      <c r="C516" s="7"/>
      <c r="D516" s="7"/>
      <c r="E516" s="7"/>
      <c r="F516" s="7"/>
    </row>
    <row r="517" ht="15.75" customHeight="1">
      <c r="A517" s="7"/>
      <c r="B517" s="7"/>
      <c r="C517" s="7"/>
      <c r="D517" s="7"/>
      <c r="E517" s="7"/>
      <c r="F517" s="7"/>
    </row>
    <row r="518" ht="15.75" customHeight="1">
      <c r="A518" s="7"/>
      <c r="B518" s="7"/>
      <c r="C518" s="7"/>
      <c r="D518" s="7"/>
      <c r="E518" s="7"/>
      <c r="F518" s="7"/>
    </row>
    <row r="519" ht="15.75" customHeight="1">
      <c r="A519" s="7"/>
      <c r="B519" s="7"/>
      <c r="C519" s="7"/>
      <c r="D519" s="7"/>
      <c r="E519" s="7"/>
      <c r="F519" s="7"/>
    </row>
    <row r="520" ht="15.75" customHeight="1">
      <c r="A520" s="7"/>
      <c r="B520" s="7"/>
      <c r="C520" s="7"/>
      <c r="D520" s="7"/>
      <c r="E520" s="7"/>
      <c r="F520" s="7"/>
    </row>
    <row r="521" ht="15.75" customHeight="1">
      <c r="A521" s="7"/>
      <c r="B521" s="7"/>
      <c r="C521" s="7"/>
      <c r="D521" s="7"/>
      <c r="E521" s="7"/>
      <c r="F521" s="7"/>
    </row>
    <row r="522" ht="15.75" customHeight="1">
      <c r="A522" s="7"/>
      <c r="B522" s="7"/>
      <c r="C522" s="7"/>
      <c r="D522" s="7"/>
      <c r="E522" s="7"/>
      <c r="F522" s="7"/>
    </row>
    <row r="523" ht="15.75" customHeight="1">
      <c r="A523" s="7"/>
      <c r="B523" s="7"/>
      <c r="C523" s="7"/>
      <c r="D523" s="7"/>
      <c r="E523" s="7"/>
      <c r="F523" s="7"/>
    </row>
    <row r="524" ht="15.75" customHeight="1">
      <c r="A524" s="7"/>
      <c r="B524" s="7"/>
      <c r="C524" s="7"/>
      <c r="D524" s="7"/>
      <c r="E524" s="7"/>
      <c r="F524" s="7"/>
    </row>
    <row r="525" ht="15.75" customHeight="1">
      <c r="A525" s="7"/>
      <c r="B525" s="7"/>
      <c r="C525" s="7"/>
      <c r="D525" s="7"/>
      <c r="E525" s="7"/>
      <c r="F525" s="7"/>
    </row>
    <row r="526" ht="15.75" customHeight="1">
      <c r="A526" s="7"/>
      <c r="B526" s="7"/>
      <c r="C526" s="7"/>
      <c r="D526" s="7"/>
      <c r="E526" s="7"/>
      <c r="F526" s="7"/>
    </row>
    <row r="527" ht="15.75" customHeight="1">
      <c r="A527" s="7"/>
      <c r="B527" s="7"/>
      <c r="C527" s="7"/>
      <c r="D527" s="7"/>
      <c r="E527" s="7"/>
      <c r="F527" s="7"/>
    </row>
    <row r="528" ht="15.75" customHeight="1">
      <c r="A528" s="7"/>
      <c r="B528" s="7"/>
      <c r="C528" s="7"/>
      <c r="D528" s="7"/>
      <c r="E528" s="7"/>
      <c r="F528" s="7"/>
    </row>
    <row r="529" ht="15.75" customHeight="1">
      <c r="A529" s="7"/>
      <c r="B529" s="7"/>
      <c r="C529" s="7"/>
      <c r="D529" s="7"/>
      <c r="E529" s="7"/>
      <c r="F529" s="7"/>
    </row>
    <row r="530" ht="15.75" customHeight="1">
      <c r="A530" s="7"/>
      <c r="B530" s="7"/>
      <c r="C530" s="7"/>
      <c r="D530" s="7"/>
      <c r="E530" s="7"/>
      <c r="F530" s="7"/>
    </row>
    <row r="531" ht="15.75" customHeight="1">
      <c r="A531" s="7"/>
      <c r="B531" s="7"/>
      <c r="C531" s="7"/>
      <c r="D531" s="7"/>
      <c r="E531" s="7"/>
      <c r="F531" s="7"/>
    </row>
    <row r="532" ht="15.75" customHeight="1">
      <c r="A532" s="7"/>
      <c r="B532" s="7"/>
      <c r="C532" s="7"/>
      <c r="D532" s="7"/>
      <c r="E532" s="7"/>
      <c r="F532" s="7"/>
    </row>
    <row r="533" ht="15.75" customHeight="1">
      <c r="A533" s="7"/>
      <c r="B533" s="7"/>
      <c r="C533" s="7"/>
      <c r="D533" s="7"/>
      <c r="E533" s="7"/>
      <c r="F533" s="7"/>
    </row>
    <row r="534" ht="15.75" customHeight="1">
      <c r="A534" s="7"/>
      <c r="B534" s="7"/>
      <c r="C534" s="7"/>
      <c r="D534" s="7"/>
      <c r="E534" s="7"/>
      <c r="F534" s="7"/>
    </row>
    <row r="535" ht="15.75" customHeight="1">
      <c r="A535" s="7"/>
      <c r="B535" s="7"/>
      <c r="C535" s="7"/>
      <c r="D535" s="7"/>
      <c r="E535" s="7"/>
      <c r="F535" s="7"/>
    </row>
    <row r="536" ht="15.75" customHeight="1">
      <c r="A536" s="7"/>
      <c r="B536" s="7"/>
      <c r="C536" s="7"/>
      <c r="D536" s="7"/>
      <c r="E536" s="7"/>
      <c r="F536" s="7"/>
    </row>
    <row r="537" ht="15.75" customHeight="1">
      <c r="A537" s="7"/>
      <c r="B537" s="7"/>
      <c r="C537" s="7"/>
      <c r="D537" s="7"/>
      <c r="E537" s="7"/>
      <c r="F537" s="7"/>
    </row>
    <row r="538" ht="15.75" customHeight="1">
      <c r="A538" s="7"/>
      <c r="B538" s="7"/>
      <c r="C538" s="7"/>
      <c r="D538" s="7"/>
      <c r="E538" s="7"/>
      <c r="F538" s="7"/>
    </row>
    <row r="539" ht="15.75" customHeight="1">
      <c r="A539" s="7"/>
      <c r="B539" s="7"/>
      <c r="C539" s="7"/>
      <c r="D539" s="7"/>
      <c r="E539" s="7"/>
      <c r="F539" s="7"/>
    </row>
    <row r="540" ht="15.75" customHeight="1">
      <c r="A540" s="7"/>
      <c r="B540" s="7"/>
      <c r="C540" s="7"/>
      <c r="D540" s="7"/>
      <c r="E540" s="7"/>
      <c r="F540" s="7"/>
    </row>
    <row r="541" ht="15.75" customHeight="1">
      <c r="A541" s="7"/>
      <c r="B541" s="7"/>
      <c r="C541" s="7"/>
      <c r="D541" s="7"/>
      <c r="E541" s="7"/>
      <c r="F541" s="7"/>
    </row>
    <row r="542" ht="15.75" customHeight="1">
      <c r="A542" s="7"/>
      <c r="B542" s="7"/>
      <c r="C542" s="7"/>
      <c r="D542" s="7"/>
      <c r="E542" s="7"/>
      <c r="F542" s="7"/>
    </row>
    <row r="543" ht="15.75" customHeight="1">
      <c r="A543" s="7"/>
      <c r="B543" s="7"/>
      <c r="C543" s="7"/>
      <c r="D543" s="7"/>
      <c r="E543" s="7"/>
      <c r="F543" s="7"/>
    </row>
    <row r="544" ht="15.75" customHeight="1">
      <c r="A544" s="7"/>
      <c r="B544" s="7"/>
      <c r="C544" s="7"/>
      <c r="D544" s="7"/>
      <c r="E544" s="7"/>
      <c r="F544" s="7"/>
    </row>
    <row r="545" ht="15.75" customHeight="1">
      <c r="A545" s="7"/>
      <c r="B545" s="7"/>
      <c r="C545" s="7"/>
      <c r="D545" s="7"/>
      <c r="E545" s="7"/>
      <c r="F545" s="7"/>
    </row>
    <row r="546" ht="15.75" customHeight="1">
      <c r="A546" s="7"/>
      <c r="B546" s="7"/>
      <c r="C546" s="7"/>
      <c r="D546" s="7"/>
      <c r="E546" s="7"/>
      <c r="F546" s="7"/>
    </row>
    <row r="547" ht="15.75" customHeight="1">
      <c r="A547" s="7"/>
      <c r="B547" s="7"/>
      <c r="C547" s="7"/>
      <c r="D547" s="7"/>
      <c r="E547" s="7"/>
      <c r="F547" s="7"/>
    </row>
    <row r="548" ht="15.75" customHeight="1">
      <c r="A548" s="7"/>
      <c r="B548" s="7"/>
      <c r="C548" s="7"/>
      <c r="D548" s="7"/>
      <c r="E548" s="7"/>
      <c r="F548" s="7"/>
    </row>
    <row r="549" ht="15.75" customHeight="1">
      <c r="A549" s="7"/>
      <c r="B549" s="7"/>
      <c r="C549" s="7"/>
      <c r="D549" s="7"/>
      <c r="E549" s="7"/>
      <c r="F549" s="7"/>
    </row>
    <row r="550" ht="15.75" customHeight="1">
      <c r="A550" s="7"/>
      <c r="B550" s="7"/>
      <c r="C550" s="7"/>
      <c r="D550" s="7"/>
      <c r="E550" s="7"/>
      <c r="F550" s="7"/>
    </row>
    <row r="551" ht="15.75" customHeight="1">
      <c r="A551" s="7"/>
      <c r="B551" s="7"/>
      <c r="C551" s="7"/>
      <c r="D551" s="7"/>
      <c r="E551" s="7"/>
      <c r="F551" s="7"/>
    </row>
    <row r="552" ht="15.75" customHeight="1">
      <c r="A552" s="7"/>
      <c r="B552" s="7"/>
      <c r="C552" s="7"/>
      <c r="D552" s="7"/>
      <c r="E552" s="7"/>
      <c r="F552" s="7"/>
    </row>
    <row r="553" ht="15.75" customHeight="1">
      <c r="A553" s="7"/>
      <c r="B553" s="7"/>
      <c r="C553" s="7"/>
      <c r="D553" s="7"/>
      <c r="E553" s="7"/>
      <c r="F553" s="7"/>
    </row>
    <row r="554" ht="15.75" customHeight="1">
      <c r="A554" s="7"/>
      <c r="B554" s="7"/>
      <c r="C554" s="7"/>
      <c r="D554" s="7"/>
      <c r="E554" s="7"/>
      <c r="F554" s="7"/>
    </row>
    <row r="555" ht="15.75" customHeight="1">
      <c r="A555" s="7"/>
      <c r="B555" s="7"/>
      <c r="C555" s="7"/>
      <c r="D555" s="7"/>
      <c r="E555" s="7"/>
      <c r="F555" s="7"/>
    </row>
    <row r="556" ht="15.75" customHeight="1">
      <c r="A556" s="7"/>
      <c r="B556" s="7"/>
      <c r="C556" s="7"/>
      <c r="D556" s="7"/>
      <c r="E556" s="7"/>
      <c r="F556" s="7"/>
    </row>
    <row r="557" ht="15.75" customHeight="1">
      <c r="A557" s="7"/>
      <c r="B557" s="7"/>
      <c r="C557" s="7"/>
      <c r="D557" s="7"/>
      <c r="E557" s="7"/>
      <c r="F557" s="7"/>
    </row>
    <row r="558" ht="15.75" customHeight="1">
      <c r="A558" s="7"/>
      <c r="B558" s="7"/>
      <c r="C558" s="7"/>
      <c r="D558" s="7"/>
      <c r="E558" s="7"/>
      <c r="F558" s="7"/>
    </row>
    <row r="559" ht="15.75" customHeight="1">
      <c r="A559" s="7"/>
      <c r="B559" s="7"/>
      <c r="C559" s="7"/>
      <c r="D559" s="7"/>
      <c r="E559" s="7"/>
      <c r="F559" s="7"/>
    </row>
    <row r="560" ht="15.75" customHeight="1">
      <c r="A560" s="7"/>
      <c r="B560" s="7"/>
      <c r="C560" s="7"/>
      <c r="D560" s="7"/>
      <c r="E560" s="7"/>
      <c r="F560" s="7"/>
    </row>
    <row r="561" ht="15.75" customHeight="1">
      <c r="A561" s="7"/>
      <c r="B561" s="7"/>
      <c r="C561" s="7"/>
      <c r="D561" s="7"/>
      <c r="E561" s="7"/>
      <c r="F561" s="7"/>
    </row>
    <row r="562" ht="15.75" customHeight="1">
      <c r="A562" s="7"/>
      <c r="B562" s="7"/>
      <c r="C562" s="7"/>
      <c r="D562" s="7"/>
      <c r="E562" s="7"/>
      <c r="F562" s="7"/>
    </row>
    <row r="563" ht="15.75" customHeight="1">
      <c r="A563" s="7"/>
      <c r="B563" s="7"/>
      <c r="C563" s="7"/>
      <c r="D563" s="7"/>
      <c r="E563" s="7"/>
      <c r="F563" s="7"/>
    </row>
    <row r="564" ht="15.75" customHeight="1">
      <c r="A564" s="7"/>
      <c r="B564" s="7"/>
      <c r="C564" s="7"/>
      <c r="D564" s="7"/>
      <c r="E564" s="7"/>
      <c r="F564" s="7"/>
    </row>
    <row r="565" ht="15.75" customHeight="1">
      <c r="A565" s="7"/>
      <c r="B565" s="7"/>
      <c r="C565" s="7"/>
      <c r="D565" s="7"/>
      <c r="E565" s="7"/>
      <c r="F565" s="7"/>
    </row>
    <row r="566" ht="15.75" customHeight="1">
      <c r="A566" s="7"/>
      <c r="B566" s="7"/>
      <c r="C566" s="7"/>
      <c r="D566" s="7"/>
      <c r="E566" s="7"/>
      <c r="F566" s="7"/>
    </row>
    <row r="567" ht="15.75" customHeight="1">
      <c r="A567" s="7"/>
      <c r="B567" s="7"/>
      <c r="C567" s="7"/>
      <c r="D567" s="7"/>
      <c r="E567" s="7"/>
      <c r="F567" s="7"/>
    </row>
    <row r="568" ht="15.75" customHeight="1">
      <c r="A568" s="7"/>
      <c r="B568" s="7"/>
      <c r="C568" s="7"/>
      <c r="D568" s="7"/>
      <c r="E568" s="7"/>
      <c r="F568" s="7"/>
    </row>
    <row r="569" ht="15.75" customHeight="1">
      <c r="A569" s="7"/>
      <c r="B569" s="7"/>
      <c r="C569" s="7"/>
      <c r="D569" s="7"/>
      <c r="E569" s="7"/>
      <c r="F569" s="7"/>
    </row>
    <row r="570" ht="15.75" customHeight="1">
      <c r="A570" s="7"/>
      <c r="B570" s="7"/>
      <c r="C570" s="7"/>
      <c r="D570" s="7"/>
      <c r="E570" s="7"/>
      <c r="F570" s="7"/>
    </row>
    <row r="571" ht="15.75" customHeight="1">
      <c r="A571" s="7"/>
      <c r="B571" s="7"/>
      <c r="C571" s="7"/>
      <c r="D571" s="7"/>
      <c r="E571" s="7"/>
      <c r="F571" s="7"/>
    </row>
    <row r="572" ht="15.75" customHeight="1">
      <c r="A572" s="7"/>
      <c r="B572" s="7"/>
      <c r="C572" s="7"/>
      <c r="D572" s="7"/>
      <c r="E572" s="7"/>
      <c r="F572" s="7"/>
    </row>
    <row r="573" ht="15.75" customHeight="1">
      <c r="A573" s="7"/>
      <c r="B573" s="7"/>
      <c r="C573" s="7"/>
      <c r="D573" s="7"/>
      <c r="E573" s="7"/>
      <c r="F573" s="7"/>
    </row>
    <row r="574" ht="15.75" customHeight="1">
      <c r="A574" s="7"/>
      <c r="B574" s="7"/>
      <c r="C574" s="7"/>
      <c r="D574" s="7"/>
      <c r="E574" s="7"/>
      <c r="F574" s="7"/>
    </row>
    <row r="575" ht="15.75" customHeight="1">
      <c r="A575" s="7"/>
      <c r="B575" s="7"/>
      <c r="C575" s="7"/>
      <c r="D575" s="7"/>
      <c r="E575" s="7"/>
      <c r="F575" s="7"/>
    </row>
    <row r="576" ht="15.75" customHeight="1">
      <c r="A576" s="7"/>
      <c r="B576" s="7"/>
      <c r="C576" s="7"/>
      <c r="D576" s="7"/>
      <c r="E576" s="7"/>
      <c r="F576" s="7"/>
    </row>
    <row r="577" ht="15.75" customHeight="1">
      <c r="A577" s="7"/>
      <c r="B577" s="7"/>
      <c r="C577" s="7"/>
      <c r="D577" s="7"/>
      <c r="E577" s="7"/>
      <c r="F577" s="7"/>
    </row>
    <row r="578" ht="15.75" customHeight="1">
      <c r="A578" s="7"/>
      <c r="B578" s="7"/>
      <c r="C578" s="7"/>
      <c r="D578" s="7"/>
      <c r="E578" s="7"/>
      <c r="F578" s="7"/>
    </row>
    <row r="579" ht="15.75" customHeight="1">
      <c r="A579" s="7"/>
      <c r="B579" s="7"/>
      <c r="C579" s="7"/>
      <c r="D579" s="7"/>
      <c r="E579" s="7"/>
      <c r="F579" s="7"/>
    </row>
    <row r="580" ht="15.75" customHeight="1">
      <c r="A580" s="7"/>
      <c r="B580" s="7"/>
      <c r="C580" s="7"/>
      <c r="D580" s="7"/>
      <c r="E580" s="7"/>
      <c r="F580" s="7"/>
    </row>
    <row r="581" ht="15.75" customHeight="1">
      <c r="A581" s="7"/>
      <c r="B581" s="7"/>
      <c r="C581" s="7"/>
      <c r="D581" s="7"/>
      <c r="E581" s="7"/>
      <c r="F581" s="7"/>
    </row>
    <row r="582" ht="15.75" customHeight="1">
      <c r="A582" s="7"/>
      <c r="B582" s="7"/>
      <c r="C582" s="7"/>
      <c r="D582" s="7"/>
      <c r="E582" s="7"/>
      <c r="F582" s="7"/>
    </row>
    <row r="583" ht="15.75" customHeight="1">
      <c r="A583" s="7"/>
      <c r="B583" s="7"/>
      <c r="C583" s="7"/>
      <c r="D583" s="7"/>
      <c r="E583" s="7"/>
      <c r="F583" s="7"/>
    </row>
    <row r="584" ht="15.75" customHeight="1">
      <c r="A584" s="7"/>
      <c r="B584" s="7"/>
      <c r="C584" s="7"/>
      <c r="D584" s="7"/>
      <c r="E584" s="7"/>
      <c r="F584" s="7"/>
    </row>
    <row r="585" ht="15.75" customHeight="1">
      <c r="A585" s="7"/>
      <c r="B585" s="7"/>
      <c r="C585" s="7"/>
      <c r="D585" s="7"/>
      <c r="E585" s="7"/>
      <c r="F585" s="7"/>
    </row>
    <row r="586" ht="15.75" customHeight="1">
      <c r="A586" s="7"/>
      <c r="B586" s="7"/>
      <c r="C586" s="7"/>
      <c r="D586" s="7"/>
      <c r="E586" s="7"/>
      <c r="F586" s="7"/>
    </row>
    <row r="587" ht="15.75" customHeight="1">
      <c r="A587" s="7"/>
      <c r="B587" s="7"/>
      <c r="C587" s="7"/>
      <c r="D587" s="7"/>
      <c r="E587" s="7"/>
      <c r="F587" s="7"/>
    </row>
    <row r="588" ht="15.75" customHeight="1">
      <c r="A588" s="7"/>
      <c r="B588" s="7"/>
      <c r="C588" s="7"/>
      <c r="D588" s="7"/>
      <c r="E588" s="7"/>
      <c r="F588" s="7"/>
    </row>
    <row r="589" ht="15.75" customHeight="1">
      <c r="A589" s="7"/>
      <c r="B589" s="7"/>
      <c r="C589" s="7"/>
      <c r="D589" s="7"/>
      <c r="E589" s="7"/>
      <c r="F589" s="7"/>
    </row>
    <row r="590" ht="15.75" customHeight="1">
      <c r="A590" s="7"/>
      <c r="B590" s="7"/>
      <c r="C590" s="7"/>
      <c r="D590" s="7"/>
      <c r="E590" s="7"/>
      <c r="F590" s="7"/>
    </row>
    <row r="591" ht="15.75" customHeight="1">
      <c r="A591" s="7"/>
      <c r="B591" s="7"/>
      <c r="C591" s="7"/>
      <c r="D591" s="7"/>
      <c r="E591" s="7"/>
      <c r="F591" s="7"/>
    </row>
    <row r="592" ht="15.75" customHeight="1">
      <c r="A592" s="7"/>
      <c r="B592" s="7"/>
      <c r="C592" s="7"/>
      <c r="D592" s="7"/>
      <c r="E592" s="7"/>
      <c r="F592" s="7"/>
    </row>
    <row r="593" ht="15.75" customHeight="1">
      <c r="A593" s="7"/>
      <c r="B593" s="7"/>
      <c r="C593" s="7"/>
      <c r="D593" s="7"/>
      <c r="E593" s="7"/>
      <c r="F593" s="7"/>
    </row>
    <row r="594" ht="15.75" customHeight="1">
      <c r="A594" s="7"/>
      <c r="B594" s="7"/>
      <c r="C594" s="7"/>
      <c r="D594" s="7"/>
      <c r="E594" s="7"/>
      <c r="F594" s="7"/>
    </row>
    <row r="595" ht="15.75" customHeight="1">
      <c r="A595" s="7"/>
      <c r="B595" s="7"/>
      <c r="C595" s="7"/>
      <c r="D595" s="7"/>
      <c r="E595" s="7"/>
      <c r="F595" s="7"/>
    </row>
    <row r="596" ht="15.75" customHeight="1">
      <c r="A596" s="7"/>
      <c r="B596" s="7"/>
      <c r="C596" s="7"/>
      <c r="D596" s="7"/>
      <c r="E596" s="7"/>
      <c r="F596" s="7"/>
    </row>
    <row r="597" ht="15.75" customHeight="1">
      <c r="A597" s="7"/>
      <c r="B597" s="7"/>
      <c r="C597" s="7"/>
      <c r="D597" s="7"/>
      <c r="E597" s="7"/>
      <c r="F597" s="7"/>
    </row>
    <row r="598" ht="15.75" customHeight="1">
      <c r="A598" s="7"/>
      <c r="B598" s="7"/>
      <c r="C598" s="7"/>
      <c r="D598" s="7"/>
      <c r="E598" s="7"/>
      <c r="F598" s="7"/>
    </row>
    <row r="599" ht="15.75" customHeight="1">
      <c r="A599" s="7"/>
      <c r="B599" s="7"/>
      <c r="C599" s="7"/>
      <c r="D599" s="7"/>
      <c r="E599" s="7"/>
      <c r="F599" s="7"/>
    </row>
    <row r="600" ht="15.75" customHeight="1">
      <c r="A600" s="7"/>
      <c r="B600" s="7"/>
      <c r="C600" s="7"/>
      <c r="D600" s="7"/>
      <c r="E600" s="7"/>
      <c r="F600" s="7"/>
    </row>
    <row r="601" ht="15.75" customHeight="1">
      <c r="A601" s="7"/>
      <c r="B601" s="7"/>
      <c r="C601" s="7"/>
      <c r="D601" s="7"/>
      <c r="E601" s="7"/>
      <c r="F601" s="7"/>
    </row>
    <row r="602" ht="15.75" customHeight="1">
      <c r="A602" s="7"/>
      <c r="B602" s="7"/>
      <c r="C602" s="7"/>
      <c r="D602" s="7"/>
      <c r="E602" s="7"/>
      <c r="F602" s="7"/>
    </row>
    <row r="603" ht="15.75" customHeight="1">
      <c r="A603" s="7"/>
      <c r="B603" s="7"/>
      <c r="C603" s="7"/>
      <c r="D603" s="7"/>
      <c r="E603" s="7"/>
      <c r="F603" s="7"/>
    </row>
    <row r="604" ht="15.75" customHeight="1">
      <c r="A604" s="7"/>
      <c r="B604" s="7"/>
      <c r="C604" s="7"/>
      <c r="D604" s="7"/>
      <c r="E604" s="7"/>
      <c r="F604" s="7"/>
    </row>
    <row r="605" ht="15.75" customHeight="1">
      <c r="A605" s="7"/>
      <c r="B605" s="7"/>
      <c r="C605" s="7"/>
      <c r="D605" s="7"/>
      <c r="E605" s="7"/>
      <c r="F605" s="7"/>
    </row>
    <row r="606" ht="15.75" customHeight="1">
      <c r="A606" s="7"/>
      <c r="B606" s="7"/>
      <c r="C606" s="7"/>
      <c r="D606" s="7"/>
      <c r="E606" s="7"/>
      <c r="F606" s="7"/>
    </row>
    <row r="607" ht="15.75" customHeight="1">
      <c r="A607" s="7"/>
      <c r="B607" s="7"/>
      <c r="C607" s="7"/>
      <c r="D607" s="7"/>
      <c r="E607" s="7"/>
      <c r="F607" s="7"/>
    </row>
    <row r="608" ht="15.75" customHeight="1">
      <c r="A608" s="7"/>
      <c r="B608" s="7"/>
      <c r="C608" s="7"/>
      <c r="D608" s="7"/>
      <c r="E608" s="7"/>
      <c r="F608" s="7"/>
    </row>
    <row r="609" ht="15.75" customHeight="1">
      <c r="A609" s="7"/>
      <c r="B609" s="7"/>
      <c r="C609" s="7"/>
      <c r="D609" s="7"/>
      <c r="E609" s="7"/>
      <c r="F609" s="7"/>
    </row>
    <row r="610" ht="15.75" customHeight="1">
      <c r="A610" s="7"/>
      <c r="B610" s="7"/>
      <c r="C610" s="7"/>
      <c r="D610" s="7"/>
      <c r="E610" s="7"/>
      <c r="F610" s="7"/>
    </row>
    <row r="611" ht="15.75" customHeight="1">
      <c r="A611" s="7"/>
      <c r="B611" s="7"/>
      <c r="C611" s="7"/>
      <c r="D611" s="7"/>
      <c r="E611" s="7"/>
      <c r="F611" s="7"/>
    </row>
    <row r="612" ht="15.75" customHeight="1">
      <c r="A612" s="7"/>
      <c r="B612" s="7"/>
      <c r="C612" s="7"/>
      <c r="D612" s="7"/>
      <c r="E612" s="7"/>
      <c r="F612" s="7"/>
    </row>
    <row r="613" ht="15.75" customHeight="1">
      <c r="A613" s="7"/>
      <c r="B613" s="7"/>
      <c r="C613" s="7"/>
      <c r="D613" s="7"/>
      <c r="E613" s="7"/>
      <c r="F613" s="7"/>
    </row>
    <row r="614" ht="15.75" customHeight="1">
      <c r="A614" s="7"/>
      <c r="B614" s="7"/>
      <c r="C614" s="7"/>
      <c r="D614" s="7"/>
      <c r="E614" s="7"/>
      <c r="F614" s="7"/>
    </row>
    <row r="615" ht="15.75" customHeight="1">
      <c r="A615" s="7"/>
      <c r="B615" s="7"/>
      <c r="C615" s="7"/>
      <c r="D615" s="7"/>
      <c r="E615" s="7"/>
      <c r="F615" s="7"/>
    </row>
    <row r="616" ht="15.75" customHeight="1">
      <c r="A616" s="7"/>
      <c r="B616" s="7"/>
      <c r="C616" s="7"/>
      <c r="D616" s="7"/>
      <c r="E616" s="7"/>
      <c r="F616" s="7"/>
    </row>
    <row r="617" ht="15.75" customHeight="1">
      <c r="A617" s="7"/>
      <c r="B617" s="7"/>
      <c r="C617" s="7"/>
      <c r="D617" s="7"/>
      <c r="E617" s="7"/>
      <c r="F617" s="7"/>
    </row>
    <row r="618" ht="15.75" customHeight="1">
      <c r="A618" s="7"/>
      <c r="B618" s="7"/>
      <c r="C618" s="7"/>
      <c r="D618" s="7"/>
      <c r="E618" s="7"/>
      <c r="F618" s="7"/>
    </row>
    <row r="619" ht="15.75" customHeight="1">
      <c r="A619" s="7"/>
      <c r="B619" s="7"/>
      <c r="C619" s="7"/>
      <c r="D619" s="7"/>
      <c r="E619" s="7"/>
      <c r="F619" s="7"/>
    </row>
    <row r="620" ht="15.75" customHeight="1">
      <c r="A620" s="7"/>
      <c r="B620" s="7"/>
      <c r="C620" s="7"/>
      <c r="D620" s="7"/>
      <c r="E620" s="7"/>
      <c r="F620" s="7"/>
    </row>
    <row r="621" ht="15.75" customHeight="1">
      <c r="A621" s="7"/>
      <c r="B621" s="7"/>
      <c r="C621" s="7"/>
      <c r="D621" s="7"/>
      <c r="E621" s="7"/>
      <c r="F621" s="7"/>
    </row>
    <row r="622" ht="15.75" customHeight="1">
      <c r="A622" s="7"/>
      <c r="B622" s="7"/>
      <c r="C622" s="7"/>
      <c r="D622" s="7"/>
      <c r="E622" s="7"/>
      <c r="F622" s="7"/>
    </row>
    <row r="623" ht="15.75" customHeight="1">
      <c r="A623" s="7"/>
      <c r="B623" s="7"/>
      <c r="C623" s="7"/>
      <c r="D623" s="7"/>
      <c r="E623" s="7"/>
      <c r="F623" s="7"/>
    </row>
    <row r="624" ht="15.75" customHeight="1">
      <c r="A624" s="7"/>
      <c r="B624" s="7"/>
      <c r="C624" s="7"/>
      <c r="D624" s="7"/>
      <c r="E624" s="7"/>
      <c r="F624" s="7"/>
    </row>
    <row r="625" ht="15.75" customHeight="1">
      <c r="A625" s="7"/>
      <c r="B625" s="7"/>
      <c r="C625" s="7"/>
      <c r="D625" s="7"/>
      <c r="E625" s="7"/>
      <c r="F625" s="7"/>
    </row>
    <row r="626" ht="15.75" customHeight="1">
      <c r="A626" s="7"/>
      <c r="B626" s="7"/>
      <c r="C626" s="7"/>
      <c r="D626" s="7"/>
      <c r="E626" s="7"/>
      <c r="F626" s="7"/>
    </row>
    <row r="627" ht="15.75" customHeight="1">
      <c r="A627" s="7"/>
      <c r="B627" s="7"/>
      <c r="C627" s="7"/>
      <c r="D627" s="7"/>
      <c r="E627" s="7"/>
      <c r="F627" s="7"/>
    </row>
    <row r="628" ht="15.75" customHeight="1">
      <c r="A628" s="7"/>
      <c r="B628" s="7"/>
      <c r="C628" s="7"/>
      <c r="D628" s="7"/>
      <c r="E628" s="7"/>
      <c r="F628" s="7"/>
    </row>
    <row r="629" ht="15.75" customHeight="1">
      <c r="A629" s="7"/>
      <c r="B629" s="7"/>
      <c r="C629" s="7"/>
      <c r="D629" s="7"/>
      <c r="E629" s="7"/>
      <c r="F629" s="7"/>
    </row>
    <row r="630" ht="15.75" customHeight="1">
      <c r="A630" s="7"/>
      <c r="B630" s="7"/>
      <c r="C630" s="7"/>
      <c r="D630" s="7"/>
      <c r="E630" s="7"/>
      <c r="F630" s="7"/>
    </row>
    <row r="631" ht="15.75" customHeight="1">
      <c r="A631" s="7"/>
      <c r="B631" s="7"/>
      <c r="C631" s="7"/>
      <c r="D631" s="7"/>
      <c r="E631" s="7"/>
      <c r="F631" s="7"/>
    </row>
    <row r="632" ht="15.75" customHeight="1">
      <c r="A632" s="7"/>
      <c r="B632" s="7"/>
      <c r="C632" s="7"/>
      <c r="D632" s="7"/>
      <c r="E632" s="7"/>
      <c r="F632" s="7"/>
    </row>
    <row r="633" ht="15.75" customHeight="1">
      <c r="A633" s="7"/>
      <c r="B633" s="7"/>
      <c r="C633" s="7"/>
      <c r="D633" s="7"/>
      <c r="E633" s="7"/>
      <c r="F633" s="7"/>
    </row>
    <row r="634" ht="15.75" customHeight="1">
      <c r="A634" s="7"/>
      <c r="B634" s="7"/>
      <c r="C634" s="7"/>
      <c r="D634" s="7"/>
      <c r="E634" s="7"/>
      <c r="F634" s="7"/>
    </row>
    <row r="635" ht="15.75" customHeight="1">
      <c r="A635" s="7"/>
      <c r="B635" s="7"/>
      <c r="C635" s="7"/>
      <c r="D635" s="7"/>
      <c r="E635" s="7"/>
      <c r="F635" s="7"/>
    </row>
    <row r="636" ht="15.75" customHeight="1">
      <c r="A636" s="7"/>
      <c r="B636" s="7"/>
      <c r="C636" s="7"/>
      <c r="D636" s="7"/>
      <c r="E636" s="7"/>
      <c r="F636" s="7"/>
    </row>
    <row r="637" ht="15.75" customHeight="1">
      <c r="A637" s="7"/>
      <c r="B637" s="7"/>
      <c r="C637" s="7"/>
      <c r="D637" s="7"/>
      <c r="E637" s="7"/>
      <c r="F637" s="7"/>
    </row>
    <row r="638" ht="15.75" customHeight="1">
      <c r="A638" s="7"/>
      <c r="B638" s="7"/>
      <c r="C638" s="7"/>
      <c r="D638" s="7"/>
      <c r="E638" s="7"/>
      <c r="F638" s="7"/>
    </row>
    <row r="639" ht="15.75" customHeight="1">
      <c r="A639" s="7"/>
      <c r="B639" s="7"/>
      <c r="C639" s="7"/>
      <c r="D639" s="7"/>
      <c r="E639" s="7"/>
      <c r="F639" s="7"/>
    </row>
    <row r="640" ht="15.75" customHeight="1">
      <c r="A640" s="7"/>
      <c r="B640" s="7"/>
      <c r="C640" s="7"/>
      <c r="D640" s="7"/>
      <c r="E640" s="7"/>
      <c r="F640" s="7"/>
    </row>
    <row r="641" ht="15.75" customHeight="1">
      <c r="A641" s="7"/>
      <c r="B641" s="7"/>
      <c r="C641" s="7"/>
      <c r="D641" s="7"/>
      <c r="E641" s="7"/>
      <c r="F641" s="7"/>
    </row>
    <row r="642" ht="15.75" customHeight="1">
      <c r="A642" s="7"/>
      <c r="B642" s="7"/>
      <c r="C642" s="7"/>
      <c r="D642" s="7"/>
      <c r="E642" s="7"/>
      <c r="F642" s="7"/>
    </row>
    <row r="643" ht="15.75" customHeight="1">
      <c r="A643" s="7"/>
      <c r="B643" s="7"/>
      <c r="C643" s="7"/>
      <c r="D643" s="7"/>
      <c r="E643" s="7"/>
      <c r="F643" s="7"/>
    </row>
    <row r="644" ht="15.75" customHeight="1">
      <c r="A644" s="7"/>
      <c r="B644" s="7"/>
      <c r="C644" s="7"/>
      <c r="D644" s="7"/>
      <c r="E644" s="7"/>
      <c r="F644" s="7"/>
    </row>
    <row r="645" ht="15.75" customHeight="1">
      <c r="A645" s="7"/>
      <c r="B645" s="7"/>
      <c r="C645" s="7"/>
      <c r="D645" s="7"/>
      <c r="E645" s="7"/>
      <c r="F645" s="7"/>
    </row>
    <row r="646" ht="15.75" customHeight="1">
      <c r="A646" s="7"/>
      <c r="B646" s="7"/>
      <c r="C646" s="7"/>
      <c r="D646" s="7"/>
      <c r="E646" s="7"/>
      <c r="F646" s="7"/>
    </row>
    <row r="647" ht="15.75" customHeight="1">
      <c r="A647" s="7"/>
      <c r="B647" s="7"/>
      <c r="C647" s="7"/>
      <c r="D647" s="7"/>
      <c r="E647" s="7"/>
      <c r="F647" s="7"/>
    </row>
    <row r="648" ht="15.75" customHeight="1">
      <c r="A648" s="7"/>
      <c r="B648" s="7"/>
      <c r="C648" s="7"/>
      <c r="D648" s="7"/>
      <c r="E648" s="7"/>
      <c r="F648" s="7"/>
    </row>
    <row r="649" ht="15.75" customHeight="1">
      <c r="A649" s="7"/>
      <c r="B649" s="7"/>
      <c r="C649" s="7"/>
      <c r="D649" s="7"/>
      <c r="E649" s="7"/>
      <c r="F649" s="7"/>
    </row>
    <row r="650" ht="15.75" customHeight="1">
      <c r="A650" s="7"/>
      <c r="B650" s="7"/>
      <c r="C650" s="7"/>
      <c r="D650" s="7"/>
      <c r="E650" s="7"/>
      <c r="F650" s="7"/>
    </row>
    <row r="651" ht="15.75" customHeight="1">
      <c r="A651" s="7"/>
      <c r="B651" s="7"/>
      <c r="C651" s="7"/>
      <c r="D651" s="7"/>
      <c r="E651" s="7"/>
      <c r="F651" s="7"/>
    </row>
    <row r="652" ht="15.75" customHeight="1">
      <c r="A652" s="7"/>
      <c r="B652" s="7"/>
      <c r="C652" s="7"/>
      <c r="D652" s="7"/>
      <c r="E652" s="7"/>
      <c r="F652" s="7"/>
    </row>
    <row r="653" ht="15.75" customHeight="1">
      <c r="A653" s="7"/>
      <c r="B653" s="7"/>
      <c r="C653" s="7"/>
      <c r="D653" s="7"/>
      <c r="E653" s="7"/>
      <c r="F653" s="7"/>
    </row>
    <row r="654" ht="15.75" customHeight="1">
      <c r="A654" s="7"/>
      <c r="B654" s="7"/>
      <c r="C654" s="7"/>
      <c r="D654" s="7"/>
      <c r="E654" s="7"/>
      <c r="F654" s="7"/>
    </row>
    <row r="655" ht="15.75" customHeight="1">
      <c r="A655" s="7"/>
      <c r="B655" s="7"/>
      <c r="C655" s="7"/>
      <c r="D655" s="7"/>
      <c r="E655" s="7"/>
      <c r="F655" s="7"/>
    </row>
    <row r="656" ht="15.75" customHeight="1">
      <c r="A656" s="7"/>
      <c r="B656" s="7"/>
      <c r="C656" s="7"/>
      <c r="D656" s="7"/>
      <c r="E656" s="7"/>
      <c r="F656" s="7"/>
    </row>
    <row r="657" ht="15.75" customHeight="1">
      <c r="A657" s="7"/>
      <c r="B657" s="7"/>
      <c r="C657" s="7"/>
      <c r="D657" s="7"/>
      <c r="E657" s="7"/>
      <c r="F657" s="7"/>
    </row>
    <row r="658" ht="15.75" customHeight="1">
      <c r="A658" s="7"/>
      <c r="B658" s="7"/>
      <c r="C658" s="7"/>
      <c r="D658" s="7"/>
      <c r="E658" s="7"/>
      <c r="F658" s="7"/>
    </row>
    <row r="659" ht="15.75" customHeight="1">
      <c r="A659" s="7"/>
      <c r="B659" s="7"/>
      <c r="C659" s="7"/>
      <c r="D659" s="7"/>
      <c r="E659" s="7"/>
      <c r="F659" s="7"/>
    </row>
    <row r="660" ht="15.75" customHeight="1">
      <c r="A660" s="7"/>
      <c r="B660" s="7"/>
      <c r="C660" s="7"/>
      <c r="D660" s="7"/>
      <c r="E660" s="7"/>
      <c r="F660" s="7"/>
    </row>
    <row r="661" ht="15.75" customHeight="1">
      <c r="A661" s="7"/>
      <c r="B661" s="7"/>
      <c r="C661" s="7"/>
      <c r="D661" s="7"/>
      <c r="E661" s="7"/>
      <c r="F661" s="7"/>
    </row>
    <row r="662" ht="15.75" customHeight="1">
      <c r="A662" s="7"/>
      <c r="B662" s="7"/>
      <c r="C662" s="7"/>
      <c r="D662" s="7"/>
      <c r="E662" s="7"/>
      <c r="F662" s="7"/>
    </row>
    <row r="663" ht="15.75" customHeight="1">
      <c r="A663" s="7"/>
      <c r="B663" s="7"/>
      <c r="C663" s="7"/>
      <c r="D663" s="7"/>
      <c r="E663" s="7"/>
      <c r="F663" s="7"/>
    </row>
    <row r="664" ht="15.75" customHeight="1">
      <c r="A664" s="7"/>
      <c r="B664" s="7"/>
      <c r="C664" s="7"/>
      <c r="D664" s="7"/>
      <c r="E664" s="7"/>
      <c r="F664" s="7"/>
    </row>
    <row r="665" ht="15.75" customHeight="1">
      <c r="A665" s="7"/>
      <c r="B665" s="7"/>
      <c r="C665" s="7"/>
      <c r="D665" s="7"/>
      <c r="E665" s="7"/>
      <c r="F665" s="7"/>
    </row>
    <row r="666" ht="15.75" customHeight="1">
      <c r="A666" s="7"/>
      <c r="B666" s="7"/>
      <c r="C666" s="7"/>
      <c r="D666" s="7"/>
      <c r="E666" s="7"/>
      <c r="F666" s="7"/>
    </row>
    <row r="667" ht="15.75" customHeight="1">
      <c r="A667" s="7"/>
      <c r="B667" s="7"/>
      <c r="C667" s="7"/>
      <c r="D667" s="7"/>
      <c r="E667" s="7"/>
      <c r="F667" s="7"/>
    </row>
    <row r="668" ht="15.75" customHeight="1">
      <c r="A668" s="7"/>
      <c r="B668" s="7"/>
      <c r="C668" s="7"/>
      <c r="D668" s="7"/>
      <c r="E668" s="7"/>
      <c r="F668" s="7"/>
    </row>
    <row r="669" ht="15.75" customHeight="1">
      <c r="A669" s="7"/>
      <c r="B669" s="7"/>
      <c r="C669" s="7"/>
      <c r="D669" s="7"/>
      <c r="E669" s="7"/>
      <c r="F669" s="7"/>
    </row>
    <row r="670" ht="15.75" customHeight="1">
      <c r="A670" s="7"/>
      <c r="B670" s="7"/>
      <c r="C670" s="7"/>
      <c r="D670" s="7"/>
      <c r="E670" s="7"/>
      <c r="F670" s="7"/>
    </row>
    <row r="671" ht="15.75" customHeight="1">
      <c r="A671" s="7"/>
      <c r="B671" s="7"/>
      <c r="C671" s="7"/>
      <c r="D671" s="7"/>
      <c r="E671" s="7"/>
      <c r="F671" s="7"/>
    </row>
    <row r="672" ht="15.75" customHeight="1">
      <c r="A672" s="7"/>
      <c r="B672" s="7"/>
      <c r="C672" s="7"/>
      <c r="D672" s="7"/>
      <c r="E672" s="7"/>
      <c r="F672" s="7"/>
    </row>
    <row r="673" ht="15.75" customHeight="1">
      <c r="A673" s="7"/>
      <c r="B673" s="7"/>
      <c r="C673" s="7"/>
      <c r="D673" s="7"/>
      <c r="E673" s="7"/>
      <c r="F673" s="7"/>
    </row>
    <row r="674" ht="15.75" customHeight="1">
      <c r="A674" s="7"/>
      <c r="B674" s="7"/>
      <c r="C674" s="7"/>
      <c r="D674" s="7"/>
      <c r="E674" s="7"/>
      <c r="F674" s="7"/>
    </row>
    <row r="675" ht="15.75" customHeight="1">
      <c r="A675" s="7"/>
      <c r="B675" s="7"/>
      <c r="C675" s="7"/>
      <c r="D675" s="7"/>
      <c r="E675" s="7"/>
      <c r="F675" s="7"/>
    </row>
    <row r="676" ht="15.75" customHeight="1">
      <c r="A676" s="7"/>
      <c r="B676" s="7"/>
      <c r="C676" s="7"/>
      <c r="D676" s="7"/>
      <c r="E676" s="7"/>
      <c r="F676" s="7"/>
    </row>
    <row r="677" ht="15.75" customHeight="1">
      <c r="A677" s="7"/>
      <c r="B677" s="7"/>
      <c r="C677" s="7"/>
      <c r="D677" s="7"/>
      <c r="E677" s="7"/>
      <c r="F677" s="7"/>
    </row>
    <row r="678" ht="15.75" customHeight="1">
      <c r="A678" s="7"/>
      <c r="B678" s="7"/>
      <c r="C678" s="7"/>
      <c r="D678" s="7"/>
      <c r="E678" s="7"/>
      <c r="F678" s="7"/>
    </row>
    <row r="679" ht="15.75" customHeight="1">
      <c r="A679" s="7"/>
      <c r="B679" s="7"/>
      <c r="C679" s="7"/>
      <c r="D679" s="7"/>
      <c r="E679" s="7"/>
      <c r="F679" s="7"/>
    </row>
    <row r="680" ht="15.75" customHeight="1">
      <c r="A680" s="7"/>
      <c r="B680" s="7"/>
      <c r="C680" s="7"/>
      <c r="D680" s="7"/>
      <c r="E680" s="7"/>
      <c r="F680" s="7"/>
    </row>
    <row r="681" ht="15.75" customHeight="1">
      <c r="A681" s="7"/>
      <c r="B681" s="7"/>
      <c r="C681" s="7"/>
      <c r="D681" s="7"/>
      <c r="E681" s="7"/>
      <c r="F681" s="7"/>
    </row>
    <row r="682" ht="15.75" customHeight="1">
      <c r="A682" s="7"/>
      <c r="B682" s="7"/>
      <c r="C682" s="7"/>
      <c r="D682" s="7"/>
      <c r="E682" s="7"/>
      <c r="F682" s="7"/>
    </row>
    <row r="683" ht="15.75" customHeight="1">
      <c r="A683" s="7"/>
      <c r="B683" s="7"/>
      <c r="C683" s="7"/>
      <c r="D683" s="7"/>
      <c r="E683" s="7"/>
      <c r="F683" s="7"/>
    </row>
    <row r="684" ht="15.75" customHeight="1">
      <c r="A684" s="7"/>
      <c r="B684" s="7"/>
      <c r="C684" s="7"/>
      <c r="D684" s="7"/>
      <c r="E684" s="7"/>
      <c r="F684" s="7"/>
    </row>
    <row r="685" ht="15.75" customHeight="1">
      <c r="A685" s="7"/>
      <c r="B685" s="7"/>
      <c r="C685" s="7"/>
      <c r="D685" s="7"/>
      <c r="E685" s="7"/>
      <c r="F685" s="7"/>
    </row>
    <row r="686" ht="15.75" customHeight="1">
      <c r="A686" s="7"/>
      <c r="B686" s="7"/>
      <c r="C686" s="7"/>
      <c r="D686" s="7"/>
      <c r="E686" s="7"/>
      <c r="F686" s="7"/>
    </row>
    <row r="687" ht="15.75" customHeight="1">
      <c r="A687" s="7"/>
      <c r="B687" s="7"/>
      <c r="C687" s="7"/>
      <c r="D687" s="7"/>
      <c r="E687" s="7"/>
      <c r="F687" s="7"/>
    </row>
    <row r="688" ht="15.75" customHeight="1">
      <c r="A688" s="7"/>
      <c r="B688" s="7"/>
      <c r="C688" s="7"/>
      <c r="D688" s="7"/>
      <c r="E688" s="7"/>
      <c r="F688" s="7"/>
    </row>
    <row r="689" ht="15.75" customHeight="1">
      <c r="A689" s="7"/>
      <c r="B689" s="7"/>
      <c r="C689" s="7"/>
      <c r="D689" s="7"/>
      <c r="E689" s="7"/>
      <c r="F689" s="7"/>
    </row>
    <row r="690" ht="15.75" customHeight="1">
      <c r="A690" s="7"/>
      <c r="B690" s="7"/>
      <c r="C690" s="7"/>
      <c r="D690" s="7"/>
      <c r="E690" s="7"/>
      <c r="F690" s="7"/>
    </row>
    <row r="691" ht="15.75" customHeight="1">
      <c r="A691" s="7"/>
      <c r="B691" s="7"/>
      <c r="C691" s="7"/>
      <c r="D691" s="7"/>
      <c r="E691" s="7"/>
      <c r="F691" s="7"/>
    </row>
    <row r="692" ht="15.75" customHeight="1">
      <c r="A692" s="7"/>
      <c r="B692" s="7"/>
      <c r="C692" s="7"/>
      <c r="D692" s="7"/>
      <c r="E692" s="7"/>
      <c r="F692" s="7"/>
    </row>
    <row r="693" ht="15.75" customHeight="1">
      <c r="A693" s="7"/>
      <c r="B693" s="7"/>
      <c r="C693" s="7"/>
      <c r="D693" s="7"/>
      <c r="E693" s="7"/>
      <c r="F693" s="7"/>
    </row>
    <row r="694" ht="15.75" customHeight="1">
      <c r="A694" s="7"/>
      <c r="B694" s="7"/>
      <c r="C694" s="7"/>
      <c r="D694" s="7"/>
      <c r="E694" s="7"/>
      <c r="F694" s="7"/>
    </row>
    <row r="695" ht="15.75" customHeight="1">
      <c r="A695" s="7"/>
      <c r="B695" s="7"/>
      <c r="C695" s="7"/>
      <c r="D695" s="7"/>
      <c r="E695" s="7"/>
      <c r="F695" s="7"/>
    </row>
    <row r="696" ht="15.75" customHeight="1">
      <c r="A696" s="7"/>
      <c r="B696" s="7"/>
      <c r="C696" s="7"/>
      <c r="D696" s="7"/>
      <c r="E696" s="7"/>
      <c r="F696" s="7"/>
    </row>
    <row r="697" ht="15.75" customHeight="1">
      <c r="A697" s="7"/>
      <c r="B697" s="7"/>
      <c r="C697" s="7"/>
      <c r="D697" s="7"/>
      <c r="E697" s="7"/>
      <c r="F697" s="7"/>
    </row>
    <row r="698" ht="15.75" customHeight="1">
      <c r="A698" s="7"/>
      <c r="B698" s="7"/>
      <c r="C698" s="7"/>
      <c r="D698" s="7"/>
      <c r="E698" s="7"/>
      <c r="F698" s="7"/>
    </row>
    <row r="699" ht="15.75" customHeight="1">
      <c r="A699" s="7"/>
      <c r="B699" s="7"/>
      <c r="C699" s="7"/>
      <c r="D699" s="7"/>
      <c r="E699" s="7"/>
      <c r="F699" s="7"/>
    </row>
    <row r="700" ht="15.75" customHeight="1">
      <c r="A700" s="7"/>
      <c r="B700" s="7"/>
      <c r="C700" s="7"/>
      <c r="D700" s="7"/>
      <c r="E700" s="7"/>
      <c r="F700" s="7"/>
    </row>
    <row r="701" ht="15.75" customHeight="1">
      <c r="A701" s="7"/>
      <c r="B701" s="7"/>
      <c r="C701" s="7"/>
      <c r="D701" s="7"/>
      <c r="E701" s="7"/>
      <c r="F701" s="7"/>
    </row>
    <row r="702" ht="15.75" customHeight="1">
      <c r="A702" s="7"/>
      <c r="B702" s="7"/>
      <c r="C702" s="7"/>
      <c r="D702" s="7"/>
      <c r="E702" s="7"/>
      <c r="F702" s="7"/>
    </row>
    <row r="703" ht="15.75" customHeight="1">
      <c r="A703" s="7"/>
      <c r="B703" s="7"/>
      <c r="C703" s="7"/>
      <c r="D703" s="7"/>
      <c r="E703" s="7"/>
      <c r="F703" s="7"/>
    </row>
    <row r="704" ht="15.75" customHeight="1">
      <c r="A704" s="7"/>
      <c r="B704" s="7"/>
      <c r="C704" s="7"/>
      <c r="D704" s="7"/>
      <c r="E704" s="7"/>
      <c r="F704" s="7"/>
    </row>
    <row r="705" ht="15.75" customHeight="1">
      <c r="A705" s="7"/>
      <c r="B705" s="7"/>
      <c r="C705" s="7"/>
      <c r="D705" s="7"/>
      <c r="E705" s="7"/>
      <c r="F705" s="7"/>
    </row>
    <row r="706" ht="15.75" customHeight="1">
      <c r="A706" s="7"/>
      <c r="B706" s="7"/>
      <c r="C706" s="7"/>
      <c r="D706" s="7"/>
      <c r="E706" s="7"/>
      <c r="F706" s="7"/>
    </row>
    <row r="707" ht="15.75" customHeight="1">
      <c r="A707" s="7"/>
      <c r="B707" s="7"/>
      <c r="C707" s="7"/>
      <c r="D707" s="7"/>
      <c r="E707" s="7"/>
      <c r="F707" s="7"/>
    </row>
    <row r="708" ht="15.75" customHeight="1">
      <c r="A708" s="7"/>
      <c r="B708" s="7"/>
      <c r="C708" s="7"/>
      <c r="D708" s="7"/>
      <c r="E708" s="7"/>
      <c r="F708" s="7"/>
    </row>
    <row r="709" ht="15.75" customHeight="1">
      <c r="A709" s="7"/>
      <c r="B709" s="7"/>
      <c r="C709" s="7"/>
      <c r="D709" s="7"/>
      <c r="E709" s="7"/>
      <c r="F709" s="7"/>
    </row>
    <row r="710" ht="15.75" customHeight="1">
      <c r="A710" s="7"/>
      <c r="B710" s="7"/>
      <c r="C710" s="7"/>
      <c r="D710" s="7"/>
      <c r="E710" s="7"/>
      <c r="F710" s="7"/>
    </row>
    <row r="711" ht="15.75" customHeight="1">
      <c r="A711" s="7"/>
      <c r="B711" s="7"/>
      <c r="C711" s="7"/>
      <c r="D711" s="7"/>
      <c r="E711" s="7"/>
      <c r="F711" s="7"/>
    </row>
    <row r="712" ht="15.75" customHeight="1">
      <c r="A712" s="7"/>
      <c r="B712" s="7"/>
      <c r="C712" s="7"/>
      <c r="D712" s="7"/>
      <c r="E712" s="7"/>
      <c r="F712" s="7"/>
    </row>
    <row r="713" ht="15.75" customHeight="1">
      <c r="A713" s="7"/>
      <c r="B713" s="7"/>
      <c r="C713" s="7"/>
      <c r="D713" s="7"/>
      <c r="E713" s="7"/>
      <c r="F713" s="7"/>
    </row>
    <row r="714" ht="15.75" customHeight="1">
      <c r="A714" s="7"/>
      <c r="B714" s="7"/>
      <c r="C714" s="7"/>
      <c r="D714" s="7"/>
      <c r="E714" s="7"/>
      <c r="F714" s="7"/>
    </row>
    <row r="715" ht="15.75" customHeight="1">
      <c r="A715" s="7"/>
      <c r="B715" s="7"/>
      <c r="C715" s="7"/>
      <c r="D715" s="7"/>
      <c r="E715" s="7"/>
      <c r="F715" s="7"/>
    </row>
    <row r="716" ht="15.75" customHeight="1">
      <c r="A716" s="7"/>
      <c r="B716" s="7"/>
      <c r="C716" s="7"/>
      <c r="D716" s="7"/>
      <c r="E716" s="7"/>
      <c r="F716" s="7"/>
    </row>
    <row r="717" ht="15.75" customHeight="1">
      <c r="A717" s="7"/>
      <c r="B717" s="7"/>
      <c r="C717" s="7"/>
      <c r="D717" s="7"/>
      <c r="E717" s="7"/>
      <c r="F717" s="7"/>
    </row>
    <row r="718" ht="15.75" customHeight="1">
      <c r="A718" s="7"/>
      <c r="B718" s="7"/>
      <c r="C718" s="7"/>
      <c r="D718" s="7"/>
      <c r="E718" s="7"/>
      <c r="F718" s="7"/>
    </row>
    <row r="719" ht="15.75" customHeight="1">
      <c r="A719" s="7"/>
      <c r="B719" s="7"/>
      <c r="C719" s="7"/>
      <c r="D719" s="7"/>
      <c r="E719" s="7"/>
      <c r="F719" s="7"/>
    </row>
    <row r="720" ht="15.75" customHeight="1">
      <c r="A720" s="7"/>
      <c r="B720" s="7"/>
      <c r="C720" s="7"/>
      <c r="D720" s="7"/>
      <c r="E720" s="7"/>
      <c r="F720" s="7"/>
    </row>
    <row r="721" ht="15.75" customHeight="1">
      <c r="A721" s="7"/>
      <c r="B721" s="7"/>
      <c r="C721" s="7"/>
      <c r="D721" s="7"/>
      <c r="E721" s="7"/>
      <c r="F721" s="7"/>
    </row>
    <row r="722" ht="15.75" customHeight="1">
      <c r="A722" s="7"/>
      <c r="B722" s="7"/>
      <c r="C722" s="7"/>
      <c r="D722" s="7"/>
      <c r="E722" s="7"/>
      <c r="F722" s="7"/>
    </row>
    <row r="723" ht="15.75" customHeight="1">
      <c r="A723" s="7"/>
      <c r="B723" s="7"/>
      <c r="C723" s="7"/>
      <c r="D723" s="7"/>
      <c r="E723" s="7"/>
      <c r="F723" s="7"/>
    </row>
    <row r="724" ht="15.75" customHeight="1">
      <c r="A724" s="7"/>
      <c r="B724" s="7"/>
      <c r="C724" s="7"/>
      <c r="D724" s="7"/>
      <c r="E724" s="7"/>
      <c r="F724" s="7"/>
    </row>
    <row r="725" ht="15.75" customHeight="1">
      <c r="A725" s="7"/>
      <c r="B725" s="7"/>
      <c r="C725" s="7"/>
      <c r="D725" s="7"/>
      <c r="E725" s="7"/>
      <c r="F725" s="7"/>
    </row>
    <row r="726" ht="15.75" customHeight="1">
      <c r="A726" s="7"/>
      <c r="B726" s="7"/>
      <c r="C726" s="7"/>
      <c r="D726" s="7"/>
      <c r="E726" s="7"/>
      <c r="F726" s="7"/>
    </row>
    <row r="727" ht="15.75" customHeight="1">
      <c r="A727" s="7"/>
      <c r="B727" s="7"/>
      <c r="C727" s="7"/>
      <c r="D727" s="7"/>
      <c r="E727" s="7"/>
      <c r="F727" s="7"/>
    </row>
    <row r="728" ht="15.75" customHeight="1">
      <c r="A728" s="7"/>
      <c r="B728" s="7"/>
      <c r="C728" s="7"/>
      <c r="D728" s="7"/>
      <c r="E728" s="7"/>
      <c r="F728" s="7"/>
    </row>
    <row r="729" ht="15.75" customHeight="1">
      <c r="A729" s="7"/>
      <c r="B729" s="7"/>
      <c r="C729" s="7"/>
      <c r="D729" s="7"/>
      <c r="E729" s="7"/>
      <c r="F729" s="7"/>
    </row>
    <row r="730" ht="15.75" customHeight="1">
      <c r="A730" s="7"/>
      <c r="B730" s="7"/>
      <c r="C730" s="7"/>
      <c r="D730" s="7"/>
      <c r="E730" s="7"/>
      <c r="F730" s="7"/>
    </row>
    <row r="731" ht="15.75" customHeight="1">
      <c r="A731" s="7"/>
      <c r="B731" s="7"/>
      <c r="C731" s="7"/>
      <c r="D731" s="7"/>
      <c r="E731" s="7"/>
      <c r="F731" s="7"/>
    </row>
    <row r="732" ht="15.75" customHeight="1">
      <c r="A732" s="7"/>
      <c r="B732" s="7"/>
      <c r="C732" s="7"/>
      <c r="D732" s="7"/>
      <c r="E732" s="7"/>
      <c r="F732" s="7"/>
    </row>
    <row r="733" ht="15.75" customHeight="1">
      <c r="A733" s="7"/>
      <c r="B733" s="7"/>
      <c r="C733" s="7"/>
      <c r="D733" s="7"/>
      <c r="E733" s="7"/>
      <c r="F733" s="7"/>
    </row>
    <row r="734" ht="15.75" customHeight="1">
      <c r="A734" s="7"/>
      <c r="B734" s="7"/>
      <c r="C734" s="7"/>
      <c r="D734" s="7"/>
      <c r="E734" s="7"/>
      <c r="F734" s="7"/>
    </row>
    <row r="735" ht="15.75" customHeight="1">
      <c r="A735" s="7"/>
      <c r="B735" s="7"/>
      <c r="C735" s="7"/>
      <c r="D735" s="7"/>
      <c r="E735" s="7"/>
      <c r="F735" s="7"/>
    </row>
    <row r="736" ht="15.75" customHeight="1">
      <c r="A736" s="7"/>
      <c r="B736" s="7"/>
      <c r="C736" s="7"/>
      <c r="D736" s="7"/>
      <c r="E736" s="7"/>
      <c r="F736" s="7"/>
    </row>
    <row r="737" ht="15.75" customHeight="1">
      <c r="A737" s="7"/>
      <c r="B737" s="7"/>
      <c r="C737" s="7"/>
      <c r="D737" s="7"/>
      <c r="E737" s="7"/>
      <c r="F737" s="7"/>
    </row>
    <row r="738" ht="15.75" customHeight="1">
      <c r="A738" s="7"/>
      <c r="B738" s="7"/>
      <c r="C738" s="7"/>
      <c r="D738" s="7"/>
      <c r="E738" s="7"/>
      <c r="F738" s="7"/>
    </row>
    <row r="739" ht="15.75" customHeight="1">
      <c r="A739" s="7"/>
      <c r="B739" s="7"/>
      <c r="C739" s="7"/>
      <c r="D739" s="7"/>
      <c r="E739" s="7"/>
      <c r="F739" s="7"/>
    </row>
    <row r="740" ht="15.75" customHeight="1">
      <c r="A740" s="7"/>
      <c r="B740" s="7"/>
      <c r="C740" s="7"/>
      <c r="D740" s="7"/>
      <c r="E740" s="7"/>
      <c r="F740" s="7"/>
    </row>
    <row r="741" ht="15.75" customHeight="1">
      <c r="A741" s="7"/>
      <c r="B741" s="7"/>
      <c r="C741" s="7"/>
      <c r="D741" s="7"/>
      <c r="E741" s="7"/>
      <c r="F741" s="7"/>
    </row>
    <row r="742" ht="15.75" customHeight="1">
      <c r="A742" s="7"/>
      <c r="B742" s="7"/>
      <c r="C742" s="7"/>
      <c r="D742" s="7"/>
      <c r="E742" s="7"/>
      <c r="F742" s="7"/>
    </row>
    <row r="743" ht="15.75" customHeight="1">
      <c r="A743" s="7"/>
      <c r="B743" s="7"/>
      <c r="C743" s="7"/>
      <c r="D743" s="7"/>
      <c r="E743" s="7"/>
      <c r="F743" s="7"/>
    </row>
    <row r="744" ht="15.75" customHeight="1">
      <c r="A744" s="7"/>
      <c r="B744" s="7"/>
      <c r="C744" s="7"/>
      <c r="D744" s="7"/>
      <c r="E744" s="7"/>
      <c r="F744" s="7"/>
    </row>
    <row r="745" ht="15.75" customHeight="1">
      <c r="A745" s="7"/>
      <c r="B745" s="7"/>
      <c r="C745" s="7"/>
      <c r="D745" s="7"/>
      <c r="E745" s="7"/>
      <c r="F745" s="7"/>
    </row>
    <row r="746" ht="15.75" customHeight="1">
      <c r="A746" s="7"/>
      <c r="B746" s="7"/>
      <c r="C746" s="7"/>
      <c r="D746" s="7"/>
      <c r="E746" s="7"/>
      <c r="F746" s="7"/>
    </row>
    <row r="747" ht="15.75" customHeight="1">
      <c r="A747" s="7"/>
      <c r="B747" s="7"/>
      <c r="C747" s="7"/>
      <c r="D747" s="7"/>
      <c r="E747" s="7"/>
      <c r="F747" s="7"/>
    </row>
    <row r="748" ht="15.75" customHeight="1">
      <c r="A748" s="7"/>
      <c r="B748" s="7"/>
      <c r="C748" s="7"/>
      <c r="D748" s="7"/>
      <c r="E748" s="7"/>
      <c r="F748" s="7"/>
    </row>
    <row r="749" ht="15.75" customHeight="1">
      <c r="A749" s="7"/>
      <c r="B749" s="7"/>
      <c r="C749" s="7"/>
      <c r="D749" s="7"/>
      <c r="E749" s="7"/>
      <c r="F749" s="7"/>
    </row>
    <row r="750" ht="15.75" customHeight="1">
      <c r="A750" s="7"/>
      <c r="B750" s="7"/>
      <c r="C750" s="7"/>
      <c r="D750" s="7"/>
      <c r="E750" s="7"/>
      <c r="F750" s="7"/>
    </row>
    <row r="751" ht="15.75" customHeight="1">
      <c r="A751" s="7"/>
      <c r="B751" s="7"/>
      <c r="C751" s="7"/>
      <c r="D751" s="7"/>
      <c r="E751" s="7"/>
      <c r="F751" s="7"/>
    </row>
    <row r="752" ht="15.75" customHeight="1">
      <c r="A752" s="7"/>
      <c r="B752" s="7"/>
      <c r="C752" s="7"/>
      <c r="D752" s="7"/>
      <c r="E752" s="7"/>
      <c r="F752" s="7"/>
    </row>
    <row r="753" ht="15.75" customHeight="1">
      <c r="A753" s="7"/>
      <c r="B753" s="7"/>
      <c r="C753" s="7"/>
      <c r="D753" s="7"/>
      <c r="E753" s="7"/>
      <c r="F753" s="7"/>
    </row>
    <row r="754" ht="15.75" customHeight="1">
      <c r="A754" s="7"/>
      <c r="B754" s="7"/>
      <c r="C754" s="7"/>
      <c r="D754" s="7"/>
      <c r="E754" s="7"/>
      <c r="F754" s="7"/>
    </row>
    <row r="755" ht="15.75" customHeight="1">
      <c r="A755" s="7"/>
      <c r="B755" s="7"/>
      <c r="C755" s="7"/>
      <c r="D755" s="7"/>
      <c r="E755" s="7"/>
      <c r="F755" s="7"/>
    </row>
    <row r="756" ht="15.75" customHeight="1">
      <c r="A756" s="7"/>
      <c r="B756" s="7"/>
      <c r="C756" s="7"/>
      <c r="D756" s="7"/>
      <c r="E756" s="7"/>
      <c r="F756" s="7"/>
    </row>
    <row r="757" ht="15.75" customHeight="1">
      <c r="A757" s="7"/>
      <c r="B757" s="7"/>
      <c r="C757" s="7"/>
      <c r="D757" s="7"/>
      <c r="E757" s="7"/>
      <c r="F757" s="7"/>
    </row>
    <row r="758" ht="15.75" customHeight="1">
      <c r="A758" s="7"/>
      <c r="B758" s="7"/>
      <c r="C758" s="7"/>
      <c r="D758" s="7"/>
      <c r="E758" s="7"/>
      <c r="F758" s="7"/>
    </row>
    <row r="759" ht="15.75" customHeight="1">
      <c r="A759" s="7"/>
      <c r="B759" s="7"/>
      <c r="C759" s="7"/>
      <c r="D759" s="7"/>
      <c r="E759" s="7"/>
      <c r="F759" s="7"/>
    </row>
    <row r="760" ht="15.75" customHeight="1">
      <c r="A760" s="7"/>
      <c r="B760" s="7"/>
      <c r="C760" s="7"/>
      <c r="D760" s="7"/>
      <c r="E760" s="7"/>
      <c r="F760" s="7"/>
    </row>
    <row r="761" ht="15.75" customHeight="1">
      <c r="A761" s="7"/>
      <c r="B761" s="7"/>
      <c r="C761" s="7"/>
      <c r="D761" s="7"/>
      <c r="E761" s="7"/>
      <c r="F761" s="7"/>
    </row>
    <row r="762" ht="15.75" customHeight="1">
      <c r="A762" s="7"/>
      <c r="B762" s="7"/>
      <c r="C762" s="7"/>
      <c r="D762" s="7"/>
      <c r="E762" s="7"/>
      <c r="F762" s="7"/>
    </row>
    <row r="763" ht="15.75" customHeight="1">
      <c r="A763" s="7"/>
      <c r="B763" s="7"/>
      <c r="C763" s="7"/>
      <c r="D763" s="7"/>
      <c r="E763" s="7"/>
      <c r="F763" s="7"/>
    </row>
    <row r="764" ht="15.75" customHeight="1">
      <c r="A764" s="7"/>
      <c r="B764" s="7"/>
      <c r="C764" s="7"/>
      <c r="D764" s="7"/>
      <c r="E764" s="7"/>
      <c r="F764" s="7"/>
    </row>
    <row r="765" ht="15.75" customHeight="1">
      <c r="A765" s="7"/>
      <c r="B765" s="7"/>
      <c r="C765" s="7"/>
      <c r="D765" s="7"/>
      <c r="E765" s="7"/>
      <c r="F765" s="7"/>
    </row>
    <row r="766" ht="15.75" customHeight="1">
      <c r="A766" s="7"/>
      <c r="B766" s="7"/>
      <c r="C766" s="7"/>
      <c r="D766" s="7"/>
      <c r="E766" s="7"/>
      <c r="F766" s="7"/>
    </row>
    <row r="767" ht="15.75" customHeight="1">
      <c r="A767" s="7"/>
      <c r="B767" s="7"/>
      <c r="C767" s="7"/>
      <c r="D767" s="7"/>
      <c r="E767" s="7"/>
      <c r="F767" s="7"/>
    </row>
    <row r="768" ht="15.75" customHeight="1">
      <c r="A768" s="7"/>
      <c r="B768" s="7"/>
      <c r="C768" s="7"/>
      <c r="D768" s="7"/>
      <c r="E768" s="7"/>
      <c r="F768" s="7"/>
    </row>
    <row r="769" ht="15.75" customHeight="1">
      <c r="A769" s="7"/>
      <c r="B769" s="7"/>
      <c r="C769" s="7"/>
      <c r="D769" s="7"/>
      <c r="E769" s="7"/>
      <c r="F769" s="7"/>
    </row>
    <row r="770" ht="15.75" customHeight="1">
      <c r="A770" s="7"/>
      <c r="B770" s="7"/>
      <c r="C770" s="7"/>
      <c r="D770" s="7"/>
      <c r="E770" s="7"/>
      <c r="F770" s="7"/>
    </row>
    <row r="771" ht="15.75" customHeight="1">
      <c r="A771" s="7"/>
      <c r="B771" s="7"/>
      <c r="C771" s="7"/>
      <c r="D771" s="7"/>
      <c r="E771" s="7"/>
      <c r="F771" s="7"/>
    </row>
    <row r="772" ht="15.75" customHeight="1">
      <c r="A772" s="7"/>
      <c r="B772" s="7"/>
      <c r="C772" s="7"/>
      <c r="D772" s="7"/>
      <c r="E772" s="7"/>
      <c r="F772" s="7"/>
    </row>
    <row r="773" ht="15.75" customHeight="1">
      <c r="A773" s="7"/>
      <c r="B773" s="7"/>
      <c r="C773" s="7"/>
      <c r="D773" s="7"/>
      <c r="E773" s="7"/>
      <c r="F773" s="7"/>
    </row>
    <row r="774" ht="15.75" customHeight="1">
      <c r="A774" s="7"/>
      <c r="B774" s="7"/>
      <c r="C774" s="7"/>
      <c r="D774" s="7"/>
      <c r="E774" s="7"/>
      <c r="F774" s="7"/>
    </row>
    <row r="775" ht="15.75" customHeight="1">
      <c r="A775" s="7"/>
      <c r="B775" s="7"/>
      <c r="C775" s="7"/>
      <c r="D775" s="7"/>
      <c r="E775" s="7"/>
      <c r="F775" s="7"/>
    </row>
    <row r="776" ht="15.75" customHeight="1">
      <c r="A776" s="7"/>
      <c r="B776" s="7"/>
      <c r="C776" s="7"/>
      <c r="D776" s="7"/>
      <c r="E776" s="7"/>
      <c r="F776" s="7"/>
    </row>
    <row r="777" ht="15.75" customHeight="1">
      <c r="A777" s="7"/>
      <c r="B777" s="7"/>
      <c r="C777" s="7"/>
      <c r="D777" s="7"/>
      <c r="E777" s="7"/>
      <c r="F777" s="7"/>
    </row>
    <row r="778" ht="15.75" customHeight="1">
      <c r="A778" s="7"/>
      <c r="B778" s="7"/>
      <c r="C778" s="7"/>
      <c r="D778" s="7"/>
      <c r="E778" s="7"/>
      <c r="F778" s="7"/>
    </row>
    <row r="779" ht="15.75" customHeight="1">
      <c r="A779" s="7"/>
      <c r="B779" s="7"/>
      <c r="C779" s="7"/>
      <c r="D779" s="7"/>
      <c r="E779" s="7"/>
      <c r="F779" s="7"/>
    </row>
    <row r="780" ht="15.75" customHeight="1">
      <c r="A780" s="7"/>
      <c r="B780" s="7"/>
      <c r="C780" s="7"/>
      <c r="D780" s="7"/>
      <c r="E780" s="7"/>
      <c r="F780" s="7"/>
    </row>
    <row r="781" ht="15.75" customHeight="1">
      <c r="A781" s="7"/>
      <c r="B781" s="7"/>
      <c r="C781" s="7"/>
      <c r="D781" s="7"/>
      <c r="E781" s="7"/>
      <c r="F781" s="7"/>
    </row>
    <row r="782" ht="15.75" customHeight="1">
      <c r="A782" s="7"/>
      <c r="B782" s="7"/>
      <c r="C782" s="7"/>
      <c r="D782" s="7"/>
      <c r="E782" s="7"/>
      <c r="F782" s="7"/>
    </row>
    <row r="783" ht="15.75" customHeight="1">
      <c r="A783" s="7"/>
      <c r="B783" s="7"/>
      <c r="C783" s="7"/>
      <c r="D783" s="7"/>
      <c r="E783" s="7"/>
      <c r="F783" s="7"/>
    </row>
    <row r="784" ht="15.75" customHeight="1">
      <c r="A784" s="7"/>
      <c r="B784" s="7"/>
      <c r="C784" s="7"/>
      <c r="D784" s="7"/>
      <c r="E784" s="7"/>
      <c r="F784" s="7"/>
    </row>
    <row r="785" ht="15.75" customHeight="1">
      <c r="A785" s="7"/>
      <c r="B785" s="7"/>
      <c r="C785" s="7"/>
      <c r="D785" s="7"/>
      <c r="E785" s="7"/>
      <c r="F785" s="7"/>
    </row>
    <row r="786" ht="15.75" customHeight="1">
      <c r="A786" s="7"/>
      <c r="B786" s="7"/>
      <c r="C786" s="7"/>
      <c r="D786" s="7"/>
      <c r="E786" s="7"/>
      <c r="F786" s="7"/>
    </row>
    <row r="787" ht="15.75" customHeight="1">
      <c r="A787" s="7"/>
      <c r="B787" s="7"/>
      <c r="C787" s="7"/>
      <c r="D787" s="7"/>
      <c r="E787" s="7"/>
      <c r="F787" s="7"/>
    </row>
    <row r="788" ht="15.75" customHeight="1">
      <c r="A788" s="7"/>
      <c r="B788" s="7"/>
      <c r="C788" s="7"/>
      <c r="D788" s="7"/>
      <c r="E788" s="7"/>
      <c r="F788" s="7"/>
    </row>
    <row r="789" ht="15.75" customHeight="1">
      <c r="A789" s="7"/>
      <c r="B789" s="7"/>
      <c r="C789" s="7"/>
      <c r="D789" s="7"/>
      <c r="E789" s="7"/>
      <c r="F789" s="7"/>
    </row>
    <row r="790" ht="15.75" customHeight="1">
      <c r="A790" s="7"/>
      <c r="B790" s="7"/>
      <c r="C790" s="7"/>
      <c r="D790" s="7"/>
      <c r="E790" s="7"/>
      <c r="F790" s="7"/>
    </row>
    <row r="791" ht="15.75" customHeight="1">
      <c r="A791" s="7"/>
      <c r="B791" s="7"/>
      <c r="C791" s="7"/>
      <c r="D791" s="7"/>
      <c r="E791" s="7"/>
      <c r="F791" s="7"/>
    </row>
    <row r="792" ht="15.75" customHeight="1">
      <c r="A792" s="7"/>
      <c r="B792" s="7"/>
      <c r="C792" s="7"/>
      <c r="D792" s="7"/>
      <c r="E792" s="7"/>
      <c r="F792" s="7"/>
    </row>
    <row r="793" ht="15.75" customHeight="1">
      <c r="A793" s="7"/>
      <c r="B793" s="7"/>
      <c r="C793" s="7"/>
      <c r="D793" s="7"/>
      <c r="E793" s="7"/>
      <c r="F793" s="7"/>
    </row>
    <row r="794" ht="15.75" customHeight="1">
      <c r="A794" s="7"/>
      <c r="B794" s="7"/>
      <c r="C794" s="7"/>
      <c r="D794" s="7"/>
      <c r="E794" s="7"/>
      <c r="F794" s="7"/>
    </row>
    <row r="795" ht="15.75" customHeight="1">
      <c r="A795" s="7"/>
      <c r="B795" s="7"/>
      <c r="C795" s="7"/>
      <c r="D795" s="7"/>
      <c r="E795" s="7"/>
      <c r="F795" s="7"/>
    </row>
    <row r="796" ht="15.75" customHeight="1">
      <c r="A796" s="7"/>
      <c r="B796" s="7"/>
      <c r="C796" s="7"/>
      <c r="D796" s="7"/>
      <c r="E796" s="7"/>
      <c r="F796" s="7"/>
    </row>
    <row r="797" ht="15.75" customHeight="1">
      <c r="A797" s="7"/>
      <c r="B797" s="7"/>
      <c r="C797" s="7"/>
      <c r="D797" s="7"/>
      <c r="E797" s="7"/>
      <c r="F797" s="7"/>
    </row>
    <row r="798" ht="15.75" customHeight="1">
      <c r="A798" s="7"/>
      <c r="B798" s="7"/>
      <c r="C798" s="7"/>
      <c r="D798" s="7"/>
      <c r="E798" s="7"/>
      <c r="F798" s="7"/>
    </row>
    <row r="799" ht="15.75" customHeight="1">
      <c r="A799" s="7"/>
      <c r="B799" s="7"/>
      <c r="C799" s="7"/>
      <c r="D799" s="7"/>
      <c r="E799" s="7"/>
      <c r="F799" s="7"/>
    </row>
    <row r="800" ht="15.75" customHeight="1">
      <c r="A800" s="7"/>
      <c r="B800" s="7"/>
      <c r="C800" s="7"/>
      <c r="D800" s="7"/>
      <c r="E800" s="7"/>
      <c r="F800" s="7"/>
    </row>
    <row r="801" ht="15.75" customHeight="1">
      <c r="A801" s="7"/>
      <c r="B801" s="7"/>
      <c r="C801" s="7"/>
      <c r="D801" s="7"/>
      <c r="E801" s="7"/>
      <c r="F801" s="7"/>
    </row>
    <row r="802" ht="15.75" customHeight="1">
      <c r="A802" s="7"/>
      <c r="B802" s="7"/>
      <c r="C802" s="7"/>
      <c r="D802" s="7"/>
      <c r="E802" s="7"/>
      <c r="F802" s="7"/>
    </row>
    <row r="803" ht="15.75" customHeight="1">
      <c r="A803" s="7"/>
      <c r="B803" s="7"/>
      <c r="C803" s="7"/>
      <c r="D803" s="7"/>
      <c r="E803" s="7"/>
      <c r="F803" s="7"/>
    </row>
    <row r="804" ht="15.75" customHeight="1">
      <c r="A804" s="7"/>
      <c r="B804" s="7"/>
      <c r="C804" s="7"/>
      <c r="D804" s="7"/>
      <c r="E804" s="7"/>
      <c r="F804" s="7"/>
    </row>
    <row r="805" ht="15.75" customHeight="1">
      <c r="A805" s="7"/>
      <c r="B805" s="7"/>
      <c r="C805" s="7"/>
      <c r="D805" s="7"/>
      <c r="E805" s="7"/>
      <c r="F805" s="7"/>
    </row>
    <row r="806" ht="15.75" customHeight="1">
      <c r="A806" s="7"/>
      <c r="B806" s="7"/>
      <c r="C806" s="7"/>
      <c r="D806" s="7"/>
      <c r="E806" s="7"/>
      <c r="F806" s="7"/>
    </row>
    <row r="807" ht="15.75" customHeight="1">
      <c r="A807" s="7"/>
      <c r="B807" s="7"/>
      <c r="C807" s="7"/>
      <c r="D807" s="7"/>
      <c r="E807" s="7"/>
      <c r="F807" s="7"/>
    </row>
    <row r="808" ht="15.75" customHeight="1">
      <c r="A808" s="7"/>
      <c r="B808" s="7"/>
      <c r="C808" s="7"/>
      <c r="D808" s="7"/>
      <c r="E808" s="7"/>
      <c r="F808" s="7"/>
    </row>
    <row r="809" ht="15.75" customHeight="1">
      <c r="A809" s="7"/>
      <c r="B809" s="7"/>
      <c r="C809" s="7"/>
      <c r="D809" s="7"/>
      <c r="E809" s="7"/>
      <c r="F809" s="7"/>
    </row>
    <row r="810" ht="15.75" customHeight="1">
      <c r="A810" s="7"/>
      <c r="B810" s="7"/>
      <c r="C810" s="7"/>
      <c r="D810" s="7"/>
      <c r="E810" s="7"/>
      <c r="F810" s="7"/>
    </row>
    <row r="811" ht="15.75" customHeight="1">
      <c r="A811" s="7"/>
      <c r="B811" s="7"/>
      <c r="C811" s="7"/>
      <c r="D811" s="7"/>
      <c r="E811" s="7"/>
      <c r="F811" s="7"/>
    </row>
    <row r="812" ht="15.75" customHeight="1">
      <c r="A812" s="7"/>
      <c r="B812" s="7"/>
      <c r="C812" s="7"/>
      <c r="D812" s="7"/>
      <c r="E812" s="7"/>
      <c r="F812" s="7"/>
    </row>
    <row r="813" ht="15.75" customHeight="1">
      <c r="A813" s="7"/>
      <c r="B813" s="7"/>
      <c r="C813" s="7"/>
      <c r="D813" s="7"/>
      <c r="E813" s="7"/>
      <c r="F813" s="7"/>
    </row>
    <row r="814" ht="15.75" customHeight="1">
      <c r="A814" s="7"/>
      <c r="B814" s="7"/>
      <c r="C814" s="7"/>
      <c r="D814" s="7"/>
      <c r="E814" s="7"/>
      <c r="F814" s="7"/>
    </row>
    <row r="815" ht="15.75" customHeight="1">
      <c r="A815" s="7"/>
      <c r="B815" s="7"/>
      <c r="C815" s="7"/>
      <c r="D815" s="7"/>
      <c r="E815" s="7"/>
      <c r="F815" s="7"/>
    </row>
    <row r="816" ht="15.75" customHeight="1">
      <c r="A816" s="7"/>
      <c r="B816" s="7"/>
      <c r="C816" s="7"/>
      <c r="D816" s="7"/>
      <c r="E816" s="7"/>
      <c r="F816" s="7"/>
    </row>
    <row r="817" ht="15.75" customHeight="1">
      <c r="A817" s="7"/>
      <c r="B817" s="7"/>
      <c r="C817" s="7"/>
      <c r="D817" s="7"/>
      <c r="E817" s="7"/>
      <c r="F817" s="7"/>
    </row>
    <row r="818" ht="15.75" customHeight="1">
      <c r="A818" s="7"/>
      <c r="B818" s="7"/>
      <c r="C818" s="7"/>
      <c r="D818" s="7"/>
      <c r="E818" s="7"/>
      <c r="F818" s="7"/>
    </row>
    <row r="819" ht="15.75" customHeight="1">
      <c r="A819" s="7"/>
      <c r="B819" s="7"/>
      <c r="C819" s="7"/>
      <c r="D819" s="7"/>
      <c r="E819" s="7"/>
      <c r="F819" s="7"/>
    </row>
    <row r="820" ht="15.75" customHeight="1">
      <c r="A820" s="7"/>
      <c r="B820" s="7"/>
      <c r="C820" s="7"/>
      <c r="D820" s="7"/>
      <c r="E820" s="7"/>
      <c r="F820" s="7"/>
    </row>
    <row r="821" ht="15.75" customHeight="1">
      <c r="A821" s="7"/>
      <c r="B821" s="7"/>
      <c r="C821" s="7"/>
      <c r="D821" s="7"/>
      <c r="E821" s="7"/>
      <c r="F821" s="7"/>
    </row>
    <row r="822" ht="15.75" customHeight="1">
      <c r="A822" s="7"/>
      <c r="B822" s="7"/>
      <c r="C822" s="7"/>
      <c r="D822" s="7"/>
      <c r="E822" s="7"/>
      <c r="F822" s="7"/>
    </row>
    <row r="823" ht="15.75" customHeight="1">
      <c r="A823" s="7"/>
      <c r="B823" s="7"/>
      <c r="C823" s="7"/>
      <c r="D823" s="7"/>
      <c r="E823" s="7"/>
      <c r="F823" s="7"/>
    </row>
    <row r="824" ht="15.75" customHeight="1">
      <c r="A824" s="7"/>
      <c r="B824" s="7"/>
      <c r="C824" s="7"/>
      <c r="D824" s="7"/>
      <c r="E824" s="7"/>
      <c r="F824" s="7"/>
    </row>
    <row r="825" ht="15.75" customHeight="1">
      <c r="A825" s="7"/>
      <c r="B825" s="7"/>
      <c r="C825" s="7"/>
      <c r="D825" s="7"/>
      <c r="E825" s="7"/>
      <c r="F825" s="7"/>
    </row>
    <row r="826" ht="15.75" customHeight="1">
      <c r="A826" s="7"/>
      <c r="B826" s="7"/>
      <c r="C826" s="7"/>
      <c r="D826" s="7"/>
      <c r="E826" s="7"/>
      <c r="F826" s="7"/>
    </row>
    <row r="827" ht="15.75" customHeight="1">
      <c r="A827" s="7"/>
      <c r="B827" s="7"/>
      <c r="C827" s="7"/>
      <c r="D827" s="7"/>
      <c r="E827" s="7"/>
      <c r="F827" s="7"/>
    </row>
    <row r="828" ht="15.75" customHeight="1">
      <c r="A828" s="7"/>
      <c r="B828" s="7"/>
      <c r="C828" s="7"/>
      <c r="D828" s="7"/>
      <c r="E828" s="7"/>
      <c r="F828" s="7"/>
    </row>
    <row r="829" ht="15.75" customHeight="1">
      <c r="A829" s="7"/>
      <c r="B829" s="7"/>
      <c r="C829" s="7"/>
      <c r="D829" s="7"/>
      <c r="E829" s="7"/>
      <c r="F829" s="7"/>
    </row>
    <row r="830" ht="15.75" customHeight="1">
      <c r="A830" s="7"/>
      <c r="B830" s="7"/>
      <c r="C830" s="7"/>
      <c r="D830" s="7"/>
      <c r="E830" s="7"/>
      <c r="F830" s="7"/>
    </row>
    <row r="831" ht="15.75" customHeight="1">
      <c r="A831" s="7"/>
      <c r="B831" s="7"/>
      <c r="C831" s="7"/>
      <c r="D831" s="7"/>
      <c r="E831" s="7"/>
      <c r="F831" s="7"/>
    </row>
    <row r="832" ht="15.75" customHeight="1">
      <c r="A832" s="7"/>
      <c r="B832" s="7"/>
      <c r="C832" s="7"/>
      <c r="D832" s="7"/>
      <c r="E832" s="7"/>
      <c r="F832" s="7"/>
    </row>
    <row r="833" ht="15.75" customHeight="1">
      <c r="A833" s="7"/>
      <c r="B833" s="7"/>
      <c r="C833" s="7"/>
      <c r="D833" s="7"/>
      <c r="E833" s="7"/>
      <c r="F833" s="7"/>
    </row>
    <row r="834" ht="15.75" customHeight="1">
      <c r="A834" s="7"/>
      <c r="B834" s="7"/>
      <c r="C834" s="7"/>
      <c r="D834" s="7"/>
      <c r="E834" s="7"/>
      <c r="F834" s="7"/>
    </row>
    <row r="835" ht="15.75" customHeight="1">
      <c r="A835" s="7"/>
      <c r="B835" s="7"/>
      <c r="C835" s="7"/>
      <c r="D835" s="7"/>
      <c r="E835" s="7"/>
      <c r="F835" s="7"/>
    </row>
    <row r="836" ht="15.75" customHeight="1">
      <c r="A836" s="7"/>
      <c r="B836" s="7"/>
      <c r="C836" s="7"/>
      <c r="D836" s="7"/>
      <c r="E836" s="7"/>
      <c r="F836" s="7"/>
    </row>
    <row r="837" ht="15.75" customHeight="1">
      <c r="A837" s="7"/>
      <c r="B837" s="7"/>
      <c r="C837" s="7"/>
      <c r="D837" s="7"/>
      <c r="E837" s="7"/>
      <c r="F837" s="7"/>
    </row>
    <row r="838" ht="15.75" customHeight="1">
      <c r="A838" s="7"/>
      <c r="B838" s="7"/>
      <c r="C838" s="7"/>
      <c r="D838" s="7"/>
      <c r="E838" s="7"/>
      <c r="F838" s="7"/>
    </row>
    <row r="839" ht="15.75" customHeight="1">
      <c r="A839" s="7"/>
      <c r="B839" s="7"/>
      <c r="C839" s="7"/>
      <c r="D839" s="7"/>
      <c r="E839" s="7"/>
      <c r="F839" s="7"/>
    </row>
    <row r="840" ht="15.75" customHeight="1">
      <c r="A840" s="7"/>
      <c r="B840" s="7"/>
      <c r="C840" s="7"/>
      <c r="D840" s="7"/>
      <c r="E840" s="7"/>
      <c r="F840" s="7"/>
    </row>
    <row r="841" ht="15.75" customHeight="1">
      <c r="A841" s="7"/>
      <c r="B841" s="7"/>
      <c r="C841" s="7"/>
      <c r="D841" s="7"/>
      <c r="E841" s="7"/>
      <c r="F841" s="7"/>
    </row>
    <row r="842" ht="15.75" customHeight="1">
      <c r="A842" s="7"/>
      <c r="B842" s="7"/>
      <c r="C842" s="7"/>
      <c r="D842" s="7"/>
      <c r="E842" s="7"/>
      <c r="F842" s="7"/>
    </row>
    <row r="843" ht="15.75" customHeight="1">
      <c r="A843" s="7"/>
      <c r="B843" s="7"/>
      <c r="C843" s="7"/>
      <c r="D843" s="7"/>
      <c r="E843" s="7"/>
      <c r="F843" s="7"/>
    </row>
    <row r="844" ht="15.75" customHeight="1">
      <c r="A844" s="7"/>
      <c r="B844" s="7"/>
      <c r="C844" s="7"/>
      <c r="D844" s="7"/>
      <c r="E844" s="7"/>
      <c r="F844" s="7"/>
    </row>
    <row r="845" ht="15.75" customHeight="1">
      <c r="A845" s="7"/>
      <c r="B845" s="7"/>
      <c r="C845" s="7"/>
      <c r="D845" s="7"/>
      <c r="E845" s="7"/>
      <c r="F845" s="7"/>
    </row>
    <row r="846" ht="15.75" customHeight="1">
      <c r="A846" s="7"/>
      <c r="B846" s="7"/>
      <c r="C846" s="7"/>
      <c r="D846" s="7"/>
      <c r="E846" s="7"/>
      <c r="F846" s="7"/>
    </row>
    <row r="847" ht="15.75" customHeight="1">
      <c r="A847" s="7"/>
      <c r="B847" s="7"/>
      <c r="C847" s="7"/>
      <c r="D847" s="7"/>
      <c r="E847" s="7"/>
      <c r="F847" s="7"/>
    </row>
    <row r="848" ht="15.75" customHeight="1">
      <c r="A848" s="7"/>
      <c r="B848" s="7"/>
      <c r="C848" s="7"/>
      <c r="D848" s="7"/>
      <c r="E848" s="7"/>
      <c r="F848" s="7"/>
    </row>
    <row r="849" ht="15.75" customHeight="1">
      <c r="A849" s="7"/>
      <c r="B849" s="7"/>
      <c r="C849" s="7"/>
      <c r="D849" s="7"/>
      <c r="E849" s="7"/>
      <c r="F849" s="7"/>
    </row>
    <row r="850" ht="15.75" customHeight="1">
      <c r="A850" s="7"/>
      <c r="B850" s="7"/>
      <c r="C850" s="7"/>
      <c r="D850" s="7"/>
      <c r="E850" s="7"/>
      <c r="F850" s="7"/>
    </row>
    <row r="851" ht="15.75" customHeight="1">
      <c r="A851" s="7"/>
      <c r="B851" s="7"/>
      <c r="C851" s="7"/>
      <c r="D851" s="7"/>
      <c r="E851" s="7"/>
      <c r="F851" s="7"/>
    </row>
    <row r="852" ht="15.75" customHeight="1">
      <c r="A852" s="7"/>
      <c r="B852" s="7"/>
      <c r="C852" s="7"/>
      <c r="D852" s="7"/>
      <c r="E852" s="7"/>
      <c r="F852" s="7"/>
    </row>
    <row r="853" ht="15.75" customHeight="1">
      <c r="A853" s="7"/>
      <c r="B853" s="7"/>
      <c r="C853" s="7"/>
      <c r="D853" s="7"/>
      <c r="E853" s="7"/>
      <c r="F853" s="7"/>
    </row>
    <row r="854" ht="15.75" customHeight="1">
      <c r="A854" s="7"/>
      <c r="B854" s="7"/>
      <c r="C854" s="7"/>
      <c r="D854" s="7"/>
      <c r="E854" s="7"/>
      <c r="F854" s="7"/>
    </row>
    <row r="855" ht="15.75" customHeight="1">
      <c r="A855" s="7"/>
      <c r="B855" s="7"/>
      <c r="C855" s="7"/>
      <c r="D855" s="7"/>
      <c r="E855" s="7"/>
      <c r="F855" s="7"/>
    </row>
    <row r="856" ht="15.75" customHeight="1">
      <c r="A856" s="7"/>
      <c r="B856" s="7"/>
      <c r="C856" s="7"/>
      <c r="D856" s="7"/>
      <c r="E856" s="7"/>
      <c r="F856" s="7"/>
    </row>
    <row r="857" ht="15.75" customHeight="1">
      <c r="A857" s="7"/>
      <c r="B857" s="7"/>
      <c r="C857" s="7"/>
      <c r="D857" s="7"/>
      <c r="E857" s="7"/>
      <c r="F857" s="7"/>
    </row>
    <row r="858" ht="15.75" customHeight="1">
      <c r="A858" s="7"/>
      <c r="B858" s="7"/>
      <c r="C858" s="7"/>
      <c r="D858" s="7"/>
      <c r="E858" s="7"/>
      <c r="F858" s="7"/>
    </row>
    <row r="859" ht="15.75" customHeight="1">
      <c r="A859" s="7"/>
      <c r="B859" s="7"/>
      <c r="C859" s="7"/>
      <c r="D859" s="7"/>
      <c r="E859" s="7"/>
      <c r="F859" s="7"/>
    </row>
    <row r="860" ht="15.75" customHeight="1">
      <c r="A860" s="7"/>
      <c r="B860" s="7"/>
      <c r="C860" s="7"/>
      <c r="D860" s="7"/>
      <c r="E860" s="7"/>
      <c r="F860" s="7"/>
    </row>
    <row r="861" ht="15.75" customHeight="1">
      <c r="A861" s="7"/>
      <c r="B861" s="7"/>
      <c r="C861" s="7"/>
      <c r="D861" s="7"/>
      <c r="E861" s="7"/>
      <c r="F861" s="7"/>
    </row>
    <row r="862" ht="15.75" customHeight="1">
      <c r="A862" s="7"/>
      <c r="B862" s="7"/>
      <c r="C862" s="7"/>
      <c r="D862" s="7"/>
      <c r="E862" s="7"/>
      <c r="F862" s="7"/>
    </row>
    <row r="863" ht="15.75" customHeight="1">
      <c r="A863" s="7"/>
      <c r="B863" s="7"/>
      <c r="C863" s="7"/>
      <c r="D863" s="7"/>
      <c r="E863" s="7"/>
      <c r="F863" s="7"/>
    </row>
    <row r="864" ht="15.75" customHeight="1">
      <c r="A864" s="7"/>
      <c r="B864" s="7"/>
      <c r="C864" s="7"/>
      <c r="D864" s="7"/>
      <c r="E864" s="7"/>
      <c r="F864" s="7"/>
    </row>
    <row r="865" ht="15.75" customHeight="1">
      <c r="A865" s="7"/>
      <c r="B865" s="7"/>
      <c r="C865" s="7"/>
      <c r="D865" s="7"/>
      <c r="E865" s="7"/>
      <c r="F865" s="7"/>
    </row>
    <row r="866" ht="15.75" customHeight="1">
      <c r="A866" s="7"/>
      <c r="B866" s="7"/>
      <c r="C866" s="7"/>
      <c r="D866" s="7"/>
      <c r="E866" s="7"/>
      <c r="F866" s="7"/>
    </row>
    <row r="867" ht="15.75" customHeight="1">
      <c r="A867" s="7"/>
      <c r="B867" s="7"/>
      <c r="C867" s="7"/>
      <c r="D867" s="7"/>
      <c r="E867" s="7"/>
      <c r="F867" s="7"/>
    </row>
    <row r="868" ht="15.75" customHeight="1">
      <c r="A868" s="7"/>
      <c r="B868" s="7"/>
      <c r="C868" s="7"/>
      <c r="D868" s="7"/>
      <c r="E868" s="7"/>
      <c r="F868" s="7"/>
    </row>
    <row r="869" ht="15.75" customHeight="1">
      <c r="A869" s="7"/>
      <c r="B869" s="7"/>
      <c r="C869" s="7"/>
      <c r="D869" s="7"/>
      <c r="E869" s="7"/>
      <c r="F869" s="7"/>
    </row>
    <row r="870" ht="15.75" customHeight="1">
      <c r="A870" s="7"/>
      <c r="B870" s="7"/>
      <c r="C870" s="7"/>
      <c r="D870" s="7"/>
      <c r="E870" s="7"/>
      <c r="F870" s="7"/>
    </row>
    <row r="871" ht="15.75" customHeight="1">
      <c r="A871" s="7"/>
      <c r="B871" s="7"/>
      <c r="C871" s="7"/>
      <c r="D871" s="7"/>
      <c r="E871" s="7"/>
      <c r="F871" s="7"/>
    </row>
    <row r="872" ht="15.75" customHeight="1">
      <c r="A872" s="7"/>
      <c r="B872" s="7"/>
      <c r="C872" s="7"/>
      <c r="D872" s="7"/>
      <c r="E872" s="7"/>
      <c r="F872" s="7"/>
    </row>
    <row r="873" ht="15.75" customHeight="1">
      <c r="A873" s="7"/>
      <c r="B873" s="7"/>
      <c r="C873" s="7"/>
      <c r="D873" s="7"/>
      <c r="E873" s="7"/>
      <c r="F873" s="7"/>
    </row>
    <row r="874" ht="15.75" customHeight="1">
      <c r="A874" s="7"/>
      <c r="B874" s="7"/>
      <c r="C874" s="7"/>
      <c r="D874" s="7"/>
      <c r="E874" s="7"/>
      <c r="F874" s="7"/>
    </row>
    <row r="875" ht="15.75" customHeight="1">
      <c r="A875" s="7"/>
      <c r="B875" s="7"/>
      <c r="C875" s="7"/>
      <c r="D875" s="7"/>
      <c r="E875" s="7"/>
      <c r="F875" s="7"/>
    </row>
    <row r="876" ht="15.75" customHeight="1">
      <c r="A876" s="7"/>
      <c r="B876" s="7"/>
      <c r="C876" s="7"/>
      <c r="D876" s="7"/>
      <c r="E876" s="7"/>
      <c r="F876" s="7"/>
    </row>
    <row r="877" ht="15.75" customHeight="1">
      <c r="A877" s="7"/>
      <c r="B877" s="7"/>
      <c r="C877" s="7"/>
      <c r="D877" s="7"/>
      <c r="E877" s="7"/>
      <c r="F877" s="7"/>
    </row>
    <row r="878" ht="15.75" customHeight="1">
      <c r="A878" s="7"/>
      <c r="B878" s="7"/>
      <c r="C878" s="7"/>
      <c r="D878" s="7"/>
      <c r="E878" s="7"/>
      <c r="F878" s="7"/>
    </row>
    <row r="879" ht="15.75" customHeight="1">
      <c r="A879" s="7"/>
      <c r="B879" s="7"/>
      <c r="C879" s="7"/>
      <c r="D879" s="7"/>
      <c r="E879" s="7"/>
      <c r="F879" s="7"/>
    </row>
    <row r="880" ht="15.75" customHeight="1">
      <c r="A880" s="7"/>
      <c r="B880" s="7"/>
      <c r="C880" s="7"/>
      <c r="D880" s="7"/>
      <c r="E880" s="7"/>
      <c r="F880" s="7"/>
    </row>
    <row r="881" ht="15.75" customHeight="1">
      <c r="A881" s="7"/>
      <c r="B881" s="7"/>
      <c r="C881" s="7"/>
      <c r="D881" s="7"/>
      <c r="E881" s="7"/>
      <c r="F881" s="7"/>
    </row>
    <row r="882" ht="15.75" customHeight="1">
      <c r="A882" s="7"/>
      <c r="B882" s="7"/>
      <c r="C882" s="7"/>
      <c r="D882" s="7"/>
      <c r="E882" s="7"/>
      <c r="F882" s="7"/>
    </row>
    <row r="883" ht="15.75" customHeight="1">
      <c r="A883" s="7"/>
      <c r="B883" s="7"/>
      <c r="C883" s="7"/>
      <c r="D883" s="7"/>
      <c r="E883" s="7"/>
      <c r="F883" s="7"/>
    </row>
    <row r="884" ht="15.75" customHeight="1">
      <c r="A884" s="7"/>
      <c r="B884" s="7"/>
      <c r="C884" s="7"/>
      <c r="D884" s="7"/>
      <c r="E884" s="7"/>
      <c r="F884" s="7"/>
    </row>
    <row r="885" ht="15.75" customHeight="1">
      <c r="A885" s="7"/>
      <c r="B885" s="7"/>
      <c r="C885" s="7"/>
      <c r="D885" s="7"/>
      <c r="E885" s="7"/>
      <c r="F885" s="7"/>
    </row>
    <row r="886" ht="15.75" customHeight="1">
      <c r="A886" s="7"/>
      <c r="B886" s="7"/>
      <c r="C886" s="7"/>
      <c r="D886" s="7"/>
      <c r="E886" s="7"/>
      <c r="F886" s="7"/>
    </row>
    <row r="887" ht="15.75" customHeight="1">
      <c r="A887" s="7"/>
      <c r="B887" s="7"/>
      <c r="C887" s="7"/>
      <c r="D887" s="7"/>
      <c r="E887" s="7"/>
      <c r="F887" s="7"/>
    </row>
    <row r="888" ht="15.75" customHeight="1">
      <c r="A888" s="7"/>
      <c r="B888" s="7"/>
      <c r="C888" s="7"/>
      <c r="D888" s="7"/>
      <c r="E888" s="7"/>
      <c r="F888" s="7"/>
    </row>
    <row r="889" ht="15.75" customHeight="1">
      <c r="A889" s="7"/>
      <c r="B889" s="7"/>
      <c r="C889" s="7"/>
      <c r="D889" s="7"/>
      <c r="E889" s="7"/>
      <c r="F889" s="7"/>
    </row>
    <row r="890" ht="15.75" customHeight="1">
      <c r="A890" s="7"/>
      <c r="B890" s="7"/>
      <c r="C890" s="7"/>
      <c r="D890" s="7"/>
      <c r="E890" s="7"/>
      <c r="F890" s="7"/>
    </row>
    <row r="891" ht="15.75" customHeight="1">
      <c r="A891" s="7"/>
      <c r="B891" s="7"/>
      <c r="C891" s="7"/>
      <c r="D891" s="7"/>
      <c r="E891" s="7"/>
      <c r="F891" s="7"/>
    </row>
    <row r="892" ht="15.75" customHeight="1">
      <c r="A892" s="7"/>
      <c r="B892" s="7"/>
      <c r="C892" s="7"/>
      <c r="D892" s="7"/>
      <c r="E892" s="7"/>
      <c r="F892" s="7"/>
    </row>
    <row r="893" ht="15.75" customHeight="1">
      <c r="A893" s="7"/>
      <c r="B893" s="7"/>
      <c r="C893" s="7"/>
      <c r="D893" s="7"/>
      <c r="E893" s="7"/>
      <c r="F893" s="7"/>
    </row>
    <row r="894" ht="15.75" customHeight="1">
      <c r="A894" s="7"/>
      <c r="B894" s="7"/>
      <c r="C894" s="7"/>
      <c r="D894" s="7"/>
      <c r="E894" s="7"/>
      <c r="F894" s="7"/>
    </row>
    <row r="895" ht="15.75" customHeight="1">
      <c r="A895" s="7"/>
      <c r="B895" s="7"/>
      <c r="C895" s="7"/>
      <c r="D895" s="7"/>
      <c r="E895" s="7"/>
      <c r="F895" s="7"/>
    </row>
    <row r="896" ht="15.75" customHeight="1">
      <c r="A896" s="7"/>
      <c r="B896" s="7"/>
      <c r="C896" s="7"/>
      <c r="D896" s="7"/>
      <c r="E896" s="7"/>
      <c r="F896" s="7"/>
    </row>
    <row r="897" ht="15.75" customHeight="1">
      <c r="A897" s="7"/>
      <c r="B897" s="7"/>
      <c r="C897" s="7"/>
      <c r="D897" s="7"/>
      <c r="E897" s="7"/>
      <c r="F897" s="7"/>
    </row>
    <row r="898" ht="15.75" customHeight="1">
      <c r="A898" s="7"/>
      <c r="B898" s="7"/>
      <c r="C898" s="7"/>
      <c r="D898" s="7"/>
      <c r="E898" s="7"/>
      <c r="F898" s="7"/>
    </row>
    <row r="899" ht="15.75" customHeight="1">
      <c r="A899" s="7"/>
      <c r="B899" s="7"/>
      <c r="C899" s="7"/>
      <c r="D899" s="7"/>
      <c r="E899" s="7"/>
      <c r="F899" s="7"/>
    </row>
    <row r="900" ht="15.75" customHeight="1">
      <c r="A900" s="7"/>
      <c r="B900" s="7"/>
      <c r="C900" s="7"/>
      <c r="D900" s="7"/>
      <c r="E900" s="7"/>
      <c r="F900" s="7"/>
    </row>
    <row r="901" ht="15.75" customHeight="1">
      <c r="A901" s="7"/>
      <c r="B901" s="7"/>
      <c r="C901" s="7"/>
      <c r="D901" s="7"/>
      <c r="E901" s="7"/>
      <c r="F901" s="7"/>
    </row>
    <row r="902" ht="15.75" customHeight="1">
      <c r="A902" s="7"/>
      <c r="B902" s="7"/>
      <c r="C902" s="7"/>
      <c r="D902" s="7"/>
      <c r="E902" s="7"/>
      <c r="F902" s="7"/>
    </row>
    <row r="903" ht="15.75" customHeight="1">
      <c r="A903" s="7"/>
      <c r="B903" s="7"/>
      <c r="C903" s="7"/>
      <c r="D903" s="7"/>
      <c r="E903" s="7"/>
      <c r="F903" s="7"/>
    </row>
    <row r="904" ht="15.75" customHeight="1">
      <c r="A904" s="7"/>
      <c r="B904" s="7"/>
      <c r="C904" s="7"/>
      <c r="D904" s="7"/>
      <c r="E904" s="7"/>
      <c r="F904" s="7"/>
    </row>
    <row r="905" ht="15.75" customHeight="1">
      <c r="A905" s="7"/>
      <c r="B905" s="7"/>
      <c r="C905" s="7"/>
      <c r="D905" s="7"/>
      <c r="E905" s="7"/>
      <c r="F905" s="7"/>
    </row>
    <row r="906" ht="15.75" customHeight="1">
      <c r="A906" s="7"/>
      <c r="B906" s="7"/>
      <c r="C906" s="7"/>
      <c r="D906" s="7"/>
      <c r="E906" s="7"/>
      <c r="F906" s="7"/>
    </row>
    <row r="907" ht="15.75" customHeight="1">
      <c r="A907" s="7"/>
      <c r="B907" s="7"/>
      <c r="C907" s="7"/>
      <c r="D907" s="7"/>
      <c r="E907" s="7"/>
      <c r="F907" s="7"/>
    </row>
    <row r="908" ht="15.75" customHeight="1">
      <c r="A908" s="7"/>
      <c r="B908" s="7"/>
      <c r="C908" s="7"/>
      <c r="D908" s="7"/>
      <c r="E908" s="7"/>
      <c r="F908" s="7"/>
    </row>
    <row r="909" ht="15.75" customHeight="1">
      <c r="A909" s="7"/>
      <c r="B909" s="7"/>
      <c r="C909" s="7"/>
      <c r="D909" s="7"/>
      <c r="E909" s="7"/>
      <c r="F909" s="7"/>
    </row>
    <row r="910" ht="15.75" customHeight="1">
      <c r="A910" s="7"/>
      <c r="B910" s="7"/>
      <c r="C910" s="7"/>
      <c r="D910" s="7"/>
      <c r="E910" s="7"/>
      <c r="F910" s="7"/>
    </row>
    <row r="911" ht="15.75" customHeight="1">
      <c r="A911" s="7"/>
      <c r="B911" s="7"/>
      <c r="C911" s="7"/>
      <c r="D911" s="7"/>
      <c r="E911" s="7"/>
      <c r="F911" s="7"/>
    </row>
    <row r="912" ht="15.75" customHeight="1">
      <c r="A912" s="7"/>
      <c r="B912" s="7"/>
      <c r="C912" s="7"/>
      <c r="D912" s="7"/>
      <c r="E912" s="7"/>
      <c r="F912" s="7"/>
    </row>
    <row r="913" ht="15.75" customHeight="1">
      <c r="A913" s="7"/>
      <c r="B913" s="7"/>
      <c r="C913" s="7"/>
      <c r="D913" s="7"/>
      <c r="E913" s="7"/>
      <c r="F913" s="7"/>
    </row>
    <row r="914" ht="15.75" customHeight="1">
      <c r="A914" s="7"/>
      <c r="B914" s="7"/>
      <c r="C914" s="7"/>
      <c r="D914" s="7"/>
      <c r="E914" s="7"/>
      <c r="F914" s="7"/>
    </row>
    <row r="915" ht="15.75" customHeight="1">
      <c r="A915" s="7"/>
      <c r="B915" s="7"/>
      <c r="C915" s="7"/>
      <c r="D915" s="7"/>
      <c r="E915" s="7"/>
      <c r="F915" s="7"/>
    </row>
    <row r="916" ht="15.75" customHeight="1">
      <c r="A916" s="7"/>
      <c r="B916" s="7"/>
      <c r="C916" s="7"/>
      <c r="D916" s="7"/>
      <c r="E916" s="7"/>
      <c r="F916" s="7"/>
    </row>
    <row r="917" ht="15.75" customHeight="1">
      <c r="A917" s="7"/>
      <c r="B917" s="7"/>
      <c r="C917" s="7"/>
      <c r="D917" s="7"/>
      <c r="E917" s="7"/>
      <c r="F917" s="7"/>
    </row>
    <row r="918" ht="15.75" customHeight="1">
      <c r="A918" s="7"/>
      <c r="B918" s="7"/>
      <c r="C918" s="7"/>
      <c r="D918" s="7"/>
      <c r="E918" s="7"/>
      <c r="F918" s="7"/>
    </row>
    <row r="919" ht="15.75" customHeight="1">
      <c r="A919" s="7"/>
      <c r="B919" s="7"/>
      <c r="C919" s="7"/>
      <c r="D919" s="7"/>
      <c r="E919" s="7"/>
      <c r="F919" s="7"/>
    </row>
    <row r="920" ht="15.75" customHeight="1">
      <c r="A920" s="7"/>
      <c r="B920" s="7"/>
      <c r="C920" s="7"/>
      <c r="D920" s="7"/>
      <c r="E920" s="7"/>
      <c r="F920" s="7"/>
    </row>
    <row r="921" ht="15.75" customHeight="1">
      <c r="A921" s="7"/>
      <c r="B921" s="7"/>
      <c r="C921" s="7"/>
      <c r="D921" s="7"/>
      <c r="E921" s="7"/>
      <c r="F921" s="7"/>
    </row>
    <row r="922" ht="15.75" customHeight="1">
      <c r="A922" s="7"/>
      <c r="B922" s="7"/>
      <c r="C922" s="7"/>
      <c r="D922" s="7"/>
      <c r="E922" s="7"/>
      <c r="F922" s="7"/>
    </row>
    <row r="923" ht="15.75" customHeight="1">
      <c r="A923" s="7"/>
      <c r="B923" s="7"/>
      <c r="C923" s="7"/>
      <c r="D923" s="7"/>
      <c r="E923" s="7"/>
      <c r="F923" s="7"/>
    </row>
    <row r="924" ht="15.75" customHeight="1">
      <c r="A924" s="7"/>
      <c r="B924" s="7"/>
      <c r="C924" s="7"/>
      <c r="D924" s="7"/>
      <c r="E924" s="7"/>
      <c r="F924" s="7"/>
    </row>
    <row r="925" ht="15.75" customHeight="1">
      <c r="A925" s="7"/>
      <c r="B925" s="7"/>
      <c r="C925" s="7"/>
      <c r="D925" s="7"/>
      <c r="E925" s="7"/>
      <c r="F925" s="7"/>
    </row>
    <row r="926" ht="15.75" customHeight="1">
      <c r="A926" s="7"/>
      <c r="B926" s="7"/>
      <c r="C926" s="7"/>
      <c r="D926" s="7"/>
      <c r="E926" s="7"/>
      <c r="F926" s="7"/>
    </row>
    <row r="927" ht="15.75" customHeight="1">
      <c r="A927" s="7"/>
      <c r="B927" s="7"/>
      <c r="C927" s="7"/>
      <c r="D927" s="7"/>
      <c r="E927" s="7"/>
      <c r="F927" s="7"/>
    </row>
    <row r="928" ht="15.75" customHeight="1">
      <c r="A928" s="7"/>
      <c r="B928" s="7"/>
      <c r="C928" s="7"/>
      <c r="D928" s="7"/>
      <c r="E928" s="7"/>
      <c r="F928" s="7"/>
    </row>
    <row r="929" ht="15.75" customHeight="1">
      <c r="A929" s="7"/>
      <c r="B929" s="7"/>
      <c r="C929" s="7"/>
      <c r="D929" s="7"/>
      <c r="E929" s="7"/>
      <c r="F929" s="7"/>
    </row>
    <row r="930" ht="15.75" customHeight="1">
      <c r="A930" s="7"/>
      <c r="B930" s="7"/>
      <c r="C930" s="7"/>
      <c r="D930" s="7"/>
      <c r="E930" s="7"/>
      <c r="F930" s="7"/>
    </row>
    <row r="931" ht="15.75" customHeight="1">
      <c r="A931" s="7"/>
      <c r="B931" s="7"/>
      <c r="C931" s="7"/>
      <c r="D931" s="7"/>
      <c r="E931" s="7"/>
      <c r="F931" s="7"/>
    </row>
    <row r="932" ht="15.75" customHeight="1">
      <c r="A932" s="7"/>
      <c r="B932" s="7"/>
      <c r="C932" s="7"/>
      <c r="D932" s="7"/>
      <c r="E932" s="7"/>
      <c r="F932" s="7"/>
    </row>
    <row r="933" ht="15.75" customHeight="1">
      <c r="A933" s="7"/>
      <c r="B933" s="7"/>
      <c r="C933" s="7"/>
      <c r="D933" s="7"/>
      <c r="E933" s="7"/>
      <c r="F933" s="7"/>
    </row>
    <row r="934" ht="15.75" customHeight="1">
      <c r="A934" s="7"/>
      <c r="B934" s="7"/>
      <c r="C934" s="7"/>
      <c r="D934" s="7"/>
      <c r="E934" s="7"/>
      <c r="F934" s="7"/>
    </row>
    <row r="935" ht="15.75" customHeight="1">
      <c r="A935" s="7"/>
      <c r="B935" s="7"/>
      <c r="C935" s="7"/>
      <c r="D935" s="7"/>
      <c r="E935" s="7"/>
      <c r="F935" s="7"/>
    </row>
    <row r="936" ht="15.75" customHeight="1">
      <c r="A936" s="7"/>
      <c r="B936" s="7"/>
      <c r="C936" s="7"/>
      <c r="D936" s="7"/>
      <c r="E936" s="7"/>
      <c r="F936" s="7"/>
    </row>
    <row r="937" ht="15.75" customHeight="1">
      <c r="A937" s="7"/>
      <c r="B937" s="7"/>
      <c r="C937" s="7"/>
      <c r="D937" s="7"/>
      <c r="E937" s="7"/>
      <c r="F937" s="7"/>
    </row>
    <row r="938" ht="15.75" customHeight="1">
      <c r="A938" s="7"/>
      <c r="B938" s="7"/>
      <c r="C938" s="7"/>
      <c r="D938" s="7"/>
      <c r="E938" s="7"/>
      <c r="F938" s="7"/>
    </row>
    <row r="939" ht="15.75" customHeight="1">
      <c r="A939" s="7"/>
      <c r="B939" s="7"/>
      <c r="C939" s="7"/>
      <c r="D939" s="7"/>
      <c r="E939" s="7"/>
      <c r="F939" s="7"/>
    </row>
    <row r="940" ht="15.75" customHeight="1">
      <c r="A940" s="7"/>
      <c r="B940" s="7"/>
      <c r="C940" s="7"/>
      <c r="D940" s="7"/>
      <c r="E940" s="7"/>
      <c r="F940" s="7"/>
    </row>
    <row r="941" ht="15.75" customHeight="1">
      <c r="A941" s="7"/>
      <c r="B941" s="7"/>
      <c r="C941" s="7"/>
      <c r="D941" s="7"/>
      <c r="E941" s="7"/>
      <c r="F941" s="7"/>
    </row>
    <row r="942" ht="15.75" customHeight="1">
      <c r="A942" s="7"/>
      <c r="B942" s="7"/>
      <c r="C942" s="7"/>
      <c r="D942" s="7"/>
      <c r="E942" s="7"/>
      <c r="F942" s="7"/>
    </row>
    <row r="943" ht="15.75" customHeight="1">
      <c r="A943" s="7"/>
      <c r="B943" s="7"/>
      <c r="C943" s="7"/>
      <c r="D943" s="7"/>
      <c r="E943" s="7"/>
      <c r="F943" s="7"/>
    </row>
    <row r="944" ht="15.75" customHeight="1">
      <c r="A944" s="7"/>
      <c r="B944" s="7"/>
      <c r="C944" s="7"/>
      <c r="D944" s="7"/>
      <c r="E944" s="7"/>
      <c r="F944" s="7"/>
    </row>
    <row r="945" ht="15.75" customHeight="1">
      <c r="A945" s="7"/>
      <c r="B945" s="7"/>
      <c r="C945" s="7"/>
      <c r="D945" s="7"/>
      <c r="E945" s="7"/>
      <c r="F945" s="7"/>
    </row>
    <row r="946" ht="15.75" customHeight="1">
      <c r="A946" s="7"/>
      <c r="B946" s="7"/>
      <c r="C946" s="7"/>
      <c r="D946" s="7"/>
      <c r="E946" s="7"/>
      <c r="F946" s="7"/>
    </row>
    <row r="947" ht="15.75" customHeight="1">
      <c r="A947" s="7"/>
      <c r="B947" s="7"/>
      <c r="C947" s="7"/>
      <c r="D947" s="7"/>
      <c r="E947" s="7"/>
      <c r="F947" s="7"/>
    </row>
    <row r="948" ht="15.75" customHeight="1">
      <c r="A948" s="7"/>
      <c r="B948" s="7"/>
      <c r="C948" s="7"/>
      <c r="D948" s="7"/>
      <c r="E948" s="7"/>
      <c r="F948" s="7"/>
    </row>
    <row r="949" ht="15.75" customHeight="1">
      <c r="A949" s="7"/>
      <c r="B949" s="7"/>
      <c r="C949" s="7"/>
      <c r="D949" s="7"/>
      <c r="E949" s="7"/>
      <c r="F949" s="7"/>
    </row>
    <row r="950" ht="15.75" customHeight="1">
      <c r="A950" s="7"/>
      <c r="B950" s="7"/>
      <c r="C950" s="7"/>
      <c r="D950" s="7"/>
      <c r="E950" s="7"/>
      <c r="F950" s="7"/>
    </row>
    <row r="951" ht="15.75" customHeight="1">
      <c r="A951" s="7"/>
      <c r="B951" s="7"/>
      <c r="C951" s="7"/>
      <c r="D951" s="7"/>
      <c r="E951" s="7"/>
      <c r="F951" s="7"/>
    </row>
    <row r="952" ht="15.75" customHeight="1">
      <c r="A952" s="7"/>
      <c r="B952" s="7"/>
      <c r="C952" s="7"/>
      <c r="D952" s="7"/>
      <c r="E952" s="7"/>
      <c r="F952" s="7"/>
    </row>
    <row r="953" ht="15.75" customHeight="1">
      <c r="A953" s="7"/>
      <c r="B953" s="7"/>
      <c r="C953" s="7"/>
      <c r="D953" s="7"/>
      <c r="E953" s="7"/>
      <c r="F953" s="7"/>
    </row>
    <row r="954" ht="15.75" customHeight="1">
      <c r="A954" s="7"/>
      <c r="B954" s="7"/>
      <c r="C954" s="7"/>
      <c r="D954" s="7"/>
      <c r="E954" s="7"/>
      <c r="F954" s="7"/>
    </row>
    <row r="955" ht="15.75" customHeight="1">
      <c r="A955" s="7"/>
      <c r="B955" s="7"/>
      <c r="C955" s="7"/>
      <c r="D955" s="7"/>
      <c r="E955" s="7"/>
      <c r="F955" s="7"/>
    </row>
    <row r="956" ht="15.75" customHeight="1">
      <c r="A956" s="7"/>
      <c r="B956" s="7"/>
      <c r="C956" s="7"/>
      <c r="D956" s="7"/>
      <c r="E956" s="7"/>
      <c r="F956" s="7"/>
    </row>
    <row r="957" ht="15.75" customHeight="1">
      <c r="A957" s="7"/>
      <c r="B957" s="7"/>
      <c r="C957" s="7"/>
      <c r="D957" s="7"/>
      <c r="E957" s="7"/>
      <c r="F957" s="7"/>
    </row>
    <row r="958" ht="15.75" customHeight="1">
      <c r="A958" s="7"/>
      <c r="B958" s="7"/>
      <c r="C958" s="7"/>
      <c r="D958" s="7"/>
      <c r="E958" s="7"/>
      <c r="F958" s="7"/>
    </row>
    <row r="959" ht="15.75" customHeight="1">
      <c r="A959" s="7"/>
      <c r="B959" s="7"/>
      <c r="C959" s="7"/>
      <c r="D959" s="7"/>
      <c r="E959" s="7"/>
      <c r="F959" s="7"/>
    </row>
    <row r="960" ht="15.75" customHeight="1">
      <c r="A960" s="7"/>
      <c r="B960" s="7"/>
      <c r="C960" s="7"/>
      <c r="D960" s="7"/>
      <c r="E960" s="7"/>
      <c r="F960" s="7"/>
    </row>
    <row r="961" ht="15.75" customHeight="1">
      <c r="A961" s="7"/>
      <c r="B961" s="7"/>
      <c r="C961" s="7"/>
      <c r="D961" s="7"/>
      <c r="E961" s="7"/>
      <c r="F961" s="7"/>
    </row>
    <row r="962" ht="15.75" customHeight="1">
      <c r="A962" s="7"/>
      <c r="B962" s="7"/>
      <c r="C962" s="7"/>
      <c r="D962" s="7"/>
      <c r="E962" s="7"/>
      <c r="F962" s="7"/>
    </row>
    <row r="963" ht="15.75" customHeight="1">
      <c r="A963" s="7"/>
      <c r="B963" s="7"/>
      <c r="C963" s="7"/>
      <c r="D963" s="7"/>
      <c r="E963" s="7"/>
      <c r="F963" s="7"/>
    </row>
    <row r="964" ht="15.75" customHeight="1">
      <c r="A964" s="7"/>
      <c r="B964" s="7"/>
      <c r="C964" s="7"/>
      <c r="D964" s="7"/>
      <c r="E964" s="7"/>
      <c r="F964" s="7"/>
    </row>
    <row r="965" ht="15.75" customHeight="1">
      <c r="A965" s="7"/>
      <c r="B965" s="7"/>
      <c r="C965" s="7"/>
      <c r="D965" s="7"/>
      <c r="E965" s="7"/>
      <c r="F965" s="7"/>
    </row>
    <row r="966" ht="15.75" customHeight="1">
      <c r="A966" s="7"/>
      <c r="B966" s="7"/>
      <c r="C966" s="7"/>
      <c r="D966" s="7"/>
      <c r="E966" s="7"/>
      <c r="F966" s="7"/>
    </row>
    <row r="967" ht="15.75" customHeight="1">
      <c r="A967" s="7"/>
      <c r="B967" s="7"/>
      <c r="C967" s="7"/>
      <c r="D967" s="7"/>
      <c r="E967" s="7"/>
      <c r="F967" s="7"/>
    </row>
    <row r="968" ht="15.75" customHeight="1">
      <c r="A968" s="7"/>
      <c r="B968" s="7"/>
      <c r="C968" s="7"/>
      <c r="D968" s="7"/>
      <c r="E968" s="7"/>
      <c r="F968" s="7"/>
    </row>
    <row r="969" ht="15.75" customHeight="1">
      <c r="A969" s="7"/>
      <c r="B969" s="7"/>
      <c r="C969" s="7"/>
      <c r="D969" s="7"/>
      <c r="E969" s="7"/>
      <c r="F969" s="7"/>
    </row>
    <row r="970" ht="15.75" customHeight="1">
      <c r="A970" s="7"/>
      <c r="B970" s="7"/>
      <c r="C970" s="7"/>
      <c r="D970" s="7"/>
      <c r="E970" s="7"/>
      <c r="F970" s="7"/>
    </row>
    <row r="971" ht="15.75" customHeight="1">
      <c r="A971" s="7"/>
      <c r="B971" s="7"/>
      <c r="C971" s="7"/>
      <c r="D971" s="7"/>
      <c r="E971" s="7"/>
      <c r="F971" s="7"/>
    </row>
    <row r="972" ht="15.75" customHeight="1">
      <c r="A972" s="7"/>
      <c r="B972" s="7"/>
      <c r="C972" s="7"/>
      <c r="D972" s="7"/>
      <c r="E972" s="7"/>
      <c r="F972" s="7"/>
    </row>
    <row r="973" ht="15.75" customHeight="1">
      <c r="A973" s="7"/>
      <c r="B973" s="7"/>
      <c r="C973" s="7"/>
      <c r="D973" s="7"/>
      <c r="E973" s="7"/>
      <c r="F973" s="7"/>
    </row>
    <row r="974" ht="15.75" customHeight="1">
      <c r="A974" s="7"/>
      <c r="B974" s="7"/>
      <c r="C974" s="7"/>
      <c r="D974" s="7"/>
      <c r="E974" s="7"/>
      <c r="F974" s="7"/>
    </row>
    <row r="975" ht="15.75" customHeight="1">
      <c r="A975" s="7"/>
      <c r="B975" s="7"/>
      <c r="C975" s="7"/>
      <c r="D975" s="7"/>
      <c r="E975" s="7"/>
      <c r="F975" s="7"/>
    </row>
    <row r="976" ht="15.75" customHeight="1">
      <c r="A976" s="7"/>
      <c r="B976" s="7"/>
      <c r="C976" s="7"/>
      <c r="D976" s="7"/>
      <c r="E976" s="7"/>
      <c r="F976" s="7"/>
    </row>
    <row r="977" ht="15.75" customHeight="1">
      <c r="A977" s="7"/>
      <c r="B977" s="7"/>
      <c r="C977" s="7"/>
      <c r="D977" s="7"/>
      <c r="E977" s="7"/>
      <c r="F977" s="7"/>
    </row>
    <row r="978" ht="15.75" customHeight="1">
      <c r="A978" s="7"/>
      <c r="B978" s="7"/>
      <c r="C978" s="7"/>
      <c r="D978" s="7"/>
      <c r="E978" s="7"/>
      <c r="F978" s="7"/>
    </row>
    <row r="979" ht="15.75" customHeight="1">
      <c r="A979" s="7"/>
      <c r="B979" s="7"/>
      <c r="C979" s="7"/>
      <c r="D979" s="7"/>
      <c r="E979" s="7"/>
      <c r="F979" s="7"/>
    </row>
    <row r="980" ht="15.75" customHeight="1">
      <c r="A980" s="7"/>
      <c r="B980" s="7"/>
      <c r="C980" s="7"/>
      <c r="D980" s="7"/>
      <c r="E980" s="7"/>
      <c r="F980" s="7"/>
    </row>
    <row r="981" ht="15.75" customHeight="1">
      <c r="A981" s="7"/>
      <c r="B981" s="7"/>
      <c r="C981" s="7"/>
      <c r="D981" s="7"/>
      <c r="E981" s="7"/>
      <c r="F981" s="7"/>
    </row>
    <row r="982" ht="15.75" customHeight="1">
      <c r="A982" s="7"/>
      <c r="B982" s="7"/>
      <c r="C982" s="7"/>
      <c r="D982" s="7"/>
      <c r="E982" s="7"/>
      <c r="F982" s="7"/>
    </row>
    <row r="983" ht="15.75" customHeight="1">
      <c r="A983" s="7"/>
      <c r="B983" s="7"/>
      <c r="C983" s="7"/>
      <c r="D983" s="7"/>
      <c r="E983" s="7"/>
      <c r="F983" s="7"/>
    </row>
    <row r="984" ht="15.75" customHeight="1">
      <c r="A984" s="7"/>
      <c r="B984" s="7"/>
      <c r="C984" s="7"/>
      <c r="D984" s="7"/>
      <c r="E984" s="7"/>
      <c r="F984" s="7"/>
    </row>
    <row r="985" ht="15.75" customHeight="1">
      <c r="A985" s="7"/>
      <c r="B985" s="7"/>
      <c r="C985" s="7"/>
      <c r="D985" s="7"/>
      <c r="E985" s="7"/>
      <c r="F985" s="7"/>
    </row>
    <row r="986" ht="15.75" customHeight="1">
      <c r="A986" s="7"/>
      <c r="B986" s="7"/>
      <c r="C986" s="7"/>
      <c r="D986" s="7"/>
      <c r="E986" s="7"/>
      <c r="F986" s="7"/>
    </row>
    <row r="987" ht="15.75" customHeight="1">
      <c r="A987" s="7"/>
      <c r="B987" s="7"/>
      <c r="C987" s="7"/>
      <c r="D987" s="7"/>
      <c r="E987" s="7"/>
      <c r="F987" s="7"/>
    </row>
    <row r="988" ht="15.75" customHeight="1">
      <c r="A988" s="7"/>
      <c r="B988" s="7"/>
      <c r="C988" s="7"/>
      <c r="D988" s="7"/>
      <c r="E988" s="7"/>
      <c r="F988" s="7"/>
    </row>
    <row r="989" ht="15.75" customHeight="1">
      <c r="A989" s="7"/>
      <c r="B989" s="7"/>
      <c r="C989" s="7"/>
      <c r="D989" s="7"/>
      <c r="E989" s="7"/>
      <c r="F989" s="7"/>
    </row>
    <row r="990" ht="15.75" customHeight="1">
      <c r="A990" s="7"/>
      <c r="B990" s="7"/>
      <c r="C990" s="7"/>
      <c r="D990" s="7"/>
      <c r="E990" s="7"/>
      <c r="F990" s="7"/>
    </row>
    <row r="991" ht="15.75" customHeight="1">
      <c r="A991" s="7"/>
      <c r="B991" s="7"/>
      <c r="C991" s="7"/>
      <c r="D991" s="7"/>
      <c r="E991" s="7"/>
      <c r="F991" s="7"/>
    </row>
    <row r="992" ht="15.75" customHeight="1">
      <c r="A992" s="7"/>
      <c r="B992" s="7"/>
      <c r="C992" s="7"/>
      <c r="D992" s="7"/>
      <c r="E992" s="7"/>
      <c r="F992" s="7"/>
    </row>
    <row r="993" ht="15.75" customHeight="1">
      <c r="A993" s="7"/>
      <c r="B993" s="7"/>
      <c r="C993" s="7"/>
      <c r="D993" s="7"/>
      <c r="E993" s="7"/>
      <c r="F993" s="7"/>
    </row>
    <row r="994" ht="15.75" customHeight="1">
      <c r="A994" s="7"/>
      <c r="B994" s="7"/>
      <c r="C994" s="7"/>
      <c r="D994" s="7"/>
      <c r="E994" s="7"/>
      <c r="F994" s="7"/>
    </row>
    <row r="995" ht="15.75" customHeight="1">
      <c r="A995" s="7"/>
      <c r="B995" s="7"/>
      <c r="C995" s="7"/>
      <c r="D995" s="7"/>
      <c r="E995" s="7"/>
      <c r="F995" s="7"/>
    </row>
    <row r="996" ht="15.75" customHeight="1">
      <c r="A996" s="7"/>
      <c r="B996" s="7"/>
      <c r="C996" s="7"/>
      <c r="D996" s="7"/>
      <c r="E996" s="7"/>
      <c r="F996" s="7"/>
    </row>
    <row r="997" ht="15.75" customHeight="1">
      <c r="A997" s="7"/>
      <c r="B997" s="7"/>
      <c r="C997" s="7"/>
      <c r="D997" s="7"/>
      <c r="E997" s="7"/>
      <c r="F997" s="7"/>
    </row>
    <row r="998" ht="15.75" customHeight="1">
      <c r="A998" s="7"/>
      <c r="B998" s="7"/>
      <c r="C998" s="7"/>
      <c r="D998" s="7"/>
      <c r="E998" s="7"/>
      <c r="F998" s="7"/>
    </row>
    <row r="999" ht="15.75" customHeight="1">
      <c r="A999" s="7"/>
      <c r="B999" s="7"/>
      <c r="C999" s="7"/>
      <c r="D999" s="7"/>
      <c r="E999" s="7"/>
      <c r="F999" s="7"/>
    </row>
    <row r="1000" ht="15.75" customHeight="1">
      <c r="A1000" s="7"/>
      <c r="B1000" s="7"/>
      <c r="C1000" s="7"/>
      <c r="D1000" s="7"/>
      <c r="E1000" s="7"/>
      <c r="F1000" s="7"/>
    </row>
  </sheetData>
  <mergeCells count="7">
    <mergeCell ref="A1:E1"/>
    <mergeCell ref="A2:E2"/>
    <mergeCell ref="A4:E4"/>
    <mergeCell ref="A13:E13"/>
    <mergeCell ref="A21:E21"/>
    <mergeCell ref="A27:E27"/>
    <mergeCell ref="A36:E36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5B6"/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2.0"/>
    <col customWidth="1" min="3" max="3" width="28.0"/>
    <col customWidth="1" min="4" max="4" width="16.0"/>
    <col customWidth="1" min="5" max="5" width="12.0"/>
    <col customWidth="1" min="6" max="6" width="14.0"/>
    <col customWidth="1" min="7" max="7" width="12.0"/>
    <col customWidth="1" min="8" max="9" width="13.0"/>
    <col customWidth="1" min="10" max="10" width="10.0"/>
    <col customWidth="1" min="11" max="11" width="12.0"/>
    <col customWidth="1" min="12" max="13" width="13.0"/>
    <col customWidth="1" min="14" max="14" width="12.0"/>
  </cols>
  <sheetData>
    <row r="1" ht="39.75" customHeight="1">
      <c r="A1" s="8" t="s">
        <v>72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10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5.0" customHeight="1">
      <c r="A2" s="32" t="str">
        <f>'Configuración'!C17&amp;" "&amp;'Configuración'!C18</f>
        <v> 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10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15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34.5" customHeight="1">
      <c r="A4" s="34" t="s">
        <v>74</v>
      </c>
      <c r="B4" s="34" t="s">
        <v>75</v>
      </c>
      <c r="C4" s="34" t="s">
        <v>76</v>
      </c>
      <c r="D4" s="34" t="s">
        <v>77</v>
      </c>
      <c r="E4" s="34" t="s">
        <v>78</v>
      </c>
      <c r="F4" s="34" t="s">
        <v>79</v>
      </c>
      <c r="G4" s="34" t="s">
        <v>80</v>
      </c>
      <c r="H4" s="34" t="s">
        <v>81</v>
      </c>
      <c r="I4" s="34" t="s">
        <v>80</v>
      </c>
      <c r="J4" s="34" t="s">
        <v>82</v>
      </c>
      <c r="K4" s="34" t="s">
        <v>83</v>
      </c>
      <c r="L4" s="34" t="s">
        <v>84</v>
      </c>
      <c r="M4" s="34" t="s">
        <v>85</v>
      </c>
      <c r="N4" s="34" t="s">
        <v>86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15.0" customHeight="1">
      <c r="A5" s="35">
        <v>1.0</v>
      </c>
      <c r="B5" s="52">
        <v>46056.0</v>
      </c>
      <c r="C5" s="29" t="s">
        <v>90</v>
      </c>
      <c r="D5" s="53" t="str">
        <f>IFERROR(VLOOKUP(C5,'Catálogo Productos'!$B$3:$E$53,2,0),"")</f>
        <v>Guitarra Electrica</v>
      </c>
      <c r="E5" s="54">
        <f>IFERROR(VLOOKUP(C5,'Catálogo Productos'!$B$3:$E$53,3,0),"")</f>
        <v>1.21</v>
      </c>
      <c r="F5" s="55">
        <f>IFERROR(VLOOKUP(C5,'Catálogo Productos'!$B$3:$E$53,4,0),"")</f>
        <v>5.49</v>
      </c>
      <c r="G5" s="56">
        <f>IF(F5="","",IF(I5="SÍ",F5*'Configuración'!$C$5,0))</f>
        <v>0.6039</v>
      </c>
      <c r="H5" s="56" t="s">
        <v>88</v>
      </c>
      <c r="I5" s="61" t="s">
        <v>88</v>
      </c>
      <c r="J5" s="18">
        <f>IF(F5="","",IF(H5="SÍ",'Configuración'!$C$6,0))</f>
        <v>1.3</v>
      </c>
      <c r="K5" s="56">
        <f t="shared" ref="K5:K54" si="1">IF(F5="","",F5-G5-J5)</f>
        <v>3.5861</v>
      </c>
      <c r="L5" s="56">
        <f t="shared" ref="L5:L54" si="2">IF(F5="","",K5-E5-IF(N5="",0,N5))</f>
        <v>2.3761</v>
      </c>
      <c r="M5" s="57">
        <f t="shared" ref="M5:M54" si="3">IF(F5="","",IF(K5=0,0,L5/K5))</f>
        <v>0.6625860963</v>
      </c>
      <c r="N5" s="46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15.0" customHeight="1">
      <c r="A6" s="47">
        <v>2.0</v>
      </c>
      <c r="B6" s="52">
        <v>46056.0</v>
      </c>
      <c r="C6" s="29" t="s">
        <v>106</v>
      </c>
      <c r="D6" s="53" t="str">
        <f>IFERROR(VLOOKUP(C6,'Catálogo Productos'!$B$3:$E$53,2,0),"")</f>
        <v>Guitarra Clasica</v>
      </c>
      <c r="E6" s="54">
        <f>IFERROR(VLOOKUP(C6,'Catálogo Productos'!$B$3:$E$53,3,0),"")</f>
        <v>2.5</v>
      </c>
      <c r="F6" s="55">
        <f>IFERROR(VLOOKUP(C6,'Catálogo Productos'!$B$3:$E$53,4,0),"")</f>
        <v>9.99</v>
      </c>
      <c r="G6" s="58">
        <f>IF(F6="","",IF(I6="SÍ",F6*'Configuración'!$C$5,0))</f>
        <v>1.0989</v>
      </c>
      <c r="H6" s="58" t="s">
        <v>88</v>
      </c>
      <c r="I6" s="61" t="s">
        <v>88</v>
      </c>
      <c r="J6" s="18">
        <f>IF(F6="","",IF(H6="SÍ",'Configuración'!$C$6,0))</f>
        <v>1.3</v>
      </c>
      <c r="K6" s="58">
        <f t="shared" si="1"/>
        <v>7.5911</v>
      </c>
      <c r="L6" s="58">
        <f t="shared" si="2"/>
        <v>5.0911</v>
      </c>
      <c r="M6" s="59">
        <f t="shared" si="3"/>
        <v>0.6706669653</v>
      </c>
      <c r="N6" s="46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15.0" customHeight="1">
      <c r="A7" s="35">
        <v>3.0</v>
      </c>
      <c r="B7" s="52">
        <v>46057.0</v>
      </c>
      <c r="C7" s="29" t="s">
        <v>95</v>
      </c>
      <c r="D7" s="53" t="str">
        <f>IFERROR(VLOOKUP(C7,'Catálogo Productos'!$B$3:$E$53,2,0),"")</f>
        <v>Guitarra Electrica</v>
      </c>
      <c r="E7" s="54">
        <f>IFERROR(VLOOKUP(C7,'Catálogo Productos'!$B$3:$E$53,3,0),"")</f>
        <v>1.21</v>
      </c>
      <c r="F7" s="55">
        <f>IFERROR(VLOOKUP(C7,'Catálogo Productos'!$B$3:$E$53,4,0),"")</f>
        <v>5.49</v>
      </c>
      <c r="G7" s="56">
        <f>IF(F7="","",IF(I7="SÍ",F7*'Configuración'!$C$5,0))</f>
        <v>0.6039</v>
      </c>
      <c r="H7" s="56" t="s">
        <v>88</v>
      </c>
      <c r="I7" s="61" t="s">
        <v>88</v>
      </c>
      <c r="J7" s="18">
        <f>IF(F7="","",IF(H7="SÍ",'Configuración'!$C$6,0))</f>
        <v>1.3</v>
      </c>
      <c r="K7" s="56">
        <f t="shared" si="1"/>
        <v>3.5861</v>
      </c>
      <c r="L7" s="56">
        <f t="shared" si="2"/>
        <v>2.3761</v>
      </c>
      <c r="M7" s="57">
        <f t="shared" si="3"/>
        <v>0.6625860963</v>
      </c>
      <c r="N7" s="46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15.0" customHeight="1">
      <c r="A8" s="47">
        <v>4.0</v>
      </c>
      <c r="B8" s="52">
        <v>46057.0</v>
      </c>
      <c r="C8" s="29" t="s">
        <v>90</v>
      </c>
      <c r="D8" s="53" t="str">
        <f>IFERROR(VLOOKUP(C8,'Catálogo Productos'!$B$3:$E$53,2,0),"")</f>
        <v>Guitarra Electrica</v>
      </c>
      <c r="E8" s="54">
        <f>IFERROR(VLOOKUP(C8,'Catálogo Productos'!$B$3:$E$53,3,0),"")</f>
        <v>1.21</v>
      </c>
      <c r="F8" s="55">
        <f>IFERROR(VLOOKUP(C8,'Catálogo Productos'!$B$3:$E$53,4,0),"")</f>
        <v>5.49</v>
      </c>
      <c r="G8" s="58">
        <f>IF(F8="","",IF(I8="SÍ",F8*'Configuración'!$C$5,0))</f>
        <v>0.6039</v>
      </c>
      <c r="H8" s="58" t="s">
        <v>88</v>
      </c>
      <c r="I8" s="61" t="s">
        <v>88</v>
      </c>
      <c r="J8" s="18">
        <f>IF(F8="","",IF(H8="SÍ",'Configuración'!$C$6,0))</f>
        <v>1.3</v>
      </c>
      <c r="K8" s="58">
        <f t="shared" si="1"/>
        <v>3.5861</v>
      </c>
      <c r="L8" s="58">
        <f t="shared" si="2"/>
        <v>2.3761</v>
      </c>
      <c r="M8" s="59">
        <f t="shared" si="3"/>
        <v>0.6625860963</v>
      </c>
      <c r="N8" s="46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15.0" customHeight="1">
      <c r="A9" s="35">
        <v>5.0</v>
      </c>
      <c r="B9" s="52">
        <v>46057.0</v>
      </c>
      <c r="C9" s="29" t="s">
        <v>95</v>
      </c>
      <c r="D9" s="53" t="str">
        <f>IFERROR(VLOOKUP(C9,'Catálogo Productos'!$B$3:$E$53,2,0),"")</f>
        <v>Guitarra Electrica</v>
      </c>
      <c r="E9" s="54">
        <f>IFERROR(VLOOKUP(C9,'Catálogo Productos'!$B$3:$E$53,3,0),"")</f>
        <v>1.21</v>
      </c>
      <c r="F9" s="55">
        <f>IFERROR(VLOOKUP(C9,'Catálogo Productos'!$B$3:$E$53,4,0),"")</f>
        <v>5.49</v>
      </c>
      <c r="G9" s="56">
        <f>IF(F9="","",IF(I9="SÍ",F9*'Configuración'!$C$5,0))</f>
        <v>0.6039</v>
      </c>
      <c r="H9" s="58" t="s">
        <v>88</v>
      </c>
      <c r="I9" s="61" t="s">
        <v>88</v>
      </c>
      <c r="J9" s="18">
        <f>IF(F9="","",IF(H9="SÍ",'Configuración'!$C$6,0))</f>
        <v>1.3</v>
      </c>
      <c r="K9" s="56">
        <f t="shared" si="1"/>
        <v>3.5861</v>
      </c>
      <c r="L9" s="56">
        <f t="shared" si="2"/>
        <v>2.3761</v>
      </c>
      <c r="M9" s="57">
        <f t="shared" si="3"/>
        <v>0.6625860963</v>
      </c>
      <c r="N9" s="46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15.0" customHeight="1">
      <c r="A10" s="47">
        <v>6.0</v>
      </c>
      <c r="B10" s="52">
        <v>46057.0</v>
      </c>
      <c r="C10" s="29" t="s">
        <v>99</v>
      </c>
      <c r="D10" s="53" t="str">
        <f>IFERROR(VLOOKUP(C10,'Catálogo Productos'!$B$3:$E$53,2,0),"")</f>
        <v>Violin</v>
      </c>
      <c r="E10" s="54">
        <f>IFERROR(VLOOKUP(C10,'Catálogo Productos'!$B$3:$E$53,3,0),"")</f>
        <v>2.69</v>
      </c>
      <c r="F10" s="55">
        <f>IFERROR(VLOOKUP(C10,'Catálogo Productos'!$B$3:$E$53,4,0),"")</f>
        <v>11</v>
      </c>
      <c r="G10" s="58">
        <f>IF(F10="","",IF(I10="SÍ",F10*'Configuración'!$C$5,0))</f>
        <v>1.21</v>
      </c>
      <c r="H10" s="58" t="s">
        <v>88</v>
      </c>
      <c r="I10" s="61" t="s">
        <v>88</v>
      </c>
      <c r="J10" s="18">
        <f>IF(F10="","",IF(H10="SÍ",'Configuración'!$C$6,0))</f>
        <v>1.3</v>
      </c>
      <c r="K10" s="58">
        <f t="shared" si="1"/>
        <v>8.49</v>
      </c>
      <c r="L10" s="58">
        <f t="shared" si="2"/>
        <v>5.8</v>
      </c>
      <c r="M10" s="59">
        <f t="shared" si="3"/>
        <v>0.6831566549</v>
      </c>
      <c r="N10" s="4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15.0" customHeight="1">
      <c r="A11" s="35">
        <v>7.0</v>
      </c>
      <c r="B11" s="52">
        <v>46057.0</v>
      </c>
      <c r="C11" s="29" t="s">
        <v>90</v>
      </c>
      <c r="D11" s="53" t="str">
        <f>IFERROR(VLOOKUP(C11,'Catálogo Productos'!$B$3:$E$53,2,0),"")</f>
        <v>Guitarra Electrica</v>
      </c>
      <c r="E11" s="54">
        <f>IFERROR(VLOOKUP(C11,'Catálogo Productos'!$B$3:$E$53,3,0),"")</f>
        <v>1.21</v>
      </c>
      <c r="F11" s="55">
        <f>IFERROR(VLOOKUP(C11,'Catálogo Productos'!$B$3:$E$53,4,0),"")</f>
        <v>5.49</v>
      </c>
      <c r="G11" s="56">
        <f>IF(F11="","",IF(I11="SÍ",F11*'Configuración'!$C$5,0))</f>
        <v>0.6039</v>
      </c>
      <c r="H11" s="58" t="s">
        <v>88</v>
      </c>
      <c r="I11" s="61" t="s">
        <v>88</v>
      </c>
      <c r="J11" s="18">
        <f>IF(F11="","",IF(H11="SÍ",'Configuración'!$C$6,0))</f>
        <v>1.3</v>
      </c>
      <c r="K11" s="56">
        <f t="shared" si="1"/>
        <v>3.5861</v>
      </c>
      <c r="L11" s="56">
        <f t="shared" si="2"/>
        <v>2.3761</v>
      </c>
      <c r="M11" s="57">
        <f t="shared" si="3"/>
        <v>0.6625860963</v>
      </c>
      <c r="N11" s="46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15.0" customHeight="1">
      <c r="A12" s="47">
        <v>8.0</v>
      </c>
      <c r="B12" s="52">
        <v>46057.0</v>
      </c>
      <c r="C12" s="29" t="s">
        <v>106</v>
      </c>
      <c r="D12" s="53" t="str">
        <f>IFERROR(VLOOKUP(C12,'Catálogo Productos'!$B$3:$E$53,2,0),"")</f>
        <v>Guitarra Clasica</v>
      </c>
      <c r="E12" s="54">
        <f>IFERROR(VLOOKUP(C12,'Catálogo Productos'!$B$3:$E$53,3,0),"")</f>
        <v>2.5</v>
      </c>
      <c r="F12" s="55">
        <f>IFERROR(VLOOKUP(C12,'Catálogo Productos'!$B$3:$E$53,4,0),"")</f>
        <v>9.99</v>
      </c>
      <c r="G12" s="58">
        <f>IF(F12="","",IF(I12="SÍ",F12*'Configuración'!$C$5,0))</f>
        <v>1.0989</v>
      </c>
      <c r="H12" s="58" t="s">
        <v>88</v>
      </c>
      <c r="I12" s="61" t="s">
        <v>88</v>
      </c>
      <c r="J12" s="18">
        <f>IF(F12="","",IF(H12="SÍ",'Configuración'!$C$6,0))</f>
        <v>1.3</v>
      </c>
      <c r="K12" s="58">
        <f t="shared" si="1"/>
        <v>7.5911</v>
      </c>
      <c r="L12" s="58">
        <f t="shared" si="2"/>
        <v>5.0911</v>
      </c>
      <c r="M12" s="59">
        <f t="shared" si="3"/>
        <v>0.6706669653</v>
      </c>
      <c r="N12" s="46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15.0" customHeight="1">
      <c r="A13" s="35">
        <v>9.0</v>
      </c>
      <c r="B13" s="52">
        <v>46057.0</v>
      </c>
      <c r="C13" s="29" t="s">
        <v>89</v>
      </c>
      <c r="D13" s="53" t="str">
        <f>IFERROR(VLOOKUP(C13,'Catálogo Productos'!$B$3:$E$53,2,0),"")</f>
        <v>Guitarra Clasica</v>
      </c>
      <c r="E13" s="54">
        <f>IFERROR(VLOOKUP(C13,'Catálogo Productos'!$B$3:$E$53,3,0),"")</f>
        <v>1.21</v>
      </c>
      <c r="F13" s="55">
        <f>IFERROR(VLOOKUP(C13,'Catálogo Productos'!$B$3:$E$53,4,0),"")</f>
        <v>5.49</v>
      </c>
      <c r="G13" s="56">
        <f>IF(F13="","",IF(I13="SÍ",F13*'Configuración'!$C$5,0))</f>
        <v>0.6039</v>
      </c>
      <c r="H13" s="58" t="s">
        <v>88</v>
      </c>
      <c r="I13" s="61" t="s">
        <v>88</v>
      </c>
      <c r="J13" s="18">
        <f>IF(F13="","",IF(H13="SÍ",'Configuración'!$C$6,0))</f>
        <v>1.3</v>
      </c>
      <c r="K13" s="56">
        <f t="shared" si="1"/>
        <v>3.5861</v>
      </c>
      <c r="L13" s="56">
        <f t="shared" si="2"/>
        <v>2.3761</v>
      </c>
      <c r="M13" s="57">
        <f t="shared" si="3"/>
        <v>0.6625860963</v>
      </c>
      <c r="N13" s="46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ht="15.0" customHeight="1">
      <c r="A14" s="47">
        <v>10.0</v>
      </c>
      <c r="B14" s="52">
        <v>46057.0</v>
      </c>
      <c r="C14" s="29" t="s">
        <v>103</v>
      </c>
      <c r="D14" s="53" t="str">
        <f>IFERROR(VLOOKUP(C14,'Catálogo Productos'!$B$3:$E$53,2,0),"")</f>
        <v>Correas</v>
      </c>
      <c r="E14" s="54">
        <f>IFERROR(VLOOKUP(C14,'Catálogo Productos'!$B$3:$E$53,3,0),"")</f>
        <v>0.2</v>
      </c>
      <c r="F14" s="55">
        <f>IFERROR(VLOOKUP(C14,'Catálogo Productos'!$B$3:$E$53,4,0),"")</f>
        <v>5.49</v>
      </c>
      <c r="G14" s="58">
        <f>IF(F14="","",IF(I14="SÍ",F14*'Configuración'!$C$5,0))</f>
        <v>0.6039</v>
      </c>
      <c r="H14" s="58" t="s">
        <v>88</v>
      </c>
      <c r="I14" s="61" t="s">
        <v>88</v>
      </c>
      <c r="J14" s="18">
        <f>IF(F14="","",IF(H14="SÍ",'Configuración'!$C$6,0))</f>
        <v>1.3</v>
      </c>
      <c r="K14" s="58">
        <f t="shared" si="1"/>
        <v>3.5861</v>
      </c>
      <c r="L14" s="58">
        <f t="shared" si="2"/>
        <v>3.3861</v>
      </c>
      <c r="M14" s="59">
        <f t="shared" si="3"/>
        <v>0.9442291068</v>
      </c>
      <c r="N14" s="46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15.0" customHeight="1">
      <c r="A15" s="35">
        <v>11.0</v>
      </c>
      <c r="B15" s="52">
        <v>46057.0</v>
      </c>
      <c r="C15" s="29" t="s">
        <v>99</v>
      </c>
      <c r="D15" s="53" t="str">
        <f>IFERROR(VLOOKUP(C15,'Catálogo Productos'!$B$3:$E$53,2,0),"")</f>
        <v>Violin</v>
      </c>
      <c r="E15" s="54">
        <f>IFERROR(VLOOKUP(C15,'Catálogo Productos'!$B$3:$E$53,3,0),"")</f>
        <v>2.69</v>
      </c>
      <c r="F15" s="55">
        <f>IFERROR(VLOOKUP(C15,'Catálogo Productos'!$B$3:$E$53,4,0),"")</f>
        <v>11</v>
      </c>
      <c r="G15" s="56">
        <f>IF(F15="","",IF(I15="SÍ",F15*'Configuración'!$C$5,0))</f>
        <v>1.21</v>
      </c>
      <c r="H15" s="58" t="s">
        <v>88</v>
      </c>
      <c r="I15" s="61" t="s">
        <v>88</v>
      </c>
      <c r="J15" s="18">
        <f>IF(F15="","",IF(H15="SÍ",'Configuración'!$C$6,0))</f>
        <v>1.3</v>
      </c>
      <c r="K15" s="56">
        <f t="shared" si="1"/>
        <v>8.49</v>
      </c>
      <c r="L15" s="56">
        <f t="shared" si="2"/>
        <v>5.8</v>
      </c>
      <c r="M15" s="57">
        <f t="shared" si="3"/>
        <v>0.6831566549</v>
      </c>
      <c r="N15" s="46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ht="15.0" customHeight="1">
      <c r="A16" s="47">
        <v>12.0</v>
      </c>
      <c r="B16" s="52">
        <v>46057.0</v>
      </c>
      <c r="C16" s="29" t="s">
        <v>103</v>
      </c>
      <c r="D16" s="53" t="str">
        <f>IFERROR(VLOOKUP(C16,'Catálogo Productos'!$B$3:$E$53,2,0),"")</f>
        <v>Correas</v>
      </c>
      <c r="E16" s="54">
        <f>IFERROR(VLOOKUP(C16,'Catálogo Productos'!$B$3:$E$53,3,0),"")</f>
        <v>0.2</v>
      </c>
      <c r="F16" s="55">
        <f>IFERROR(VLOOKUP(C16,'Catálogo Productos'!$B$3:$E$53,4,0),"")</f>
        <v>5.49</v>
      </c>
      <c r="G16" s="58">
        <f>IF(F16="","",IF(I16="SÍ",F16*'Configuración'!$C$5,0))</f>
        <v>0.6039</v>
      </c>
      <c r="H16" s="58" t="s">
        <v>88</v>
      </c>
      <c r="I16" s="61" t="s">
        <v>88</v>
      </c>
      <c r="J16" s="18">
        <f>IF(F16="","",IF(H16="SÍ",'Configuración'!$C$6,0))</f>
        <v>1.3</v>
      </c>
      <c r="K16" s="58">
        <f t="shared" si="1"/>
        <v>3.5861</v>
      </c>
      <c r="L16" s="58">
        <f t="shared" si="2"/>
        <v>3.3861</v>
      </c>
      <c r="M16" s="59">
        <f t="shared" si="3"/>
        <v>0.9442291068</v>
      </c>
      <c r="N16" s="46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ht="15.0" customHeight="1">
      <c r="A17" s="35">
        <v>13.0</v>
      </c>
      <c r="B17" s="52">
        <v>46057.0</v>
      </c>
      <c r="C17" s="29" t="s">
        <v>87</v>
      </c>
      <c r="D17" s="53" t="str">
        <f>IFERROR(VLOOKUP(C17,'Catálogo Productos'!$B$3:$E$53,2,0),"")</f>
        <v>Violin</v>
      </c>
      <c r="E17" s="54">
        <f>IFERROR(VLOOKUP(C17,'Catálogo Productos'!$B$3:$E$53,3,0),"")</f>
        <v>1.06</v>
      </c>
      <c r="F17" s="55">
        <f>IFERROR(VLOOKUP(C17,'Catálogo Productos'!$B$3:$E$53,4,0),"")</f>
        <v>4.99</v>
      </c>
      <c r="G17" s="56">
        <f>IF(F17="","",IF(I17="SÍ",F17*'Configuración'!$C$5,0))</f>
        <v>0.5489</v>
      </c>
      <c r="H17" s="58" t="s">
        <v>88</v>
      </c>
      <c r="I17" s="61" t="s">
        <v>88</v>
      </c>
      <c r="J17" s="18">
        <f>IF(F17="","",IF(H17="SÍ",'Configuración'!$C$6,0))</f>
        <v>1.3</v>
      </c>
      <c r="K17" s="56">
        <f t="shared" si="1"/>
        <v>3.1411</v>
      </c>
      <c r="L17" s="56">
        <f t="shared" si="2"/>
        <v>2.0811</v>
      </c>
      <c r="M17" s="57">
        <f t="shared" si="3"/>
        <v>0.6625386011</v>
      </c>
      <c r="N17" s="46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ht="15.0" customHeight="1">
      <c r="A18" s="47">
        <v>14.0</v>
      </c>
      <c r="B18" s="52">
        <v>46057.0</v>
      </c>
      <c r="C18" s="29" t="s">
        <v>105</v>
      </c>
      <c r="D18" s="53" t="str">
        <f>IFERROR(VLOOKUP(C18,'Catálogo Productos'!$B$3:$E$53,2,0),"")</f>
        <v>Guitarra Clasica</v>
      </c>
      <c r="E18" s="54">
        <f>IFERROR(VLOOKUP(C18,'Catálogo Productos'!$B$3:$E$53,3,0),"")</f>
        <v>0.01</v>
      </c>
      <c r="F18" s="55">
        <f>IFERROR(VLOOKUP(C18,'Catálogo Productos'!$B$3:$E$53,4,0),"")</f>
        <v>5</v>
      </c>
      <c r="G18" s="58">
        <f>IF(F18="","",IF(I18="SÍ",F18*'Configuración'!$C$5,0))</f>
        <v>0.55</v>
      </c>
      <c r="H18" s="58" t="s">
        <v>88</v>
      </c>
      <c r="I18" s="61" t="s">
        <v>88</v>
      </c>
      <c r="J18" s="18">
        <f>IF(F18="","",IF(H18="SÍ",'Configuración'!$C$6,0))</f>
        <v>1.3</v>
      </c>
      <c r="K18" s="58">
        <f t="shared" si="1"/>
        <v>3.15</v>
      </c>
      <c r="L18" s="58">
        <f t="shared" si="2"/>
        <v>3.14</v>
      </c>
      <c r="M18" s="59">
        <f t="shared" si="3"/>
        <v>0.9968253968</v>
      </c>
      <c r="N18" s="46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t="15.0" customHeight="1">
      <c r="A19" s="35">
        <v>15.0</v>
      </c>
      <c r="B19" s="52">
        <v>46057.0</v>
      </c>
      <c r="C19" s="29" t="s">
        <v>89</v>
      </c>
      <c r="D19" s="53" t="str">
        <f>IFERROR(VLOOKUP(C19,'Catálogo Productos'!$B$3:$E$53,2,0),"")</f>
        <v>Guitarra Clasica</v>
      </c>
      <c r="E19" s="54">
        <f>IFERROR(VLOOKUP(C19,'Catálogo Productos'!$B$3:$E$53,3,0),"")</f>
        <v>1.21</v>
      </c>
      <c r="F19" s="55">
        <f>IFERROR(VLOOKUP(C19,'Catálogo Productos'!$B$3:$E$53,4,0),"")</f>
        <v>5.49</v>
      </c>
      <c r="G19" s="56">
        <f>IF(F19="","",IF(I19="SÍ",F19*'Configuración'!$C$5,0))</f>
        <v>0.6039</v>
      </c>
      <c r="H19" s="58" t="s">
        <v>88</v>
      </c>
      <c r="I19" s="61" t="s">
        <v>88</v>
      </c>
      <c r="J19" s="18">
        <f>IF(F19="","",IF(H19="SÍ",'Configuración'!$C$6,0))</f>
        <v>1.3</v>
      </c>
      <c r="K19" s="56">
        <f t="shared" si="1"/>
        <v>3.5861</v>
      </c>
      <c r="L19" s="56">
        <f t="shared" si="2"/>
        <v>2.3761</v>
      </c>
      <c r="M19" s="57">
        <f t="shared" si="3"/>
        <v>0.6625860963</v>
      </c>
      <c r="N19" s="46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ht="15.0" customHeight="1">
      <c r="A20" s="47">
        <v>16.0</v>
      </c>
      <c r="B20" s="52">
        <v>46057.0</v>
      </c>
      <c r="C20" s="29" t="s">
        <v>95</v>
      </c>
      <c r="D20" s="53" t="str">
        <f>IFERROR(VLOOKUP(C20,'Catálogo Productos'!$B$3:$E$53,2,0),"")</f>
        <v>Guitarra Electrica</v>
      </c>
      <c r="E20" s="54">
        <f>IFERROR(VLOOKUP(C20,'Catálogo Productos'!$B$3:$E$53,3,0),"")</f>
        <v>1.21</v>
      </c>
      <c r="F20" s="55">
        <f>IFERROR(VLOOKUP(C20,'Catálogo Productos'!$B$3:$E$53,4,0),"")</f>
        <v>5.49</v>
      </c>
      <c r="G20" s="58">
        <f>IF(F20="","",IF(I20="SÍ",F20*'Configuración'!$C$5,0))</f>
        <v>0.6039</v>
      </c>
      <c r="H20" s="58" t="s">
        <v>88</v>
      </c>
      <c r="I20" s="61" t="s">
        <v>88</v>
      </c>
      <c r="J20" s="18">
        <f>IF(F20="","",IF(H20="SÍ",'Configuración'!$C$6,0))</f>
        <v>1.3</v>
      </c>
      <c r="K20" s="58">
        <f t="shared" si="1"/>
        <v>3.5861</v>
      </c>
      <c r="L20" s="58">
        <f t="shared" si="2"/>
        <v>2.3761</v>
      </c>
      <c r="M20" s="59">
        <f t="shared" si="3"/>
        <v>0.6625860963</v>
      </c>
      <c r="N20" s="46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5.0" customHeight="1">
      <c r="A21" s="35">
        <v>17.0</v>
      </c>
      <c r="B21" s="52">
        <v>46057.0</v>
      </c>
      <c r="C21" s="29" t="s">
        <v>94</v>
      </c>
      <c r="D21" s="53" t="str">
        <f>IFERROR(VLOOKUP(C21,'Catálogo Productos'!$B$3:$E$53,2,0),"")</f>
        <v>Capostraste</v>
      </c>
      <c r="E21" s="54">
        <f>IFERROR(VLOOKUP(C21,'Catálogo Productos'!$B$3:$E$53,3,0),"")</f>
        <v>0.65</v>
      </c>
      <c r="F21" s="55">
        <f>IFERROR(VLOOKUP(C21,'Catálogo Productos'!$B$3:$E$53,4,0),"")</f>
        <v>6.99</v>
      </c>
      <c r="G21" s="56">
        <f>IF(F21="","",IF(I21="SÍ",F21*'Configuración'!$C$5,0))</f>
        <v>0.7689</v>
      </c>
      <c r="H21" s="58" t="s">
        <v>88</v>
      </c>
      <c r="I21" s="61" t="s">
        <v>88</v>
      </c>
      <c r="J21" s="18">
        <f>IF(F21="","",IF(H21="SÍ",'Configuración'!$C$6,0))</f>
        <v>1.3</v>
      </c>
      <c r="K21" s="56">
        <f t="shared" si="1"/>
        <v>4.9211</v>
      </c>
      <c r="L21" s="56">
        <f t="shared" si="2"/>
        <v>4.2711</v>
      </c>
      <c r="M21" s="57">
        <f t="shared" si="3"/>
        <v>0.8679157099</v>
      </c>
      <c r="N21" s="46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5.0" customHeight="1">
      <c r="A22" s="47">
        <v>18.0</v>
      </c>
      <c r="B22" s="52">
        <v>46057.0</v>
      </c>
      <c r="C22" s="29" t="s">
        <v>90</v>
      </c>
      <c r="D22" s="53" t="str">
        <f>IFERROR(VLOOKUP(C22,'Catálogo Productos'!$B$3:$E$53,2,0),"")</f>
        <v>Guitarra Electrica</v>
      </c>
      <c r="E22" s="54">
        <f>IFERROR(VLOOKUP(C22,'Catálogo Productos'!$B$3:$E$53,3,0),"")</f>
        <v>1.21</v>
      </c>
      <c r="F22" s="55">
        <f>IFERROR(VLOOKUP(C22,'Catálogo Productos'!$B$3:$E$53,4,0),"")</f>
        <v>5.49</v>
      </c>
      <c r="G22" s="58">
        <f>IF(F22="","",IF(I22="SÍ",F22*'Configuración'!$C$5,0))</f>
        <v>0.6039</v>
      </c>
      <c r="H22" s="58" t="s">
        <v>88</v>
      </c>
      <c r="I22" s="61" t="s">
        <v>88</v>
      </c>
      <c r="J22" s="18">
        <f>IF(F22="","",IF(H22="SÍ",'Configuración'!$C$6,0))</f>
        <v>1.3</v>
      </c>
      <c r="K22" s="58">
        <f t="shared" si="1"/>
        <v>3.5861</v>
      </c>
      <c r="L22" s="58">
        <f t="shared" si="2"/>
        <v>2.3761</v>
      </c>
      <c r="M22" s="59">
        <f t="shared" si="3"/>
        <v>0.6625860963</v>
      </c>
      <c r="N22" s="46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5.0" customHeight="1">
      <c r="A23" s="35">
        <v>19.0</v>
      </c>
      <c r="B23" s="52">
        <v>46057.0</v>
      </c>
      <c r="C23" s="29" t="s">
        <v>95</v>
      </c>
      <c r="D23" s="53" t="str">
        <f>IFERROR(VLOOKUP(C23,'Catálogo Productos'!$B$3:$E$53,2,0),"")</f>
        <v>Guitarra Electrica</v>
      </c>
      <c r="E23" s="54">
        <f>IFERROR(VLOOKUP(C23,'Catálogo Productos'!$B$3:$E$53,3,0),"")</f>
        <v>1.21</v>
      </c>
      <c r="F23" s="55">
        <f>IFERROR(VLOOKUP(C23,'Catálogo Productos'!$B$3:$E$53,4,0),"")</f>
        <v>5.49</v>
      </c>
      <c r="G23" s="56">
        <f>IF(F23="","",IF(I23="SÍ",F23*'Configuración'!$C$5,0))</f>
        <v>0.6039</v>
      </c>
      <c r="H23" s="58" t="s">
        <v>88</v>
      </c>
      <c r="I23" s="61" t="s">
        <v>88</v>
      </c>
      <c r="J23" s="18">
        <f>IF(F23="","",IF(H23="SÍ",'Configuración'!$C$6,0))</f>
        <v>1.3</v>
      </c>
      <c r="K23" s="56">
        <f t="shared" si="1"/>
        <v>3.5861</v>
      </c>
      <c r="L23" s="56">
        <f t="shared" si="2"/>
        <v>2.3761</v>
      </c>
      <c r="M23" s="57">
        <f t="shared" si="3"/>
        <v>0.6625860963</v>
      </c>
      <c r="N23" s="46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5.0" customHeight="1">
      <c r="A24" s="47">
        <v>20.0</v>
      </c>
      <c r="B24" s="52">
        <v>46057.0</v>
      </c>
      <c r="C24" s="29" t="s">
        <v>90</v>
      </c>
      <c r="D24" s="53" t="str">
        <f>IFERROR(VLOOKUP(C24,'Catálogo Productos'!$B$3:$E$53,2,0),"")</f>
        <v>Guitarra Electrica</v>
      </c>
      <c r="E24" s="54">
        <f>IFERROR(VLOOKUP(C24,'Catálogo Productos'!$B$3:$E$53,3,0),"")</f>
        <v>1.21</v>
      </c>
      <c r="F24" s="55">
        <f>IFERROR(VLOOKUP(C24,'Catálogo Productos'!$B$3:$E$53,4,0),"")</f>
        <v>5.49</v>
      </c>
      <c r="G24" s="58">
        <f>IF(F24="","",IF(I24="SÍ",F24*'Configuración'!$C$5,0))</f>
        <v>0.6039</v>
      </c>
      <c r="H24" s="58" t="s">
        <v>88</v>
      </c>
      <c r="I24" s="61" t="s">
        <v>88</v>
      </c>
      <c r="J24" s="18">
        <f>IF(F24="","",IF(H24="SÍ",'Configuración'!$C$6,0))</f>
        <v>1.3</v>
      </c>
      <c r="K24" s="58">
        <f t="shared" si="1"/>
        <v>3.5861</v>
      </c>
      <c r="L24" s="58">
        <f t="shared" si="2"/>
        <v>2.3761</v>
      </c>
      <c r="M24" s="59">
        <f t="shared" si="3"/>
        <v>0.6625860963</v>
      </c>
      <c r="N24" s="46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5.0" customHeight="1">
      <c r="A25" s="35">
        <v>21.0</v>
      </c>
      <c r="B25" s="52">
        <v>46057.0</v>
      </c>
      <c r="C25" s="29" t="s">
        <v>95</v>
      </c>
      <c r="D25" s="53" t="str">
        <f>IFERROR(VLOOKUP(C25,'Catálogo Productos'!$B$3:$E$53,2,0),"")</f>
        <v>Guitarra Electrica</v>
      </c>
      <c r="E25" s="54">
        <f>IFERROR(VLOOKUP(C25,'Catálogo Productos'!$B$3:$E$53,3,0),"")</f>
        <v>1.21</v>
      </c>
      <c r="F25" s="55">
        <f>IFERROR(VLOOKUP(C25,'Catálogo Productos'!$B$3:$E$53,4,0),"")</f>
        <v>5.49</v>
      </c>
      <c r="G25" s="56">
        <f>IF(F25="","",IF(I25="SÍ",F25*'Configuración'!$C$5,0))</f>
        <v>0.6039</v>
      </c>
      <c r="H25" s="58" t="s">
        <v>88</v>
      </c>
      <c r="I25" s="61" t="s">
        <v>88</v>
      </c>
      <c r="J25" s="18">
        <f>IF(F25="","",IF(H25="SÍ",'Configuración'!$C$6,0))</f>
        <v>1.3</v>
      </c>
      <c r="K25" s="56">
        <f t="shared" si="1"/>
        <v>3.5861</v>
      </c>
      <c r="L25" s="56">
        <f t="shared" si="2"/>
        <v>2.3761</v>
      </c>
      <c r="M25" s="57">
        <f t="shared" si="3"/>
        <v>0.6625860963</v>
      </c>
      <c r="N25" s="46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5.0" customHeight="1">
      <c r="A26" s="47">
        <v>22.0</v>
      </c>
      <c r="B26" s="52">
        <v>46057.0</v>
      </c>
      <c r="C26" s="29" t="s">
        <v>93</v>
      </c>
      <c r="D26" s="53" t="str">
        <f>IFERROR(VLOOKUP(C26,'Catálogo Productos'!$B$3:$E$53,2,0),"")</f>
        <v>Bases, Stand, Atriles</v>
      </c>
      <c r="E26" s="54">
        <f>IFERROR(VLOOKUP(C26,'Catálogo Productos'!$B$3:$E$53,3,0),"")</f>
        <v>0.5</v>
      </c>
      <c r="F26" s="55">
        <f>IFERROR(VLOOKUP(C26,'Catálogo Productos'!$B$3:$E$53,4,0),"")</f>
        <v>4.99</v>
      </c>
      <c r="G26" s="58">
        <f>IF(F26="","",IF(I26="SÍ",F26*'Configuración'!$C$5,0))</f>
        <v>0.5489</v>
      </c>
      <c r="H26" s="58" t="s">
        <v>88</v>
      </c>
      <c r="I26" s="61" t="s">
        <v>88</v>
      </c>
      <c r="J26" s="18">
        <f>IF(F26="","",IF(H26="SÍ",'Configuración'!$C$6,0))</f>
        <v>1.3</v>
      </c>
      <c r="K26" s="58">
        <f t="shared" si="1"/>
        <v>3.1411</v>
      </c>
      <c r="L26" s="58">
        <f t="shared" si="2"/>
        <v>2.6411</v>
      </c>
      <c r="M26" s="59">
        <f t="shared" si="3"/>
        <v>0.8408200949</v>
      </c>
      <c r="N26" s="46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5.0" customHeight="1">
      <c r="A27" s="35">
        <v>23.0</v>
      </c>
      <c r="B27" s="52">
        <v>46057.0</v>
      </c>
      <c r="C27" s="29" t="s">
        <v>105</v>
      </c>
      <c r="D27" s="53" t="str">
        <f>IFERROR(VLOOKUP(C27,'Catálogo Productos'!$B$3:$E$53,2,0),"")</f>
        <v>Guitarra Clasica</v>
      </c>
      <c r="E27" s="54">
        <f>IFERROR(VLOOKUP(C27,'Catálogo Productos'!$B$3:$E$53,3,0),"")</f>
        <v>0.01</v>
      </c>
      <c r="F27" s="55">
        <f>IFERROR(VLOOKUP(C27,'Catálogo Productos'!$B$3:$E$53,4,0),"")</f>
        <v>5</v>
      </c>
      <c r="G27" s="56">
        <f>IF(F27="","",IF(I27="SÍ",F27*'Configuración'!$C$5,0))</f>
        <v>0.55</v>
      </c>
      <c r="H27" s="58" t="s">
        <v>88</v>
      </c>
      <c r="I27" s="61" t="s">
        <v>88</v>
      </c>
      <c r="J27" s="18">
        <f>IF(F27="","",IF(H27="SÍ",'Configuración'!$C$6,0))</f>
        <v>1.3</v>
      </c>
      <c r="K27" s="56">
        <f t="shared" si="1"/>
        <v>3.15</v>
      </c>
      <c r="L27" s="56">
        <f t="shared" si="2"/>
        <v>3.14</v>
      </c>
      <c r="M27" s="57">
        <f t="shared" si="3"/>
        <v>0.9968253968</v>
      </c>
      <c r="N27" s="46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5.0" customHeight="1">
      <c r="A28" s="47">
        <v>24.0</v>
      </c>
      <c r="B28" s="52">
        <v>46057.0</v>
      </c>
      <c r="C28" s="29" t="s">
        <v>90</v>
      </c>
      <c r="D28" s="53" t="str">
        <f>IFERROR(VLOOKUP(C28,'Catálogo Productos'!$B$3:$E$53,2,0),"")</f>
        <v>Guitarra Electrica</v>
      </c>
      <c r="E28" s="54">
        <f>IFERROR(VLOOKUP(C28,'Catálogo Productos'!$B$3:$E$53,3,0),"")</f>
        <v>1.21</v>
      </c>
      <c r="F28" s="55">
        <f>IFERROR(VLOOKUP(C28,'Catálogo Productos'!$B$3:$E$53,4,0),"")</f>
        <v>5.49</v>
      </c>
      <c r="G28" s="58">
        <f>IF(F28="","",IF(I28="SÍ",F28*'Configuración'!$C$5,0))</f>
        <v>0.6039</v>
      </c>
      <c r="H28" s="58" t="s">
        <v>88</v>
      </c>
      <c r="I28" s="61" t="s">
        <v>88</v>
      </c>
      <c r="J28" s="18">
        <f>IF(F28="","",IF(H28="SÍ",'Configuración'!$C$6,0))</f>
        <v>1.3</v>
      </c>
      <c r="K28" s="58">
        <f t="shared" si="1"/>
        <v>3.5861</v>
      </c>
      <c r="L28" s="58">
        <f t="shared" si="2"/>
        <v>2.3761</v>
      </c>
      <c r="M28" s="59">
        <f t="shared" si="3"/>
        <v>0.6625860963</v>
      </c>
      <c r="N28" s="46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5.0" customHeight="1">
      <c r="A29" s="35">
        <v>25.0</v>
      </c>
      <c r="B29" s="52">
        <v>46057.0</v>
      </c>
      <c r="C29" s="29" t="s">
        <v>103</v>
      </c>
      <c r="D29" s="53" t="str">
        <f>IFERROR(VLOOKUP(C29,'Catálogo Productos'!$B$3:$E$53,2,0),"")</f>
        <v>Correas</v>
      </c>
      <c r="E29" s="54">
        <f>IFERROR(VLOOKUP(C29,'Catálogo Productos'!$B$3:$E$53,3,0),"")</f>
        <v>0.2</v>
      </c>
      <c r="F29" s="55">
        <f>IFERROR(VLOOKUP(C29,'Catálogo Productos'!$B$3:$E$53,4,0),"")</f>
        <v>5.49</v>
      </c>
      <c r="G29" s="56">
        <f>IF(F29="","",IF(I29="SÍ",F29*'Configuración'!$C$5,0))</f>
        <v>0.6039</v>
      </c>
      <c r="H29" s="58" t="s">
        <v>88</v>
      </c>
      <c r="I29" s="61" t="s">
        <v>88</v>
      </c>
      <c r="J29" s="18">
        <f>IF(F29="","",IF(H29="SÍ",'Configuración'!$C$6,0))</f>
        <v>1.3</v>
      </c>
      <c r="K29" s="56">
        <f t="shared" si="1"/>
        <v>3.5861</v>
      </c>
      <c r="L29" s="56">
        <f t="shared" si="2"/>
        <v>3.3861</v>
      </c>
      <c r="M29" s="57">
        <f t="shared" si="3"/>
        <v>0.9442291068</v>
      </c>
      <c r="N29" s="46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5.0" customHeight="1">
      <c r="A30" s="47">
        <v>26.0</v>
      </c>
      <c r="B30" s="52">
        <v>46057.0</v>
      </c>
      <c r="C30" s="29" t="s">
        <v>96</v>
      </c>
      <c r="D30" s="53" t="str">
        <f>IFERROR(VLOOKUP(C30,'Catálogo Productos'!$B$3:$E$53,2,0),"")</f>
        <v> Bajo Electrico</v>
      </c>
      <c r="E30" s="54">
        <f>IFERROR(VLOOKUP(C30,'Catálogo Productos'!$B$3:$E$53,3,0),"")</f>
        <v>3.03</v>
      </c>
      <c r="F30" s="55">
        <f>IFERROR(VLOOKUP(C30,'Catálogo Productos'!$B$3:$E$53,4,0),"")</f>
        <v>12.99</v>
      </c>
      <c r="G30" s="58">
        <f>IF(F30="","",IF(I30="SÍ",F30*'Configuración'!$C$5,0))</f>
        <v>1.4289</v>
      </c>
      <c r="H30" s="58" t="s">
        <v>88</v>
      </c>
      <c r="I30" s="61" t="s">
        <v>88</v>
      </c>
      <c r="J30" s="18">
        <f>IF(F30="","",IF(H30="SÍ",'Configuración'!$C$6,0))</f>
        <v>1.3</v>
      </c>
      <c r="K30" s="58">
        <f t="shared" si="1"/>
        <v>10.2611</v>
      </c>
      <c r="L30" s="58">
        <f t="shared" si="2"/>
        <v>7.2311</v>
      </c>
      <c r="M30" s="59">
        <f t="shared" si="3"/>
        <v>0.7047100213</v>
      </c>
      <c r="N30" s="46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5.0" customHeight="1">
      <c r="A31" s="35">
        <v>27.0</v>
      </c>
      <c r="B31" s="52">
        <v>46057.0</v>
      </c>
      <c r="C31" s="29" t="s">
        <v>103</v>
      </c>
      <c r="D31" s="53" t="str">
        <f>IFERROR(VLOOKUP(C31,'Catálogo Productos'!$B$3:$E$53,2,0),"")</f>
        <v>Correas</v>
      </c>
      <c r="E31" s="54">
        <f>IFERROR(VLOOKUP(C31,'Catálogo Productos'!$B$3:$E$53,3,0),"")</f>
        <v>0.2</v>
      </c>
      <c r="F31" s="55">
        <f>IFERROR(VLOOKUP(C31,'Catálogo Productos'!$B$3:$E$53,4,0),"")</f>
        <v>5.49</v>
      </c>
      <c r="G31" s="56">
        <f>IF(F31="","",IF(I31="SÍ",F31*'Configuración'!$C$5,0))</f>
        <v>0.6039</v>
      </c>
      <c r="H31" s="58" t="s">
        <v>88</v>
      </c>
      <c r="I31" s="61" t="s">
        <v>88</v>
      </c>
      <c r="J31" s="18">
        <f>IF(F31="","",IF(H31="SÍ",'Configuración'!$C$6,0))</f>
        <v>1.3</v>
      </c>
      <c r="K31" s="56">
        <f t="shared" si="1"/>
        <v>3.5861</v>
      </c>
      <c r="L31" s="56">
        <f t="shared" si="2"/>
        <v>3.3861</v>
      </c>
      <c r="M31" s="57">
        <f t="shared" si="3"/>
        <v>0.9442291068</v>
      </c>
      <c r="N31" s="46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5.0" customHeight="1">
      <c r="A32" s="47">
        <v>28.0</v>
      </c>
      <c r="B32" s="52">
        <v>46057.0</v>
      </c>
      <c r="C32" s="29" t="s">
        <v>96</v>
      </c>
      <c r="D32" s="53" t="str">
        <f>IFERROR(VLOOKUP(C32,'Catálogo Productos'!$B$3:$E$53,2,0),"")</f>
        <v> Bajo Electrico</v>
      </c>
      <c r="E32" s="54">
        <f>IFERROR(VLOOKUP(C32,'Catálogo Productos'!$B$3:$E$53,3,0),"")</f>
        <v>3.03</v>
      </c>
      <c r="F32" s="55">
        <f>IFERROR(VLOOKUP(C32,'Catálogo Productos'!$B$3:$E$53,4,0),"")</f>
        <v>12.99</v>
      </c>
      <c r="G32" s="58">
        <f>IF(F32="","",IF(I32="SÍ",F32*'Configuración'!$C$5,0))</f>
        <v>1.4289</v>
      </c>
      <c r="H32" s="58" t="s">
        <v>88</v>
      </c>
      <c r="I32" s="61" t="s">
        <v>88</v>
      </c>
      <c r="J32" s="18">
        <f>IF(F32="","",IF(H32="SÍ",'Configuración'!$C$6,0))</f>
        <v>1.3</v>
      </c>
      <c r="K32" s="58">
        <f t="shared" si="1"/>
        <v>10.2611</v>
      </c>
      <c r="L32" s="58">
        <f t="shared" si="2"/>
        <v>7.2311</v>
      </c>
      <c r="M32" s="59">
        <f t="shared" si="3"/>
        <v>0.7047100213</v>
      </c>
      <c r="N32" s="46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5.0" customHeight="1">
      <c r="A33" s="35">
        <v>29.0</v>
      </c>
      <c r="B33" s="52">
        <v>46057.0</v>
      </c>
      <c r="C33" s="29" t="s">
        <v>158</v>
      </c>
      <c r="D33" s="53" t="str">
        <f>IFERROR(VLOOKUP(C33,'Catálogo Productos'!$B$3:$E$53,2,0),"")</f>
        <v>Guitarra Electrica</v>
      </c>
      <c r="E33" s="54">
        <f>IFERROR(VLOOKUP(C33,'Catálogo Productos'!$B$3:$E$53,3,0),"")</f>
        <v>2.3</v>
      </c>
      <c r="F33" s="55">
        <f>IFERROR(VLOOKUP(C33,'Catálogo Productos'!$B$3:$E$53,4,0),"")</f>
        <v>14</v>
      </c>
      <c r="G33" s="56">
        <f>IF(F33="","",IF(I33="SÍ",F33*'Configuración'!$C$5,0))</f>
        <v>1.54</v>
      </c>
      <c r="H33" s="58" t="s">
        <v>88</v>
      </c>
      <c r="I33" s="61" t="s">
        <v>88</v>
      </c>
      <c r="J33" s="18">
        <f>IF(F33="","",IF(H33="SÍ",'Configuración'!$C$6,0))</f>
        <v>1.3</v>
      </c>
      <c r="K33" s="56">
        <f t="shared" si="1"/>
        <v>11.16</v>
      </c>
      <c r="L33" s="56">
        <f t="shared" si="2"/>
        <v>8.86</v>
      </c>
      <c r="M33" s="57">
        <f t="shared" si="3"/>
        <v>0.79390681</v>
      </c>
      <c r="N33" s="46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5.0" customHeight="1">
      <c r="A34" s="47">
        <v>30.0</v>
      </c>
      <c r="B34" s="52">
        <v>46057.0</v>
      </c>
      <c r="C34" s="29" t="s">
        <v>89</v>
      </c>
      <c r="D34" s="53" t="str">
        <f>IFERROR(VLOOKUP(C34,'Catálogo Productos'!$B$3:$E$53,2,0),"")</f>
        <v>Guitarra Clasica</v>
      </c>
      <c r="E34" s="54">
        <f>IFERROR(VLOOKUP(C34,'Catálogo Productos'!$B$3:$E$53,3,0),"")</f>
        <v>1.21</v>
      </c>
      <c r="F34" s="55">
        <f>IFERROR(VLOOKUP(C34,'Catálogo Productos'!$B$3:$E$53,4,0),"")</f>
        <v>5.49</v>
      </c>
      <c r="G34" s="58">
        <f>IF(F34="","",IF(I34="SÍ",F34*'Configuración'!$C$5,0))</f>
        <v>0.6039</v>
      </c>
      <c r="H34" s="58" t="s">
        <v>88</v>
      </c>
      <c r="I34" s="61" t="s">
        <v>88</v>
      </c>
      <c r="J34" s="18">
        <f>IF(F34="","",IF(H34="SÍ",'Configuración'!$C$6,0))</f>
        <v>1.3</v>
      </c>
      <c r="K34" s="58">
        <f t="shared" si="1"/>
        <v>3.5861</v>
      </c>
      <c r="L34" s="58">
        <f t="shared" si="2"/>
        <v>2.3761</v>
      </c>
      <c r="M34" s="59">
        <f t="shared" si="3"/>
        <v>0.6625860963</v>
      </c>
      <c r="N34" s="46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5.0" customHeight="1">
      <c r="A35" s="35">
        <v>31.0</v>
      </c>
      <c r="B35" s="52">
        <v>46057.0</v>
      </c>
      <c r="C35" s="29" t="s">
        <v>96</v>
      </c>
      <c r="D35" s="53" t="str">
        <f>IFERROR(VLOOKUP(C35,'Catálogo Productos'!$B$3:$E$53,2,0),"")</f>
        <v> Bajo Electrico</v>
      </c>
      <c r="E35" s="54">
        <f>IFERROR(VLOOKUP(C35,'Catálogo Productos'!$B$3:$E$53,3,0),"")</f>
        <v>3.03</v>
      </c>
      <c r="F35" s="55">
        <f>IFERROR(VLOOKUP(C35,'Catálogo Productos'!$B$3:$E$53,4,0),"")</f>
        <v>12.99</v>
      </c>
      <c r="G35" s="56">
        <f>IF(F35="","",IF(I35="SÍ",F35*'Configuración'!$C$5,0))</f>
        <v>1.4289</v>
      </c>
      <c r="H35" s="58" t="s">
        <v>88</v>
      </c>
      <c r="I35" s="61" t="s">
        <v>88</v>
      </c>
      <c r="J35" s="18">
        <f>IF(F35="","",IF(H35="SÍ",'Configuración'!$C$6,0))</f>
        <v>1.3</v>
      </c>
      <c r="K35" s="56">
        <f t="shared" si="1"/>
        <v>10.2611</v>
      </c>
      <c r="L35" s="56">
        <f t="shared" si="2"/>
        <v>7.2311</v>
      </c>
      <c r="M35" s="57">
        <f t="shared" si="3"/>
        <v>0.7047100213</v>
      </c>
      <c r="N35" s="46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5.0" customHeight="1">
      <c r="A36" s="47">
        <v>32.0</v>
      </c>
      <c r="B36" s="52">
        <v>46057.0</v>
      </c>
      <c r="C36" s="29" t="s">
        <v>96</v>
      </c>
      <c r="D36" s="53" t="str">
        <f>IFERROR(VLOOKUP(C36,'Catálogo Productos'!$B$3:$E$53,2,0),"")</f>
        <v> Bajo Electrico</v>
      </c>
      <c r="E36" s="54">
        <f>IFERROR(VLOOKUP(C36,'Catálogo Productos'!$B$3:$E$53,3,0),"")</f>
        <v>3.03</v>
      </c>
      <c r="F36" s="55">
        <f>IFERROR(VLOOKUP(C36,'Catálogo Productos'!$B$3:$E$53,4,0),"")</f>
        <v>12.99</v>
      </c>
      <c r="G36" s="58">
        <f>IF(F36="","",IF(I36="SÍ",F36*'Configuración'!$C$5,0))</f>
        <v>1.4289</v>
      </c>
      <c r="H36" s="58" t="s">
        <v>88</v>
      </c>
      <c r="I36" s="61" t="s">
        <v>88</v>
      </c>
      <c r="J36" s="18">
        <f>IF(F36="","",IF(H36="SÍ",'Configuración'!$C$6,0))</f>
        <v>1.3</v>
      </c>
      <c r="K36" s="58">
        <f t="shared" si="1"/>
        <v>10.2611</v>
      </c>
      <c r="L36" s="58">
        <f t="shared" si="2"/>
        <v>7.2311</v>
      </c>
      <c r="M36" s="59">
        <f t="shared" si="3"/>
        <v>0.7047100213</v>
      </c>
      <c r="N36" s="46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5.0" customHeight="1">
      <c r="A37" s="35">
        <v>33.0</v>
      </c>
      <c r="B37" s="52">
        <v>46057.0</v>
      </c>
      <c r="C37" s="29" t="s">
        <v>95</v>
      </c>
      <c r="D37" s="53" t="str">
        <f>IFERROR(VLOOKUP(C37,'Catálogo Productos'!$B$3:$E$53,2,0),"")</f>
        <v>Guitarra Electrica</v>
      </c>
      <c r="E37" s="54">
        <f>IFERROR(VLOOKUP(C37,'Catálogo Productos'!$B$3:$E$53,3,0),"")</f>
        <v>1.21</v>
      </c>
      <c r="F37" s="55">
        <f>IFERROR(VLOOKUP(C37,'Catálogo Productos'!$B$3:$E$53,4,0),"")</f>
        <v>5.49</v>
      </c>
      <c r="G37" s="56">
        <f>IF(F37="","",IF(I37="SÍ",F37*'Configuración'!$C$5,0))</f>
        <v>0.6039</v>
      </c>
      <c r="H37" s="58" t="s">
        <v>88</v>
      </c>
      <c r="I37" s="61" t="s">
        <v>88</v>
      </c>
      <c r="J37" s="18">
        <f>IF(F37="","",IF(H37="SÍ",'Configuración'!$C$6,0))</f>
        <v>1.3</v>
      </c>
      <c r="K37" s="56">
        <f t="shared" si="1"/>
        <v>3.5861</v>
      </c>
      <c r="L37" s="56">
        <f t="shared" si="2"/>
        <v>2.3761</v>
      </c>
      <c r="M37" s="57">
        <f t="shared" si="3"/>
        <v>0.6625860963</v>
      </c>
      <c r="N37" s="46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5.0" customHeight="1">
      <c r="A38" s="47">
        <v>34.0</v>
      </c>
      <c r="B38" s="52">
        <v>46057.0</v>
      </c>
      <c r="C38" s="29" t="s">
        <v>106</v>
      </c>
      <c r="D38" s="53" t="str">
        <f>IFERROR(VLOOKUP(C38,'Catálogo Productos'!$B$3:$E$53,2,0),"")</f>
        <v>Guitarra Clasica</v>
      </c>
      <c r="E38" s="54">
        <f>IFERROR(VLOOKUP(C38,'Catálogo Productos'!$B$3:$E$53,3,0),"")</f>
        <v>2.5</v>
      </c>
      <c r="F38" s="55">
        <f>IFERROR(VLOOKUP(C38,'Catálogo Productos'!$B$3:$E$53,4,0),"")</f>
        <v>9.99</v>
      </c>
      <c r="G38" s="58">
        <f>IF(F38="","",IF(I38="SÍ",F38*'Configuración'!$C$5,0))</f>
        <v>1.0989</v>
      </c>
      <c r="H38" s="58" t="s">
        <v>88</v>
      </c>
      <c r="I38" s="61" t="s">
        <v>88</v>
      </c>
      <c r="J38" s="18">
        <f>IF(F38="","",IF(H38="SÍ",'Configuración'!$C$6,0))</f>
        <v>1.3</v>
      </c>
      <c r="K38" s="58">
        <f t="shared" si="1"/>
        <v>7.5911</v>
      </c>
      <c r="L38" s="58">
        <f t="shared" si="2"/>
        <v>5.0911</v>
      </c>
      <c r="M38" s="59">
        <f t="shared" si="3"/>
        <v>0.6706669653</v>
      </c>
      <c r="N38" s="46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5.0" customHeight="1">
      <c r="A39" s="35">
        <v>35.0</v>
      </c>
      <c r="B39" s="52">
        <v>46057.0</v>
      </c>
      <c r="C39" s="29" t="s">
        <v>101</v>
      </c>
      <c r="D39" s="53" t="str">
        <f>IFERROR(VLOOKUP(C39,'Catálogo Productos'!$B$3:$E$53,2,0),"")</f>
        <v>Guitarra Acustica</v>
      </c>
      <c r="E39" s="54">
        <f>IFERROR(VLOOKUP(C39,'Catálogo Productos'!$B$3:$E$53,3,0),"")</f>
        <v>0.01</v>
      </c>
      <c r="F39" s="55">
        <f>IFERROR(VLOOKUP(C39,'Catálogo Productos'!$B$3:$E$53,4,0),"")</f>
        <v>5</v>
      </c>
      <c r="G39" s="56">
        <f>IF(F39="","",IF(I39="SÍ",F39*'Configuración'!$C$5,0))</f>
        <v>0.55</v>
      </c>
      <c r="H39" s="58" t="s">
        <v>88</v>
      </c>
      <c r="I39" s="61" t="s">
        <v>88</v>
      </c>
      <c r="J39" s="18">
        <f>IF(F39="","",IF(H39="SÍ",'Configuración'!$C$6,0))</f>
        <v>1.3</v>
      </c>
      <c r="K39" s="56">
        <f t="shared" si="1"/>
        <v>3.15</v>
      </c>
      <c r="L39" s="56">
        <f t="shared" si="2"/>
        <v>3.14</v>
      </c>
      <c r="M39" s="57">
        <f t="shared" si="3"/>
        <v>0.9968253968</v>
      </c>
      <c r="N39" s="46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5.0" customHeight="1">
      <c r="A40" s="47">
        <v>36.0</v>
      </c>
      <c r="B40" s="52">
        <v>46057.0</v>
      </c>
      <c r="C40" s="29" t="s">
        <v>103</v>
      </c>
      <c r="D40" s="53" t="str">
        <f>IFERROR(VLOOKUP(C40,'Catálogo Productos'!$B$3:$E$53,2,0),"")</f>
        <v>Correas</v>
      </c>
      <c r="E40" s="54">
        <f>IFERROR(VLOOKUP(C40,'Catálogo Productos'!$B$3:$E$53,3,0),"")</f>
        <v>0.2</v>
      </c>
      <c r="F40" s="55">
        <f>IFERROR(VLOOKUP(C40,'Catálogo Productos'!$B$3:$E$53,4,0),"")</f>
        <v>5.49</v>
      </c>
      <c r="G40" s="58">
        <f>IF(F40="","",IF(I40="SÍ",F40*'Configuración'!$C$5,0))</f>
        <v>0.6039</v>
      </c>
      <c r="H40" s="58" t="s">
        <v>88</v>
      </c>
      <c r="I40" s="61" t="s">
        <v>88</v>
      </c>
      <c r="J40" s="18">
        <f>IF(F40="","",IF(H40="SÍ",'Configuración'!$C$6,0))</f>
        <v>1.3</v>
      </c>
      <c r="K40" s="58">
        <f t="shared" si="1"/>
        <v>3.5861</v>
      </c>
      <c r="L40" s="58">
        <f t="shared" si="2"/>
        <v>3.3861</v>
      </c>
      <c r="M40" s="59">
        <f t="shared" si="3"/>
        <v>0.9442291068</v>
      </c>
      <c r="N40" s="46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5.0" customHeight="1">
      <c r="A41" s="35">
        <v>37.0</v>
      </c>
      <c r="B41" s="52">
        <v>46057.0</v>
      </c>
      <c r="C41" s="29" t="s">
        <v>160</v>
      </c>
      <c r="D41" s="53" t="str">
        <f>IFERROR(VLOOKUP(C41,'Catálogo Productos'!$B$3:$E$53,2,0),"")</f>
        <v>Bajo</v>
      </c>
      <c r="E41" s="54">
        <f>IFERROR(VLOOKUP(C41,'Catálogo Productos'!$B$3:$E$53,3,0),"")</f>
        <v>2</v>
      </c>
      <c r="F41" s="55">
        <f>IFERROR(VLOOKUP(C41,'Catálogo Productos'!$B$3:$E$53,4,0),"")</f>
        <v>10</v>
      </c>
      <c r="G41" s="56">
        <f>IF(F41="","",IF(I41="SÍ",F41*'Configuración'!$C$5,0))</f>
        <v>1.1</v>
      </c>
      <c r="H41" s="58" t="s">
        <v>88</v>
      </c>
      <c r="I41" s="61" t="s">
        <v>88</v>
      </c>
      <c r="J41" s="18">
        <f>IF(F41="","",IF(H41="SÍ",'Configuración'!$C$6,0))</f>
        <v>1.3</v>
      </c>
      <c r="K41" s="56">
        <f t="shared" si="1"/>
        <v>7.6</v>
      </c>
      <c r="L41" s="56">
        <f t="shared" si="2"/>
        <v>5.6</v>
      </c>
      <c r="M41" s="57">
        <f t="shared" si="3"/>
        <v>0.7368421053</v>
      </c>
      <c r="N41" s="46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5.0" customHeight="1">
      <c r="A42" s="47">
        <v>38.0</v>
      </c>
      <c r="B42" s="52"/>
      <c r="C42" s="29"/>
      <c r="D42" s="53" t="str">
        <f>IFERROR(VLOOKUP(C42,'Catálogo Productos'!$B$3:$E$53,2,0),"")</f>
        <v/>
      </c>
      <c r="E42" s="54" t="str">
        <f>IFERROR(VLOOKUP(C42,'Catálogo Productos'!$B$3:$E$53,3,0),"")</f>
        <v/>
      </c>
      <c r="F42" s="55" t="str">
        <f>IFERROR(VLOOKUP(C42,'Catálogo Productos'!$B$3:$E$53,4,0),"")</f>
        <v/>
      </c>
      <c r="G42" s="58" t="str">
        <f>IF(F42="","",IF(I42="SÍ",F42*'Configuración'!$C$5,0))</f>
        <v/>
      </c>
      <c r="H42" s="58"/>
      <c r="I42" s="61"/>
      <c r="J42" s="18" t="str">
        <f>IF(F42="","",IF(H42="SÍ",'Configuración'!$C$6,0))</f>
        <v/>
      </c>
      <c r="K42" s="58" t="str">
        <f t="shared" si="1"/>
        <v/>
      </c>
      <c r="L42" s="58" t="str">
        <f t="shared" si="2"/>
        <v/>
      </c>
      <c r="M42" s="59" t="str">
        <f t="shared" si="3"/>
        <v/>
      </c>
      <c r="N42" s="46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5.0" customHeight="1">
      <c r="A43" s="35">
        <v>39.0</v>
      </c>
      <c r="B43" s="52"/>
      <c r="C43" s="29"/>
      <c r="D43" s="53" t="str">
        <f>IFERROR(VLOOKUP(C43,'Catálogo Productos'!$B$3:$E$53,2,0),"")</f>
        <v/>
      </c>
      <c r="E43" s="54" t="str">
        <f>IFERROR(VLOOKUP(C43,'Catálogo Productos'!$B$3:$E$53,3,0),"")</f>
        <v/>
      </c>
      <c r="F43" s="55" t="str">
        <f>IFERROR(VLOOKUP(C43,'Catálogo Productos'!$B$3:$E$53,4,0),"")</f>
        <v/>
      </c>
      <c r="G43" s="56" t="str">
        <f>IF(F43="","",IF(I43="SÍ",F43*'Configuración'!$C$5,0))</f>
        <v/>
      </c>
      <c r="H43" s="56"/>
      <c r="I43" s="61"/>
      <c r="J43" s="18" t="str">
        <f>IF(F43="","",IF(H43="SÍ",'Configuración'!$C$6,0))</f>
        <v/>
      </c>
      <c r="K43" s="56" t="str">
        <f t="shared" si="1"/>
        <v/>
      </c>
      <c r="L43" s="56" t="str">
        <f t="shared" si="2"/>
        <v/>
      </c>
      <c r="M43" s="57" t="str">
        <f t="shared" si="3"/>
        <v/>
      </c>
      <c r="N43" s="46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5.0" customHeight="1">
      <c r="A44" s="47">
        <v>40.0</v>
      </c>
      <c r="B44" s="52"/>
      <c r="C44" s="29"/>
      <c r="D44" s="53" t="str">
        <f>IFERROR(VLOOKUP(C44,'Catálogo Productos'!$B$3:$E$53,2,0),"")</f>
        <v/>
      </c>
      <c r="E44" s="54" t="str">
        <f>IFERROR(VLOOKUP(C44,'Catálogo Productos'!$B$3:$E$53,3,0),"")</f>
        <v/>
      </c>
      <c r="F44" s="55" t="str">
        <f>IFERROR(VLOOKUP(C44,'Catálogo Productos'!$B$3:$E$53,4,0),"")</f>
        <v/>
      </c>
      <c r="G44" s="58" t="str">
        <f>IF(F44="","",IF(I44="SÍ",F44*'Configuración'!$C$5,0))</f>
        <v/>
      </c>
      <c r="H44" s="58"/>
      <c r="I44" s="61"/>
      <c r="J44" s="18" t="str">
        <f>IF(F44="","",IF(H44="SÍ",'Configuración'!$C$6,0))</f>
        <v/>
      </c>
      <c r="K44" s="58" t="str">
        <f t="shared" si="1"/>
        <v/>
      </c>
      <c r="L44" s="58" t="str">
        <f t="shared" si="2"/>
        <v/>
      </c>
      <c r="M44" s="59" t="str">
        <f t="shared" si="3"/>
        <v/>
      </c>
      <c r="N44" s="46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5.0" customHeight="1">
      <c r="A45" s="35">
        <v>41.0</v>
      </c>
      <c r="B45" s="52"/>
      <c r="C45" s="29"/>
      <c r="D45" s="53" t="str">
        <f>IFERROR(VLOOKUP(C45,'Catálogo Productos'!$B$3:$E$53,2,0),"")</f>
        <v/>
      </c>
      <c r="E45" s="54" t="str">
        <f>IFERROR(VLOOKUP(C45,'Catálogo Productos'!$B$3:$E$53,3,0),"")</f>
        <v/>
      </c>
      <c r="F45" s="55" t="str">
        <f>IFERROR(VLOOKUP(C45,'Catálogo Productos'!$B$3:$E$53,4,0),"")</f>
        <v/>
      </c>
      <c r="G45" s="56" t="str">
        <f>IF(F45="","",IF(I45="SÍ",F45*'Configuración'!$C$5,0))</f>
        <v/>
      </c>
      <c r="H45" s="56"/>
      <c r="I45" s="61"/>
      <c r="J45" s="18" t="str">
        <f>IF(F45="","",IF(H45="SÍ",'Configuración'!$C$6,0))</f>
        <v/>
      </c>
      <c r="K45" s="56" t="str">
        <f t="shared" si="1"/>
        <v/>
      </c>
      <c r="L45" s="56" t="str">
        <f t="shared" si="2"/>
        <v/>
      </c>
      <c r="M45" s="57" t="str">
        <f t="shared" si="3"/>
        <v/>
      </c>
      <c r="N45" s="46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5.0" customHeight="1">
      <c r="A46" s="47">
        <v>42.0</v>
      </c>
      <c r="B46" s="52"/>
      <c r="C46" s="29"/>
      <c r="D46" s="53" t="str">
        <f>IFERROR(VLOOKUP(C46,'Catálogo Productos'!$B$3:$E$53,2,0),"")</f>
        <v/>
      </c>
      <c r="E46" s="54" t="str">
        <f>IFERROR(VLOOKUP(C46,'Catálogo Productos'!$B$3:$E$53,3,0),"")</f>
        <v/>
      </c>
      <c r="F46" s="55" t="str">
        <f>IFERROR(VLOOKUP(C46,'Catálogo Productos'!$B$3:$E$53,4,0),"")</f>
        <v/>
      </c>
      <c r="G46" s="58" t="str">
        <f>IF(F46="","",IF(I46="SÍ",F46*'Configuración'!$C$5,0))</f>
        <v/>
      </c>
      <c r="H46" s="58"/>
      <c r="I46" s="61"/>
      <c r="J46" s="18" t="str">
        <f>IF(F46="","",IF(H46="SÍ",'Configuración'!$C$6,0))</f>
        <v/>
      </c>
      <c r="K46" s="58" t="str">
        <f t="shared" si="1"/>
        <v/>
      </c>
      <c r="L46" s="58" t="str">
        <f t="shared" si="2"/>
        <v/>
      </c>
      <c r="M46" s="59" t="str">
        <f t="shared" si="3"/>
        <v/>
      </c>
      <c r="N46" s="46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5.0" customHeight="1">
      <c r="A47" s="35">
        <v>43.0</v>
      </c>
      <c r="B47" s="52"/>
      <c r="C47" s="29"/>
      <c r="D47" s="53" t="str">
        <f>IFERROR(VLOOKUP(C47,'Catálogo Productos'!$B$3:$E$53,2,0),"")</f>
        <v/>
      </c>
      <c r="E47" s="54" t="str">
        <f>IFERROR(VLOOKUP(C47,'Catálogo Productos'!$B$3:$E$53,3,0),"")</f>
        <v/>
      </c>
      <c r="F47" s="55" t="str">
        <f>IFERROR(VLOOKUP(C47,'Catálogo Productos'!$B$3:$E$53,4,0),"")</f>
        <v/>
      </c>
      <c r="G47" s="56" t="str">
        <f>IF(F47="","",IF(I47="SÍ",F47*'Configuración'!$C$5,0))</f>
        <v/>
      </c>
      <c r="H47" s="56"/>
      <c r="I47" s="61"/>
      <c r="J47" s="18" t="str">
        <f>IF(F47="","",IF(H47="SÍ",'Configuración'!$C$6,0))</f>
        <v/>
      </c>
      <c r="K47" s="56" t="str">
        <f t="shared" si="1"/>
        <v/>
      </c>
      <c r="L47" s="56" t="str">
        <f t="shared" si="2"/>
        <v/>
      </c>
      <c r="M47" s="57" t="str">
        <f t="shared" si="3"/>
        <v/>
      </c>
      <c r="N47" s="46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5.0" customHeight="1">
      <c r="A48" s="47">
        <v>44.0</v>
      </c>
      <c r="B48" s="52"/>
      <c r="C48" s="29"/>
      <c r="D48" s="53" t="str">
        <f>IFERROR(VLOOKUP(C48,'Catálogo Productos'!$B$3:$E$53,2,0),"")</f>
        <v/>
      </c>
      <c r="E48" s="54" t="str">
        <f>IFERROR(VLOOKUP(C48,'Catálogo Productos'!$B$3:$E$53,3,0),"")</f>
        <v/>
      </c>
      <c r="F48" s="55" t="str">
        <f>IFERROR(VLOOKUP(C48,'Catálogo Productos'!$B$3:$E$53,4,0),"")</f>
        <v/>
      </c>
      <c r="G48" s="58" t="str">
        <f>IF(F48="","",IF(I48="SÍ",F48*'Configuración'!$C$5,0))</f>
        <v/>
      </c>
      <c r="H48" s="58"/>
      <c r="I48" s="61"/>
      <c r="J48" s="53" t="str">
        <f>IF(F48="","",IF(H48="SÍ",'Configuración'!$C$6,0))</f>
        <v/>
      </c>
      <c r="K48" s="58" t="str">
        <f t="shared" si="1"/>
        <v/>
      </c>
      <c r="L48" s="58" t="str">
        <f t="shared" si="2"/>
        <v/>
      </c>
      <c r="M48" s="59" t="str">
        <f t="shared" si="3"/>
        <v/>
      </c>
      <c r="N48" s="46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5.0" customHeight="1">
      <c r="A49" s="35">
        <v>45.0</v>
      </c>
      <c r="B49" s="52"/>
      <c r="C49" s="29"/>
      <c r="D49" s="53" t="str">
        <f>IFERROR(VLOOKUP(C49,'Catálogo Productos'!$B$3:$E$53,2,0),"")</f>
        <v/>
      </c>
      <c r="E49" s="54" t="str">
        <f>IFERROR(VLOOKUP(C49,'Catálogo Productos'!$B$3:$E$53,3,0),"")</f>
        <v/>
      </c>
      <c r="F49" s="55" t="str">
        <f>IFERROR(VLOOKUP(C49,'Catálogo Productos'!$B$3:$E$53,4,0),"")</f>
        <v/>
      </c>
      <c r="G49" s="56" t="str">
        <f>IF(F49="","",IF(I49="SÍ",F49*'Configuración'!$C$5,0))</f>
        <v/>
      </c>
      <c r="H49" s="56"/>
      <c r="I49" s="61"/>
      <c r="J49" s="53" t="str">
        <f>IF(F49="","",IF(H49="SÍ",'Configuración'!$C$6,0))</f>
        <v/>
      </c>
      <c r="K49" s="56" t="str">
        <f t="shared" si="1"/>
        <v/>
      </c>
      <c r="L49" s="56" t="str">
        <f t="shared" si="2"/>
        <v/>
      </c>
      <c r="M49" s="57" t="str">
        <f t="shared" si="3"/>
        <v/>
      </c>
      <c r="N49" s="46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5.0" customHeight="1">
      <c r="A50" s="47">
        <v>46.0</v>
      </c>
      <c r="B50" s="52"/>
      <c r="C50" s="29"/>
      <c r="D50" s="53" t="str">
        <f>IFERROR(VLOOKUP(C50,'Catálogo Productos'!$B$3:$E$53,2,0),"")</f>
        <v/>
      </c>
      <c r="E50" s="54" t="str">
        <f>IFERROR(VLOOKUP(C50,'Catálogo Productos'!$B$3:$E$53,3,0),"")</f>
        <v/>
      </c>
      <c r="F50" s="55" t="str">
        <f>IFERROR(VLOOKUP(C50,'Catálogo Productos'!$B$3:$E$53,4,0),"")</f>
        <v/>
      </c>
      <c r="G50" s="58" t="str">
        <f>IF(F50="","",IF(I50="SÍ",F50*'Configuración'!$C$5,0))</f>
        <v/>
      </c>
      <c r="H50" s="58"/>
      <c r="I50" s="61"/>
      <c r="J50" s="53" t="str">
        <f>IF(F50="","",IF(H50="SÍ",'Configuración'!$C$6,0))</f>
        <v/>
      </c>
      <c r="K50" s="58" t="str">
        <f t="shared" si="1"/>
        <v/>
      </c>
      <c r="L50" s="58" t="str">
        <f t="shared" si="2"/>
        <v/>
      </c>
      <c r="M50" s="59" t="str">
        <f t="shared" si="3"/>
        <v/>
      </c>
      <c r="N50" s="46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5.0" customHeight="1">
      <c r="A51" s="35">
        <v>47.0</v>
      </c>
      <c r="B51" s="52"/>
      <c r="C51" s="29"/>
      <c r="D51" s="53" t="str">
        <f>IFERROR(VLOOKUP(C51,'Catálogo Productos'!$B$3:$E$53,2,0),"")</f>
        <v/>
      </c>
      <c r="E51" s="54" t="str">
        <f>IFERROR(VLOOKUP(C51,'Catálogo Productos'!$B$3:$E$53,3,0),"")</f>
        <v/>
      </c>
      <c r="F51" s="55" t="str">
        <f>IFERROR(VLOOKUP(C51,'Catálogo Productos'!$B$3:$E$53,4,0),"")</f>
        <v/>
      </c>
      <c r="G51" s="56" t="str">
        <f>IF(F51="","",IF(I51="SÍ",F51*'Configuración'!$C$5,0))</f>
        <v/>
      </c>
      <c r="H51" s="56"/>
      <c r="I51" s="61"/>
      <c r="J51" s="18" t="str">
        <f>IF(F51="","",IF(H51="SÍ",'Configuración'!$C$6,0))</f>
        <v/>
      </c>
      <c r="K51" s="56" t="str">
        <f t="shared" si="1"/>
        <v/>
      </c>
      <c r="L51" s="56" t="str">
        <f t="shared" si="2"/>
        <v/>
      </c>
      <c r="M51" s="57" t="str">
        <f t="shared" si="3"/>
        <v/>
      </c>
      <c r="N51" s="46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5.0" customHeight="1">
      <c r="A52" s="47">
        <v>48.0</v>
      </c>
      <c r="B52" s="52"/>
      <c r="C52" s="29"/>
      <c r="D52" s="53" t="str">
        <f>IFERROR(VLOOKUP(C52,'Catálogo Productos'!$B$3:$E$53,2,0),"")</f>
        <v/>
      </c>
      <c r="E52" s="54" t="str">
        <f>IFERROR(VLOOKUP(C52,'Catálogo Productos'!$B$3:$E$53,3,0),"")</f>
        <v/>
      </c>
      <c r="F52" s="55" t="str">
        <f>IFERROR(VLOOKUP(C52,'Catálogo Productos'!$B$3:$E$53,4,0),"")</f>
        <v/>
      </c>
      <c r="G52" s="58" t="str">
        <f>IF(F52="","",IF(I52="SÍ",F52*'Configuración'!$C$5,0))</f>
        <v/>
      </c>
      <c r="H52" s="58" t="s">
        <v>88</v>
      </c>
      <c r="I52" s="61" t="s">
        <v>88</v>
      </c>
      <c r="J52" s="53" t="str">
        <f>IF(F52="","",IF(H52="SÍ",'Configuración'!$C$6,0))</f>
        <v/>
      </c>
      <c r="K52" s="58" t="str">
        <f t="shared" si="1"/>
        <v/>
      </c>
      <c r="L52" s="58" t="str">
        <f t="shared" si="2"/>
        <v/>
      </c>
      <c r="M52" s="59" t="str">
        <f t="shared" si="3"/>
        <v/>
      </c>
      <c r="N52" s="46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5.0" customHeight="1">
      <c r="A53" s="35">
        <v>49.0</v>
      </c>
      <c r="B53" s="52"/>
      <c r="C53" s="29"/>
      <c r="D53" s="53" t="str">
        <f>IFERROR(VLOOKUP(C53,'Catálogo Productos'!$B$3:$E$53,2,0),"")</f>
        <v/>
      </c>
      <c r="E53" s="54" t="str">
        <f>IFERROR(VLOOKUP(C53,'Catálogo Productos'!$B$3:$E$53,3,0),"")</f>
        <v/>
      </c>
      <c r="F53" s="55" t="str">
        <f>IFERROR(VLOOKUP(C53,'Catálogo Productos'!$B$3:$E$53,4,0),"")</f>
        <v/>
      </c>
      <c r="G53" s="56" t="str">
        <f>IF(F53="","",IF(I53="SÍ",F53*'Configuración'!$C$5,0))</f>
        <v/>
      </c>
      <c r="H53" s="56" t="s">
        <v>88</v>
      </c>
      <c r="I53" s="61" t="s">
        <v>88</v>
      </c>
      <c r="J53" s="53" t="str">
        <f>IF(F53="","",IF(H53="SÍ",'Configuración'!$C$6,0))</f>
        <v/>
      </c>
      <c r="K53" s="56" t="str">
        <f t="shared" si="1"/>
        <v/>
      </c>
      <c r="L53" s="56" t="str">
        <f t="shared" si="2"/>
        <v/>
      </c>
      <c r="M53" s="57" t="str">
        <f t="shared" si="3"/>
        <v/>
      </c>
      <c r="N53" s="46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5.0" customHeight="1">
      <c r="A54" s="47">
        <v>50.0</v>
      </c>
      <c r="B54" s="52"/>
      <c r="C54" s="29"/>
      <c r="D54" s="53" t="str">
        <f>IFERROR(VLOOKUP(C54,'Catálogo Productos'!$B$3:$E$53,2,0),"")</f>
        <v/>
      </c>
      <c r="E54" s="54" t="str">
        <f>IFERROR(VLOOKUP(C54,'Catálogo Productos'!$B$3:$E$53,3,0),"")</f>
        <v/>
      </c>
      <c r="F54" s="55" t="str">
        <f>IFERROR(VLOOKUP(C54,'Catálogo Productos'!$B$3:$E$53,4,0),"")</f>
        <v/>
      </c>
      <c r="G54" s="58" t="str">
        <f>IF(F54="","",IF(I54="SÍ",F54*'Configuración'!$C$5,0))</f>
        <v/>
      </c>
      <c r="H54" s="58" t="s">
        <v>88</v>
      </c>
      <c r="I54" s="61" t="s">
        <v>88</v>
      </c>
      <c r="J54" s="53" t="str">
        <f>IF(F54="","",IF(H54="SÍ",'Configuración'!$C$6,0))</f>
        <v/>
      </c>
      <c r="K54" s="58" t="str">
        <f t="shared" si="1"/>
        <v/>
      </c>
      <c r="L54" s="58" t="str">
        <f t="shared" si="2"/>
        <v/>
      </c>
      <c r="M54" s="59" t="str">
        <f t="shared" si="3"/>
        <v/>
      </c>
      <c r="N54" s="46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5.0" customHeight="1">
      <c r="A55" s="87" t="s">
        <v>112</v>
      </c>
      <c r="B55" s="9"/>
      <c r="C55" s="9"/>
      <c r="D55" s="10"/>
      <c r="E55" s="88" t="str">
        <f t="shared" ref="E55:G55" si="4">SUM(E5:E204)</f>
        <v>#REF!</v>
      </c>
      <c r="F55" s="89" t="str">
        <f t="shared" si="4"/>
        <v>#REF!</v>
      </c>
      <c r="G55" s="88" t="str">
        <f t="shared" si="4"/>
        <v>#REF!</v>
      </c>
      <c r="H55" s="88"/>
      <c r="I55" s="90"/>
      <c r="J55" s="91" t="str">
        <f t="shared" ref="J55:L55" si="5">SUM(J5:J204)</f>
        <v>#REF!</v>
      </c>
      <c r="K55" s="88" t="str">
        <f t="shared" si="5"/>
        <v>#REF!</v>
      </c>
      <c r="L55" s="88" t="str">
        <f t="shared" si="5"/>
        <v>#REF!</v>
      </c>
      <c r="M55" s="88" t="str">
        <f>IF(K55=0,0,L55/K55)</f>
        <v>#REF!</v>
      </c>
      <c r="N55" s="92" t="str">
        <f>SUM(N5:N204)</f>
        <v>#REF!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23.25" customHeight="1">
      <c r="A57" s="2"/>
      <c r="B57" s="15"/>
      <c r="C57" s="93">
        <f>COUNTA(B5:B204)</f>
        <v>37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5.75" customHeight="1">
      <c r="A59" s="2">
        <v>55.0</v>
      </c>
      <c r="B59" s="2"/>
      <c r="C59" s="2"/>
      <c r="D59" s="2" t="str">
        <f>IFERROR(VLOOKUP(C59,'Catálogo Productos'!$B$3:$E$53,2,0),"")</f>
        <v/>
      </c>
      <c r="E59" s="2" t="str">
        <f>IFERROR(VLOOKUP(C59,'Catálogo Productos'!$B$3:$E$53,3,0),"")</f>
        <v/>
      </c>
      <c r="F59" s="2" t="str">
        <f>IFERROR(VLOOKUP(C59,'Catálogo Productos'!$B$3:$E$53,4,0),"")</f>
        <v/>
      </c>
      <c r="G59" s="2" t="str">
        <f>IF(F59="","",IF(I59="SÍ",F59*'Configuración'!$C$5,0))</f>
        <v/>
      </c>
      <c r="H59" s="2"/>
      <c r="I59" s="2"/>
      <c r="J59" s="2" t="str">
        <f>IF(F59="","",IF(H59="SÍ",'Configuración'!$C$6,0))</f>
        <v/>
      </c>
      <c r="K59" s="2" t="str">
        <f t="shared" ref="K59:K204" si="6">IF(F59="","",F59-G59-J59)</f>
        <v/>
      </c>
      <c r="L59" s="2" t="str">
        <f t="shared" ref="L59:L204" si="7">IF(F59="","",K59-E59-IF(N59="",0,N59))</f>
        <v/>
      </c>
      <c r="M59" s="2" t="str">
        <f t="shared" ref="M59:M204" si="8">IF(F59="","",IF(K59=0,0,L59/K59))</f>
        <v/>
      </c>
      <c r="N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5.75" customHeight="1">
      <c r="A60" s="2">
        <v>56.0</v>
      </c>
      <c r="B60" s="2"/>
      <c r="C60" s="2"/>
      <c r="D60" s="2" t="str">
        <f>IFERROR(VLOOKUP(C60,'Catálogo Productos'!$B$3:$E$53,2,0),"")</f>
        <v/>
      </c>
      <c r="E60" s="2" t="str">
        <f>IFERROR(VLOOKUP(C60,'Catálogo Productos'!$B$3:$E$53,3,0),"")</f>
        <v/>
      </c>
      <c r="F60" s="2" t="str">
        <f>IFERROR(VLOOKUP(C60,'Catálogo Productos'!$B$3:$E$53,4,0),"")</f>
        <v/>
      </c>
      <c r="G60" s="2" t="str">
        <f>IF(F60="","",IF(I60="SÍ",F60*'Configuración'!$C$5,0))</f>
        <v/>
      </c>
      <c r="H60" s="2"/>
      <c r="I60" s="2"/>
      <c r="J60" s="2" t="str">
        <f>IF(F60="","",IF(H60="SÍ",'Configuración'!$C$6,0))</f>
        <v/>
      </c>
      <c r="K60" s="2" t="str">
        <f t="shared" si="6"/>
        <v/>
      </c>
      <c r="L60" s="2" t="str">
        <f t="shared" si="7"/>
        <v/>
      </c>
      <c r="M60" s="2" t="str">
        <f t="shared" si="8"/>
        <v/>
      </c>
      <c r="N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5.75" customHeight="1">
      <c r="A61" s="2">
        <v>57.0</v>
      </c>
      <c r="B61" s="2"/>
      <c r="C61" s="2"/>
      <c r="D61" s="2" t="str">
        <f>IFERROR(VLOOKUP(C61,'Catálogo Productos'!$B$3:$E$53,2,0),"")</f>
        <v/>
      </c>
      <c r="E61" s="2" t="str">
        <f>IFERROR(VLOOKUP(C61,'Catálogo Productos'!$B$3:$E$53,3,0),"")</f>
        <v/>
      </c>
      <c r="F61" s="2" t="str">
        <f>IFERROR(VLOOKUP(C61,'Catálogo Productos'!$B$3:$E$53,4,0),"")</f>
        <v/>
      </c>
      <c r="G61" s="2" t="str">
        <f>IF(F61="","",IF(I61="SÍ",F61*'Configuración'!$C$5,0))</f>
        <v/>
      </c>
      <c r="H61" s="2"/>
      <c r="I61" s="2"/>
      <c r="J61" s="2" t="str">
        <f>IF(F61="","",IF(H61="SÍ",'Configuración'!$C$6,0))</f>
        <v/>
      </c>
      <c r="K61" s="2" t="str">
        <f t="shared" si="6"/>
        <v/>
      </c>
      <c r="L61" s="2" t="str">
        <f t="shared" si="7"/>
        <v/>
      </c>
      <c r="M61" s="2" t="str">
        <f t="shared" si="8"/>
        <v/>
      </c>
      <c r="N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5.75" customHeight="1">
      <c r="A62" s="2">
        <v>58.0</v>
      </c>
      <c r="B62" s="2"/>
      <c r="C62" s="2"/>
      <c r="D62" s="2" t="str">
        <f>IFERROR(VLOOKUP(C62,'Catálogo Productos'!$B$3:$E$53,2,0),"")</f>
        <v/>
      </c>
      <c r="E62" s="2" t="str">
        <f>IFERROR(VLOOKUP(C62,'Catálogo Productos'!$B$3:$E$53,3,0),"")</f>
        <v/>
      </c>
      <c r="F62" s="2" t="str">
        <f>IFERROR(VLOOKUP(C62,'Catálogo Productos'!$B$3:$E$53,4,0),"")</f>
        <v/>
      </c>
      <c r="G62" s="2" t="str">
        <f>IF(F62="","",IF(I62="SÍ",F62*'Configuración'!$C$5,0))</f>
        <v/>
      </c>
      <c r="H62" s="2"/>
      <c r="I62" s="2"/>
      <c r="J62" s="2" t="str">
        <f>IF(F62="","",IF(H62="SÍ",'Configuración'!$C$6,0))</f>
        <v/>
      </c>
      <c r="K62" s="2" t="str">
        <f t="shared" si="6"/>
        <v/>
      </c>
      <c r="L62" s="2" t="str">
        <f t="shared" si="7"/>
        <v/>
      </c>
      <c r="M62" s="2" t="str">
        <f t="shared" si="8"/>
        <v/>
      </c>
      <c r="N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5.75" customHeight="1">
      <c r="A63" s="2">
        <v>59.0</v>
      </c>
      <c r="B63" s="2"/>
      <c r="C63" s="2"/>
      <c r="D63" s="2" t="str">
        <f>IFERROR(VLOOKUP(C63,'Catálogo Productos'!$B$3:$E$53,2,0),"")</f>
        <v/>
      </c>
      <c r="E63" s="2" t="str">
        <f>IFERROR(VLOOKUP(C63,'Catálogo Productos'!$B$3:$E$53,3,0),"")</f>
        <v/>
      </c>
      <c r="F63" s="2" t="str">
        <f>IFERROR(VLOOKUP(C63,'Catálogo Productos'!$B$3:$E$53,4,0),"")</f>
        <v/>
      </c>
      <c r="G63" s="2" t="str">
        <f>IF(F63="","",IF(I63="SÍ",F63*'Configuración'!$C$5,0))</f>
        <v/>
      </c>
      <c r="H63" s="2"/>
      <c r="I63" s="2"/>
      <c r="J63" s="2" t="str">
        <f>IF(F63="","",IF(H63="SÍ",'Configuración'!$C$6,0))</f>
        <v/>
      </c>
      <c r="K63" s="2" t="str">
        <f t="shared" si="6"/>
        <v/>
      </c>
      <c r="L63" s="2" t="str">
        <f t="shared" si="7"/>
        <v/>
      </c>
      <c r="M63" s="2" t="str">
        <f t="shared" si="8"/>
        <v/>
      </c>
      <c r="N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5.75" customHeight="1">
      <c r="A64" s="2">
        <v>60.0</v>
      </c>
      <c r="B64" s="2"/>
      <c r="C64" s="2"/>
      <c r="D64" s="2" t="str">
        <f>IFERROR(VLOOKUP(C64,'Catálogo Productos'!$B$3:$E$53,2,0),"")</f>
        <v/>
      </c>
      <c r="E64" s="2" t="str">
        <f>IFERROR(VLOOKUP(C64,'Catálogo Productos'!$B$3:$E$53,3,0),"")</f>
        <v/>
      </c>
      <c r="F64" s="2" t="str">
        <f>IFERROR(VLOOKUP(C64,'Catálogo Productos'!$B$3:$E$53,4,0),"")</f>
        <v/>
      </c>
      <c r="G64" s="2" t="str">
        <f>IF(F64="","",IF(I64="SÍ",F64*'Configuración'!$C$5,0))</f>
        <v/>
      </c>
      <c r="H64" s="2"/>
      <c r="I64" s="2"/>
      <c r="J64" s="2" t="str">
        <f>IF(F64="","",IF(H64="SÍ",'Configuración'!$C$6,0))</f>
        <v/>
      </c>
      <c r="K64" s="2" t="str">
        <f t="shared" si="6"/>
        <v/>
      </c>
      <c r="L64" s="2" t="str">
        <f t="shared" si="7"/>
        <v/>
      </c>
      <c r="M64" s="2" t="str">
        <f t="shared" si="8"/>
        <v/>
      </c>
      <c r="N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5.75" customHeight="1">
      <c r="A65" s="2">
        <v>61.0</v>
      </c>
      <c r="B65" s="2"/>
      <c r="C65" s="2"/>
      <c r="D65" s="2" t="str">
        <f>IFERROR(VLOOKUP(C65,'Catálogo Productos'!$B$3:$E$53,2,0),"")</f>
        <v/>
      </c>
      <c r="E65" s="2" t="str">
        <f>IFERROR(VLOOKUP(C65,'Catálogo Productos'!$B$3:$E$53,3,0),"")</f>
        <v/>
      </c>
      <c r="F65" s="2" t="str">
        <f>IFERROR(VLOOKUP(C65,'Catálogo Productos'!$B$3:$E$53,4,0),"")</f>
        <v/>
      </c>
      <c r="G65" s="2" t="str">
        <f>IF(F65="","",IF(I65="SÍ",F65*'Configuración'!$C$5,0))</f>
        <v/>
      </c>
      <c r="H65" s="2"/>
      <c r="I65" s="2"/>
      <c r="J65" s="2" t="str">
        <f>IF(F65="","",IF(H65="SÍ",'Configuración'!$C$6,0))</f>
        <v/>
      </c>
      <c r="K65" s="2" t="str">
        <f t="shared" si="6"/>
        <v/>
      </c>
      <c r="L65" s="2" t="str">
        <f t="shared" si="7"/>
        <v/>
      </c>
      <c r="M65" s="2" t="str">
        <f t="shared" si="8"/>
        <v/>
      </c>
      <c r="N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5.75" customHeight="1">
      <c r="A66" s="2">
        <v>62.0</v>
      </c>
      <c r="B66" s="2"/>
      <c r="C66" s="2"/>
      <c r="D66" s="2" t="str">
        <f>IFERROR(VLOOKUP(C66,'Catálogo Productos'!$B$3:$E$53,2,0),"")</f>
        <v/>
      </c>
      <c r="E66" s="2" t="str">
        <f>IFERROR(VLOOKUP(C66,'Catálogo Productos'!$B$3:$E$53,3,0),"")</f>
        <v/>
      </c>
      <c r="F66" s="2" t="str">
        <f>IFERROR(VLOOKUP(C66,'Catálogo Productos'!$B$3:$E$53,4,0),"")</f>
        <v/>
      </c>
      <c r="G66" s="2" t="str">
        <f>IF(F66="","",IF(I66="SÍ",F66*'Configuración'!$C$5,0))</f>
        <v/>
      </c>
      <c r="H66" s="2"/>
      <c r="I66" s="2"/>
      <c r="J66" s="2" t="str">
        <f>IF(F66="","",IF(H66="SÍ",'Configuración'!$C$6,0))</f>
        <v/>
      </c>
      <c r="K66" s="2" t="str">
        <f t="shared" si="6"/>
        <v/>
      </c>
      <c r="L66" s="2" t="str">
        <f t="shared" si="7"/>
        <v/>
      </c>
      <c r="M66" s="2" t="str">
        <f t="shared" si="8"/>
        <v/>
      </c>
      <c r="N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5.75" customHeight="1">
      <c r="A67" s="2">
        <v>63.0</v>
      </c>
      <c r="B67" s="2"/>
      <c r="C67" s="2"/>
      <c r="D67" s="2" t="str">
        <f>IFERROR(VLOOKUP(C67,'Catálogo Productos'!$B$3:$E$53,2,0),"")</f>
        <v/>
      </c>
      <c r="E67" s="2" t="str">
        <f>IFERROR(VLOOKUP(C67,'Catálogo Productos'!$B$3:$E$53,3,0),"")</f>
        <v/>
      </c>
      <c r="F67" s="2" t="str">
        <f>IFERROR(VLOOKUP(C67,'Catálogo Productos'!$B$3:$E$53,4,0),"")</f>
        <v/>
      </c>
      <c r="G67" s="2" t="str">
        <f>IF(F67="","",IF(I67="SÍ",F67*'Configuración'!$C$5,0))</f>
        <v/>
      </c>
      <c r="H67" s="2"/>
      <c r="I67" s="2"/>
      <c r="J67" s="2" t="str">
        <f>IF(F67="","",IF(H67="SÍ",'Configuración'!$C$6,0))</f>
        <v/>
      </c>
      <c r="K67" s="2" t="str">
        <f t="shared" si="6"/>
        <v/>
      </c>
      <c r="L67" s="2" t="str">
        <f t="shared" si="7"/>
        <v/>
      </c>
      <c r="M67" s="2" t="str">
        <f t="shared" si="8"/>
        <v/>
      </c>
      <c r="N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5.75" customHeight="1">
      <c r="A68" s="2">
        <v>64.0</v>
      </c>
      <c r="B68" s="2"/>
      <c r="C68" s="2"/>
      <c r="D68" s="2" t="str">
        <f>IFERROR(VLOOKUP(C68,'Catálogo Productos'!$B$3:$E$53,2,0),"")</f>
        <v/>
      </c>
      <c r="E68" s="2" t="str">
        <f>IFERROR(VLOOKUP(C68,'Catálogo Productos'!$B$3:$E$53,3,0),"")</f>
        <v/>
      </c>
      <c r="F68" s="2" t="str">
        <f>IFERROR(VLOOKUP(C68,'Catálogo Productos'!$B$3:$E$53,4,0),"")</f>
        <v/>
      </c>
      <c r="G68" s="2" t="str">
        <f>IF(F68="","",IF(I68="SÍ",F68*'Configuración'!$C$5,0))</f>
        <v/>
      </c>
      <c r="H68" s="2"/>
      <c r="I68" s="2"/>
      <c r="J68" s="2" t="str">
        <f>IF(F68="","",IF(H68="SÍ",'Configuración'!$C$6,0))</f>
        <v/>
      </c>
      <c r="K68" s="2" t="str">
        <f t="shared" si="6"/>
        <v/>
      </c>
      <c r="L68" s="2" t="str">
        <f t="shared" si="7"/>
        <v/>
      </c>
      <c r="M68" s="2" t="str">
        <f t="shared" si="8"/>
        <v/>
      </c>
      <c r="N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5.75" customHeight="1">
      <c r="A69" s="2">
        <v>65.0</v>
      </c>
      <c r="B69" s="2"/>
      <c r="C69" s="2"/>
      <c r="D69" s="2" t="str">
        <f>IFERROR(VLOOKUP(C69,'Catálogo Productos'!$B$3:$E$53,2,0),"")</f>
        <v/>
      </c>
      <c r="E69" s="2" t="str">
        <f>IFERROR(VLOOKUP(C69,'Catálogo Productos'!$B$3:$E$53,3,0),"")</f>
        <v/>
      </c>
      <c r="F69" s="2" t="str">
        <f>IFERROR(VLOOKUP(C69,'Catálogo Productos'!$B$3:$E$53,4,0),"")</f>
        <v/>
      </c>
      <c r="G69" s="2" t="str">
        <f>IF(F69="","",IF(I69="SÍ",F69*'Configuración'!$C$5,0))</f>
        <v/>
      </c>
      <c r="H69" s="2"/>
      <c r="I69" s="2"/>
      <c r="J69" s="2" t="str">
        <f>IF(F69="","",IF(H69="SÍ",'Configuración'!$C$6,0))</f>
        <v/>
      </c>
      <c r="K69" s="2" t="str">
        <f t="shared" si="6"/>
        <v/>
      </c>
      <c r="L69" s="2" t="str">
        <f t="shared" si="7"/>
        <v/>
      </c>
      <c r="M69" s="2" t="str">
        <f t="shared" si="8"/>
        <v/>
      </c>
      <c r="N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5.75" customHeight="1">
      <c r="A70" s="2">
        <v>66.0</v>
      </c>
      <c r="B70" s="2"/>
      <c r="C70" s="2"/>
      <c r="D70" s="2" t="str">
        <f>IFERROR(VLOOKUP(C70,'Catálogo Productos'!$B$3:$E$53,2,0),"")</f>
        <v/>
      </c>
      <c r="E70" s="2" t="str">
        <f>IFERROR(VLOOKUP(C70,'Catálogo Productos'!$B$3:$E$53,3,0),"")</f>
        <v/>
      </c>
      <c r="F70" s="2" t="str">
        <f>IFERROR(VLOOKUP(C70,'Catálogo Productos'!$B$3:$E$53,4,0),"")</f>
        <v/>
      </c>
      <c r="G70" s="2" t="str">
        <f>IF(F70="","",IF(I70="SÍ",F70*'Configuración'!$C$5,0))</f>
        <v/>
      </c>
      <c r="H70" s="2"/>
      <c r="I70" s="2"/>
      <c r="J70" s="2" t="str">
        <f>IF(F70="","",IF(H70="SÍ",'Configuración'!$C$6,0))</f>
        <v/>
      </c>
      <c r="K70" s="2" t="str">
        <f t="shared" si="6"/>
        <v/>
      </c>
      <c r="L70" s="2" t="str">
        <f t="shared" si="7"/>
        <v/>
      </c>
      <c r="M70" s="2" t="str">
        <f t="shared" si="8"/>
        <v/>
      </c>
      <c r="N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5.75" customHeight="1">
      <c r="A71" s="2">
        <v>67.0</v>
      </c>
      <c r="B71" s="2"/>
      <c r="C71" s="2"/>
      <c r="D71" s="2" t="str">
        <f>IFERROR(VLOOKUP(C71,'Catálogo Productos'!$B$3:$E$53,2,0),"")</f>
        <v/>
      </c>
      <c r="E71" s="2" t="str">
        <f>IFERROR(VLOOKUP(C71,'Catálogo Productos'!$B$3:$E$53,3,0),"")</f>
        <v/>
      </c>
      <c r="F71" s="2" t="str">
        <f>IFERROR(VLOOKUP(C71,'Catálogo Productos'!$B$3:$E$53,4,0),"")</f>
        <v/>
      </c>
      <c r="G71" s="2" t="str">
        <f>IF(F71="","",IF(I71="SÍ",F71*'Configuración'!$C$5,0))</f>
        <v/>
      </c>
      <c r="H71" s="2"/>
      <c r="I71" s="2"/>
      <c r="J71" s="2" t="str">
        <f>IF(F71="","",IF(H71="SÍ",'Configuración'!$C$6,0))</f>
        <v/>
      </c>
      <c r="K71" s="2" t="str">
        <f t="shared" si="6"/>
        <v/>
      </c>
      <c r="L71" s="2" t="str">
        <f t="shared" si="7"/>
        <v/>
      </c>
      <c r="M71" s="2" t="str">
        <f t="shared" si="8"/>
        <v/>
      </c>
      <c r="N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5.75" customHeight="1">
      <c r="A72" s="2">
        <v>68.0</v>
      </c>
      <c r="B72" s="2"/>
      <c r="C72" s="2"/>
      <c r="D72" s="2" t="str">
        <f>IFERROR(VLOOKUP(C72,'Catálogo Productos'!$B$3:$E$53,2,0),"")</f>
        <v/>
      </c>
      <c r="E72" s="2" t="str">
        <f>IFERROR(VLOOKUP(C72,'Catálogo Productos'!$B$3:$E$53,3,0),"")</f>
        <v/>
      </c>
      <c r="F72" s="2" t="str">
        <f>IFERROR(VLOOKUP(C72,'Catálogo Productos'!$B$3:$E$53,4,0),"")</f>
        <v/>
      </c>
      <c r="G72" s="2" t="str">
        <f>IF(F72="","",IF(I72="SÍ",F72*'Configuración'!$C$5,0))</f>
        <v/>
      </c>
      <c r="H72" s="2"/>
      <c r="I72" s="2"/>
      <c r="J72" s="2" t="str">
        <f>IF(F72="","",IF(H72="SÍ",'Configuración'!$C$6,0))</f>
        <v/>
      </c>
      <c r="K72" s="2" t="str">
        <f t="shared" si="6"/>
        <v/>
      </c>
      <c r="L72" s="2" t="str">
        <f t="shared" si="7"/>
        <v/>
      </c>
      <c r="M72" s="2" t="str">
        <f t="shared" si="8"/>
        <v/>
      </c>
      <c r="N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5.75" customHeight="1">
      <c r="A73" s="2">
        <v>69.0</v>
      </c>
      <c r="B73" s="2"/>
      <c r="C73" s="2"/>
      <c r="D73" s="2" t="str">
        <f>IFERROR(VLOOKUP(C73,'Catálogo Productos'!$B$3:$E$53,2,0),"")</f>
        <v/>
      </c>
      <c r="E73" s="2" t="str">
        <f>IFERROR(VLOOKUP(C73,'Catálogo Productos'!$B$3:$E$53,3,0),"")</f>
        <v/>
      </c>
      <c r="F73" s="2" t="str">
        <f>IFERROR(VLOOKUP(C73,'Catálogo Productos'!$B$3:$E$53,4,0),"")</f>
        <v/>
      </c>
      <c r="G73" s="2" t="str">
        <f>IF(F73="","",IF(I73="SÍ",F73*'Configuración'!$C$5,0))</f>
        <v/>
      </c>
      <c r="H73" s="2"/>
      <c r="I73" s="2"/>
      <c r="J73" s="2" t="str">
        <f>IF(F73="","",IF(H73="SÍ",'Configuración'!$C$6,0))</f>
        <v/>
      </c>
      <c r="K73" s="2" t="str">
        <f t="shared" si="6"/>
        <v/>
      </c>
      <c r="L73" s="2" t="str">
        <f t="shared" si="7"/>
        <v/>
      </c>
      <c r="M73" s="2" t="str">
        <f t="shared" si="8"/>
        <v/>
      </c>
      <c r="N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5.75" customHeight="1">
      <c r="A74" s="2">
        <v>70.0</v>
      </c>
      <c r="B74" s="2"/>
      <c r="C74" s="2"/>
      <c r="D74" s="2" t="str">
        <f>IFERROR(VLOOKUP(C74,'Catálogo Productos'!$B$3:$E$53,2,0),"")</f>
        <v/>
      </c>
      <c r="E74" s="2" t="str">
        <f>IFERROR(VLOOKUP(C74,'Catálogo Productos'!$B$3:$E$53,3,0),"")</f>
        <v/>
      </c>
      <c r="F74" s="2" t="str">
        <f>IFERROR(VLOOKUP(C74,'Catálogo Productos'!$B$3:$E$53,4,0),"")</f>
        <v/>
      </c>
      <c r="G74" s="2" t="str">
        <f>IF(F74="","",IF(I74="SÍ",F74*'Configuración'!$C$5,0))</f>
        <v/>
      </c>
      <c r="H74" s="2"/>
      <c r="I74" s="2"/>
      <c r="J74" s="2" t="str">
        <f>IF(F74="","",IF(H74="SÍ",'Configuración'!$C$6,0))</f>
        <v/>
      </c>
      <c r="K74" s="2" t="str">
        <f t="shared" si="6"/>
        <v/>
      </c>
      <c r="L74" s="2" t="str">
        <f t="shared" si="7"/>
        <v/>
      </c>
      <c r="M74" s="2" t="str">
        <f t="shared" si="8"/>
        <v/>
      </c>
      <c r="N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5.75" customHeight="1">
      <c r="A75" s="2">
        <v>71.0</v>
      </c>
      <c r="B75" s="2"/>
      <c r="C75" s="2"/>
      <c r="D75" s="2" t="str">
        <f>IFERROR(VLOOKUP(C75,'Catálogo Productos'!$B$3:$E$53,2,0),"")</f>
        <v/>
      </c>
      <c r="E75" s="2" t="str">
        <f>IFERROR(VLOOKUP(C75,'Catálogo Productos'!$B$3:$E$53,3,0),"")</f>
        <v/>
      </c>
      <c r="F75" s="2" t="str">
        <f>IFERROR(VLOOKUP(C75,'Catálogo Productos'!$B$3:$E$53,4,0),"")</f>
        <v/>
      </c>
      <c r="G75" s="2" t="str">
        <f>IF(F75="","",IF(I75="SÍ",F75*'Configuración'!$C$5,0))</f>
        <v/>
      </c>
      <c r="H75" s="2"/>
      <c r="I75" s="2"/>
      <c r="J75" s="2" t="str">
        <f>IF(F75="","",IF(H75="SÍ",'Configuración'!$C$6,0))</f>
        <v/>
      </c>
      <c r="K75" s="2" t="str">
        <f t="shared" si="6"/>
        <v/>
      </c>
      <c r="L75" s="2" t="str">
        <f t="shared" si="7"/>
        <v/>
      </c>
      <c r="M75" s="2" t="str">
        <f t="shared" si="8"/>
        <v/>
      </c>
      <c r="N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5.75" customHeight="1">
      <c r="A76" s="2">
        <v>72.0</v>
      </c>
      <c r="B76" s="2"/>
      <c r="C76" s="2"/>
      <c r="D76" s="2" t="str">
        <f>IFERROR(VLOOKUP(C76,'Catálogo Productos'!$B$3:$E$53,2,0),"")</f>
        <v/>
      </c>
      <c r="E76" s="2" t="str">
        <f>IFERROR(VLOOKUP(C76,'Catálogo Productos'!$B$3:$E$53,3,0),"")</f>
        <v/>
      </c>
      <c r="F76" s="2" t="str">
        <f>IFERROR(VLOOKUP(C76,'Catálogo Productos'!$B$3:$E$53,4,0),"")</f>
        <v/>
      </c>
      <c r="G76" s="2" t="str">
        <f>IF(F76="","",IF(I76="SÍ",F76*'Configuración'!$C$5,0))</f>
        <v/>
      </c>
      <c r="H76" s="2"/>
      <c r="I76" s="2"/>
      <c r="J76" s="2" t="str">
        <f>IF(F76="","",IF(H76="SÍ",'Configuración'!$C$6,0))</f>
        <v/>
      </c>
      <c r="K76" s="2" t="str">
        <f t="shared" si="6"/>
        <v/>
      </c>
      <c r="L76" s="2" t="str">
        <f t="shared" si="7"/>
        <v/>
      </c>
      <c r="M76" s="2" t="str">
        <f t="shared" si="8"/>
        <v/>
      </c>
      <c r="N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2">
        <v>73.0</v>
      </c>
      <c r="B77" s="2"/>
      <c r="C77" s="2"/>
      <c r="D77" s="2" t="str">
        <f>IFERROR(VLOOKUP(C77,'Catálogo Productos'!$B$3:$E$53,2,0),"")</f>
        <v/>
      </c>
      <c r="E77" s="2" t="str">
        <f>IFERROR(VLOOKUP(C77,'Catálogo Productos'!$B$3:$E$53,3,0),"")</f>
        <v/>
      </c>
      <c r="F77" s="2" t="str">
        <f>IFERROR(VLOOKUP(C77,'Catálogo Productos'!$B$3:$E$53,4,0),"")</f>
        <v/>
      </c>
      <c r="G77" s="2" t="str">
        <f>IF(F77="","",IF(I77="SÍ",F77*'Configuración'!$C$5,0))</f>
        <v/>
      </c>
      <c r="H77" s="2"/>
      <c r="I77" s="2"/>
      <c r="J77" s="2" t="str">
        <f>IF(F77="","",IF(H77="SÍ",'Configuración'!$C$6,0))</f>
        <v/>
      </c>
      <c r="K77" s="2" t="str">
        <f t="shared" si="6"/>
        <v/>
      </c>
      <c r="L77" s="2" t="str">
        <f t="shared" si="7"/>
        <v/>
      </c>
      <c r="M77" s="2" t="str">
        <f t="shared" si="8"/>
        <v/>
      </c>
      <c r="N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2">
        <v>74.0</v>
      </c>
      <c r="B78" s="2"/>
      <c r="C78" s="2"/>
      <c r="D78" s="2" t="str">
        <f>IFERROR(VLOOKUP(C78,'Catálogo Productos'!$B$3:$E$53,2,0),"")</f>
        <v/>
      </c>
      <c r="E78" s="2" t="str">
        <f>IFERROR(VLOOKUP(C78,'Catálogo Productos'!$B$3:$E$53,3,0),"")</f>
        <v/>
      </c>
      <c r="F78" s="2" t="str">
        <f>IFERROR(VLOOKUP(C78,'Catálogo Productos'!$B$3:$E$53,4,0),"")</f>
        <v/>
      </c>
      <c r="G78" s="2" t="str">
        <f>IF(F78="","",IF(I78="SÍ",F78*'Configuración'!$C$5,0))</f>
        <v/>
      </c>
      <c r="H78" s="2"/>
      <c r="I78" s="2"/>
      <c r="J78" s="2" t="str">
        <f>IF(F78="","",IF(H78="SÍ",'Configuración'!$C$6,0))</f>
        <v/>
      </c>
      <c r="K78" s="2" t="str">
        <f t="shared" si="6"/>
        <v/>
      </c>
      <c r="L78" s="2" t="str">
        <f t="shared" si="7"/>
        <v/>
      </c>
      <c r="M78" s="2" t="str">
        <f t="shared" si="8"/>
        <v/>
      </c>
      <c r="N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2">
        <v>75.0</v>
      </c>
      <c r="B79" s="2"/>
      <c r="C79" s="2"/>
      <c r="D79" s="2" t="str">
        <f>IFERROR(VLOOKUP(C79,'Catálogo Productos'!$B$3:$E$53,2,0),"")</f>
        <v/>
      </c>
      <c r="E79" s="2" t="str">
        <f>IFERROR(VLOOKUP(C79,'Catálogo Productos'!$B$3:$E$53,3,0),"")</f>
        <v/>
      </c>
      <c r="F79" s="2" t="str">
        <f>IFERROR(VLOOKUP(C79,'Catálogo Productos'!$B$3:$E$53,4,0),"")</f>
        <v/>
      </c>
      <c r="G79" s="2" t="str">
        <f>IF(F79="","",IF(I79="SÍ",F79*'Configuración'!$C$5,0))</f>
        <v/>
      </c>
      <c r="H79" s="2"/>
      <c r="I79" s="2"/>
      <c r="J79" s="2" t="str">
        <f>IF(F79="","",IF(H79="SÍ",'Configuración'!$C$6,0))</f>
        <v/>
      </c>
      <c r="K79" s="2" t="str">
        <f t="shared" si="6"/>
        <v/>
      </c>
      <c r="L79" s="2" t="str">
        <f t="shared" si="7"/>
        <v/>
      </c>
      <c r="M79" s="2" t="str">
        <f t="shared" si="8"/>
        <v/>
      </c>
      <c r="N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2">
        <v>76.0</v>
      </c>
      <c r="B80" s="2"/>
      <c r="C80" s="2"/>
      <c r="D80" s="2" t="str">
        <f>IFERROR(VLOOKUP(C80,'Catálogo Productos'!$B$3:$E$53,2,0),"")</f>
        <v/>
      </c>
      <c r="E80" s="2" t="str">
        <f>IFERROR(VLOOKUP(C80,'Catálogo Productos'!$B$3:$E$53,3,0),"")</f>
        <v/>
      </c>
      <c r="F80" s="2" t="str">
        <f>IFERROR(VLOOKUP(C80,'Catálogo Productos'!$B$3:$E$53,4,0),"")</f>
        <v/>
      </c>
      <c r="G80" s="2" t="str">
        <f>IF(F80="","",IF(I80="SÍ",F80*'Configuración'!$C$5,0))</f>
        <v/>
      </c>
      <c r="H80" s="2"/>
      <c r="I80" s="2"/>
      <c r="J80" s="2" t="str">
        <f>IF(F80="","",IF(H80="SÍ",'Configuración'!$C$6,0))</f>
        <v/>
      </c>
      <c r="K80" s="2" t="str">
        <f t="shared" si="6"/>
        <v/>
      </c>
      <c r="L80" s="2" t="str">
        <f t="shared" si="7"/>
        <v/>
      </c>
      <c r="M80" s="2" t="str">
        <f t="shared" si="8"/>
        <v/>
      </c>
      <c r="N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2">
        <v>77.0</v>
      </c>
      <c r="B81" s="2"/>
      <c r="C81" s="2"/>
      <c r="D81" s="2" t="str">
        <f>IFERROR(VLOOKUP(C81,'Catálogo Productos'!$B$3:$E$53,2,0),"")</f>
        <v/>
      </c>
      <c r="E81" s="2" t="str">
        <f>IFERROR(VLOOKUP(C81,'Catálogo Productos'!$B$3:$E$53,3,0),"")</f>
        <v/>
      </c>
      <c r="F81" s="2" t="str">
        <f>IFERROR(VLOOKUP(C81,'Catálogo Productos'!$B$3:$E$53,4,0),"")</f>
        <v/>
      </c>
      <c r="G81" s="2" t="str">
        <f>IF(F81="","",IF(I81="SÍ",F81*'Configuración'!$C$5,0))</f>
        <v/>
      </c>
      <c r="H81" s="2"/>
      <c r="I81" s="2"/>
      <c r="J81" s="2" t="str">
        <f>IF(F81="","",IF(H81="SÍ",'Configuración'!$C$6,0))</f>
        <v/>
      </c>
      <c r="K81" s="2" t="str">
        <f t="shared" si="6"/>
        <v/>
      </c>
      <c r="L81" s="2" t="str">
        <f t="shared" si="7"/>
        <v/>
      </c>
      <c r="M81" s="2" t="str">
        <f t="shared" si="8"/>
        <v/>
      </c>
      <c r="N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2">
        <v>78.0</v>
      </c>
      <c r="B82" s="2"/>
      <c r="C82" s="2"/>
      <c r="D82" s="2" t="str">
        <f>IFERROR(VLOOKUP(C82,'Catálogo Productos'!$B$3:$E$53,2,0),"")</f>
        <v/>
      </c>
      <c r="E82" s="2" t="str">
        <f>IFERROR(VLOOKUP(C82,'Catálogo Productos'!$B$3:$E$53,3,0),"")</f>
        <v/>
      </c>
      <c r="F82" s="2" t="str">
        <f>IFERROR(VLOOKUP(C82,'Catálogo Productos'!$B$3:$E$53,4,0),"")</f>
        <v/>
      </c>
      <c r="G82" s="2" t="str">
        <f>IF(F82="","",IF(I82="SÍ",F82*'Configuración'!$C$5,0))</f>
        <v/>
      </c>
      <c r="H82" s="2"/>
      <c r="I82" s="2"/>
      <c r="J82" s="2" t="str">
        <f>IF(F82="","",IF(H82="SÍ",'Configuración'!$C$6,0))</f>
        <v/>
      </c>
      <c r="K82" s="2" t="str">
        <f t="shared" si="6"/>
        <v/>
      </c>
      <c r="L82" s="2" t="str">
        <f t="shared" si="7"/>
        <v/>
      </c>
      <c r="M82" s="2" t="str">
        <f t="shared" si="8"/>
        <v/>
      </c>
      <c r="N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2">
        <v>79.0</v>
      </c>
      <c r="B83" s="2"/>
      <c r="C83" s="2"/>
      <c r="D83" s="2" t="str">
        <f>IFERROR(VLOOKUP(C83,'Catálogo Productos'!$B$3:$E$53,2,0),"")</f>
        <v/>
      </c>
      <c r="E83" s="2" t="str">
        <f>IFERROR(VLOOKUP(C83,'Catálogo Productos'!$B$3:$E$53,3,0),"")</f>
        <v/>
      </c>
      <c r="F83" s="2" t="str">
        <f>IFERROR(VLOOKUP(C83,'Catálogo Productos'!$B$3:$E$53,4,0),"")</f>
        <v/>
      </c>
      <c r="G83" s="2" t="str">
        <f>IF(F83="","",IF(I83="SÍ",F83*'Configuración'!$C$5,0))</f>
        <v/>
      </c>
      <c r="H83" s="2"/>
      <c r="I83" s="2"/>
      <c r="J83" s="2" t="str">
        <f>IF(F83="","",IF(H83="SÍ",'Configuración'!$C$6,0))</f>
        <v/>
      </c>
      <c r="K83" s="2" t="str">
        <f t="shared" si="6"/>
        <v/>
      </c>
      <c r="L83" s="2" t="str">
        <f t="shared" si="7"/>
        <v/>
      </c>
      <c r="M83" s="2" t="str">
        <f t="shared" si="8"/>
        <v/>
      </c>
      <c r="N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2">
        <v>80.0</v>
      </c>
      <c r="B84" s="2"/>
      <c r="C84" s="2"/>
      <c r="D84" s="2" t="str">
        <f>IFERROR(VLOOKUP(C84,'Catálogo Productos'!$B$3:$E$53,2,0),"")</f>
        <v/>
      </c>
      <c r="E84" s="2" t="str">
        <f>IFERROR(VLOOKUP(C84,'Catálogo Productos'!$B$3:$E$53,3,0),"")</f>
        <v/>
      </c>
      <c r="F84" s="2" t="str">
        <f>IFERROR(VLOOKUP(C84,'Catálogo Productos'!$B$3:$E$53,4,0),"")</f>
        <v/>
      </c>
      <c r="G84" s="2" t="str">
        <f>IF(F84="","",IF(I84="SÍ",F84*'Configuración'!$C$5,0))</f>
        <v/>
      </c>
      <c r="H84" s="2"/>
      <c r="I84" s="2"/>
      <c r="J84" s="2" t="str">
        <f>IF(F84="","",IF(H84="SÍ",'Configuración'!$C$6,0))</f>
        <v/>
      </c>
      <c r="K84" s="2" t="str">
        <f t="shared" si="6"/>
        <v/>
      </c>
      <c r="L84" s="2" t="str">
        <f t="shared" si="7"/>
        <v/>
      </c>
      <c r="M84" s="2" t="str">
        <f t="shared" si="8"/>
        <v/>
      </c>
      <c r="N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2">
        <v>81.0</v>
      </c>
      <c r="B85" s="2"/>
      <c r="C85" s="2"/>
      <c r="D85" s="2" t="str">
        <f>IFERROR(VLOOKUP(C85,'Catálogo Productos'!$B$3:$E$53,2,0),"")</f>
        <v/>
      </c>
      <c r="E85" s="2" t="str">
        <f>IFERROR(VLOOKUP(C85,'Catálogo Productos'!$B$3:$E$53,3,0),"")</f>
        <v/>
      </c>
      <c r="F85" s="2" t="str">
        <f>IFERROR(VLOOKUP(C85,'Catálogo Productos'!$B$3:$E$53,4,0),"")</f>
        <v/>
      </c>
      <c r="G85" s="2" t="str">
        <f>IF(F85="","",IF(I85="SÍ",F85*'Configuración'!$C$5,0))</f>
        <v/>
      </c>
      <c r="H85" s="2"/>
      <c r="I85" s="2"/>
      <c r="J85" s="2" t="str">
        <f>IF(F85="","",IF(H85="SÍ",'Configuración'!$C$6,0))</f>
        <v/>
      </c>
      <c r="K85" s="2" t="str">
        <f t="shared" si="6"/>
        <v/>
      </c>
      <c r="L85" s="2" t="str">
        <f t="shared" si="7"/>
        <v/>
      </c>
      <c r="M85" s="2" t="str">
        <f t="shared" si="8"/>
        <v/>
      </c>
      <c r="N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2">
        <v>82.0</v>
      </c>
      <c r="B86" s="2"/>
      <c r="C86" s="2"/>
      <c r="D86" s="2" t="str">
        <f>IFERROR(VLOOKUP(C86,'Catálogo Productos'!$B$3:$E$53,2,0),"")</f>
        <v/>
      </c>
      <c r="E86" s="2" t="str">
        <f>IFERROR(VLOOKUP(C86,'Catálogo Productos'!$B$3:$E$53,3,0),"")</f>
        <v/>
      </c>
      <c r="F86" s="2" t="str">
        <f>IFERROR(VLOOKUP(C86,'Catálogo Productos'!$B$3:$E$53,4,0),"")</f>
        <v/>
      </c>
      <c r="G86" s="2" t="str">
        <f>IF(F86="","",IF(I86="SÍ",F86*'Configuración'!$C$5,0))</f>
        <v/>
      </c>
      <c r="H86" s="2"/>
      <c r="I86" s="2"/>
      <c r="J86" s="2" t="str">
        <f>IF(F86="","",IF(H86="SÍ",'Configuración'!$C$6,0))</f>
        <v/>
      </c>
      <c r="K86" s="2" t="str">
        <f t="shared" si="6"/>
        <v/>
      </c>
      <c r="L86" s="2" t="str">
        <f t="shared" si="7"/>
        <v/>
      </c>
      <c r="M86" s="2" t="str">
        <f t="shared" si="8"/>
        <v/>
      </c>
      <c r="N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2">
        <v>83.0</v>
      </c>
      <c r="B87" s="2"/>
      <c r="C87" s="2"/>
      <c r="D87" s="2" t="str">
        <f>IFERROR(VLOOKUP(C87,'Catálogo Productos'!$B$3:$E$53,2,0),"")</f>
        <v/>
      </c>
      <c r="E87" s="2" t="str">
        <f>IFERROR(VLOOKUP(C87,'Catálogo Productos'!$B$3:$E$53,3,0),"")</f>
        <v/>
      </c>
      <c r="F87" s="2" t="str">
        <f>IFERROR(VLOOKUP(C87,'Catálogo Productos'!$B$3:$E$53,4,0),"")</f>
        <v/>
      </c>
      <c r="G87" s="2" t="str">
        <f>IF(F87="","",IF(I87="SÍ",F87*'Configuración'!$C$5,0))</f>
        <v/>
      </c>
      <c r="H87" s="2"/>
      <c r="I87" s="2"/>
      <c r="J87" s="2" t="str">
        <f>IF(F87="","",IF(H87="SÍ",'Configuración'!$C$6,0))</f>
        <v/>
      </c>
      <c r="K87" s="2" t="str">
        <f t="shared" si="6"/>
        <v/>
      </c>
      <c r="L87" s="2" t="str">
        <f t="shared" si="7"/>
        <v/>
      </c>
      <c r="M87" s="2" t="str">
        <f t="shared" si="8"/>
        <v/>
      </c>
      <c r="N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2">
        <v>84.0</v>
      </c>
      <c r="B88" s="2"/>
      <c r="C88" s="2"/>
      <c r="D88" s="2" t="str">
        <f>IFERROR(VLOOKUP(C88,'Catálogo Productos'!$B$3:$E$53,2,0),"")</f>
        <v/>
      </c>
      <c r="E88" s="2" t="str">
        <f>IFERROR(VLOOKUP(C88,'Catálogo Productos'!$B$3:$E$53,3,0),"")</f>
        <v/>
      </c>
      <c r="F88" s="2" t="str">
        <f>IFERROR(VLOOKUP(C88,'Catálogo Productos'!$B$3:$E$53,4,0),"")</f>
        <v/>
      </c>
      <c r="G88" s="2" t="str">
        <f>IF(F88="","",IF(I88="SÍ",F88*'Configuración'!$C$5,0))</f>
        <v/>
      </c>
      <c r="H88" s="2"/>
      <c r="I88" s="2"/>
      <c r="J88" s="2" t="str">
        <f>IF(F88="","",IF(H88="SÍ",'Configuración'!$C$6,0))</f>
        <v/>
      </c>
      <c r="K88" s="2" t="str">
        <f t="shared" si="6"/>
        <v/>
      </c>
      <c r="L88" s="2" t="str">
        <f t="shared" si="7"/>
        <v/>
      </c>
      <c r="M88" s="2" t="str">
        <f t="shared" si="8"/>
        <v/>
      </c>
      <c r="N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2">
        <v>85.0</v>
      </c>
      <c r="B89" s="2"/>
      <c r="C89" s="2"/>
      <c r="D89" s="2" t="str">
        <f>IFERROR(VLOOKUP(C89,'Catálogo Productos'!$B$3:$E$53,2,0),"")</f>
        <v/>
      </c>
      <c r="E89" s="2" t="str">
        <f>IFERROR(VLOOKUP(C89,'Catálogo Productos'!$B$3:$E$53,3,0),"")</f>
        <v/>
      </c>
      <c r="F89" s="2" t="str">
        <f>IFERROR(VLOOKUP(C89,'Catálogo Productos'!$B$3:$E$53,4,0),"")</f>
        <v/>
      </c>
      <c r="G89" s="2" t="str">
        <f>IF(F89="","",IF(I89="SÍ",F89*'Configuración'!$C$5,0))</f>
        <v/>
      </c>
      <c r="H89" s="2"/>
      <c r="I89" s="2"/>
      <c r="J89" s="2" t="str">
        <f>IF(F89="","",IF(H89="SÍ",'Configuración'!$C$6,0))</f>
        <v/>
      </c>
      <c r="K89" s="2" t="str">
        <f t="shared" si="6"/>
        <v/>
      </c>
      <c r="L89" s="2" t="str">
        <f t="shared" si="7"/>
        <v/>
      </c>
      <c r="M89" s="2" t="str">
        <f t="shared" si="8"/>
        <v/>
      </c>
      <c r="N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2">
        <v>86.0</v>
      </c>
      <c r="B90" s="2"/>
      <c r="C90" s="2"/>
      <c r="D90" s="2" t="str">
        <f>IFERROR(VLOOKUP(C90,'Catálogo Productos'!$B$3:$E$53,2,0),"")</f>
        <v/>
      </c>
      <c r="E90" s="2" t="str">
        <f>IFERROR(VLOOKUP(C90,'Catálogo Productos'!$B$3:$E$53,3,0),"")</f>
        <v/>
      </c>
      <c r="F90" s="2" t="str">
        <f>IFERROR(VLOOKUP(C90,'Catálogo Productos'!$B$3:$E$53,4,0),"")</f>
        <v/>
      </c>
      <c r="G90" s="2" t="str">
        <f>IF(F90="","",IF(I90="SÍ",F90*'Configuración'!$C$5,0))</f>
        <v/>
      </c>
      <c r="H90" s="2"/>
      <c r="I90" s="2"/>
      <c r="J90" s="2" t="str">
        <f>IF(F90="","",IF(H90="SÍ",'Configuración'!$C$6,0))</f>
        <v/>
      </c>
      <c r="K90" s="2" t="str">
        <f t="shared" si="6"/>
        <v/>
      </c>
      <c r="L90" s="2" t="str">
        <f t="shared" si="7"/>
        <v/>
      </c>
      <c r="M90" s="2" t="str">
        <f t="shared" si="8"/>
        <v/>
      </c>
      <c r="N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2">
        <v>87.0</v>
      </c>
      <c r="B91" s="2"/>
      <c r="C91" s="2"/>
      <c r="D91" s="2" t="str">
        <f>IFERROR(VLOOKUP(C91,'Catálogo Productos'!$B$3:$E$53,2,0),"")</f>
        <v/>
      </c>
      <c r="E91" s="2" t="str">
        <f>IFERROR(VLOOKUP(C91,'Catálogo Productos'!$B$3:$E$53,3,0),"")</f>
        <v/>
      </c>
      <c r="F91" s="2" t="str">
        <f>IFERROR(VLOOKUP(C91,'Catálogo Productos'!$B$3:$E$53,4,0),"")</f>
        <v/>
      </c>
      <c r="G91" s="2" t="str">
        <f>IF(F91="","",IF(I91="SÍ",F91*'Configuración'!$C$5,0))</f>
        <v/>
      </c>
      <c r="H91" s="2"/>
      <c r="I91" s="2"/>
      <c r="J91" s="2" t="str">
        <f>IF(F91="","",IF(H91="SÍ",'Configuración'!$C$6,0))</f>
        <v/>
      </c>
      <c r="K91" s="2" t="str">
        <f t="shared" si="6"/>
        <v/>
      </c>
      <c r="L91" s="2" t="str">
        <f t="shared" si="7"/>
        <v/>
      </c>
      <c r="M91" s="2" t="str">
        <f t="shared" si="8"/>
        <v/>
      </c>
      <c r="N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2">
        <v>88.0</v>
      </c>
      <c r="B92" s="2"/>
      <c r="C92" s="2"/>
      <c r="D92" s="2" t="str">
        <f>IFERROR(VLOOKUP(C92,'Catálogo Productos'!$B$3:$E$53,2,0),"")</f>
        <v/>
      </c>
      <c r="E92" s="2" t="str">
        <f>IFERROR(VLOOKUP(C92,'Catálogo Productos'!$B$3:$E$53,3,0),"")</f>
        <v/>
      </c>
      <c r="F92" s="2" t="str">
        <f>IFERROR(VLOOKUP(C92,'Catálogo Productos'!$B$3:$E$53,4,0),"")</f>
        <v/>
      </c>
      <c r="G92" s="2" t="str">
        <f>IF(F92="","",IF(I92="SÍ",F92*'Configuración'!$C$5,0))</f>
        <v/>
      </c>
      <c r="H92" s="2"/>
      <c r="I92" s="2"/>
      <c r="J92" s="2" t="str">
        <f>IF(F92="","",IF(H92="SÍ",'Configuración'!$C$6,0))</f>
        <v/>
      </c>
      <c r="K92" s="2" t="str">
        <f t="shared" si="6"/>
        <v/>
      </c>
      <c r="L92" s="2" t="str">
        <f t="shared" si="7"/>
        <v/>
      </c>
      <c r="M92" s="2" t="str">
        <f t="shared" si="8"/>
        <v/>
      </c>
      <c r="N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2">
        <v>89.0</v>
      </c>
      <c r="B93" s="2"/>
      <c r="C93" s="2"/>
      <c r="D93" s="2" t="str">
        <f>IFERROR(VLOOKUP(C93,'Catálogo Productos'!$B$3:$E$53,2,0),"")</f>
        <v/>
      </c>
      <c r="E93" s="2" t="str">
        <f>IFERROR(VLOOKUP(C93,'Catálogo Productos'!$B$3:$E$53,3,0),"")</f>
        <v/>
      </c>
      <c r="F93" s="2" t="str">
        <f>IFERROR(VLOOKUP(C93,'Catálogo Productos'!$B$3:$E$53,4,0),"")</f>
        <v/>
      </c>
      <c r="G93" s="2" t="str">
        <f>IF(F93="","",IF(I93="SÍ",F93*'Configuración'!$C$5,0))</f>
        <v/>
      </c>
      <c r="H93" s="2"/>
      <c r="I93" s="2"/>
      <c r="J93" s="2" t="str">
        <f>IF(F93="","",IF(H93="SÍ",'Configuración'!$C$6,0))</f>
        <v/>
      </c>
      <c r="K93" s="2" t="str">
        <f t="shared" si="6"/>
        <v/>
      </c>
      <c r="L93" s="2" t="str">
        <f t="shared" si="7"/>
        <v/>
      </c>
      <c r="M93" s="2" t="str">
        <f t="shared" si="8"/>
        <v/>
      </c>
      <c r="N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2">
        <v>90.0</v>
      </c>
      <c r="B94" s="2"/>
      <c r="C94" s="2"/>
      <c r="D94" s="2" t="str">
        <f>IFERROR(VLOOKUP(C94,'Catálogo Productos'!$B$3:$E$53,2,0),"")</f>
        <v/>
      </c>
      <c r="E94" s="2" t="str">
        <f>IFERROR(VLOOKUP(C94,'Catálogo Productos'!$B$3:$E$53,3,0),"")</f>
        <v/>
      </c>
      <c r="F94" s="2" t="str">
        <f>IFERROR(VLOOKUP(C94,'Catálogo Productos'!$B$3:$E$53,4,0),"")</f>
        <v/>
      </c>
      <c r="G94" s="2" t="str">
        <f>IF(F94="","",IF(I94="SÍ",F94*'Configuración'!$C$5,0))</f>
        <v/>
      </c>
      <c r="H94" s="2"/>
      <c r="I94" s="2"/>
      <c r="J94" s="2" t="str">
        <f>IF(F94="","",IF(H94="SÍ",'Configuración'!$C$6,0))</f>
        <v/>
      </c>
      <c r="K94" s="2" t="str">
        <f t="shared" si="6"/>
        <v/>
      </c>
      <c r="L94" s="2" t="str">
        <f t="shared" si="7"/>
        <v/>
      </c>
      <c r="M94" s="2" t="str">
        <f t="shared" si="8"/>
        <v/>
      </c>
      <c r="N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2">
        <v>91.0</v>
      </c>
      <c r="B95" s="2"/>
      <c r="C95" s="2"/>
      <c r="D95" s="2" t="str">
        <f>IFERROR(VLOOKUP(C95,'Catálogo Productos'!$B$3:$E$53,2,0),"")</f>
        <v/>
      </c>
      <c r="E95" s="2" t="str">
        <f>IFERROR(VLOOKUP(C95,'Catálogo Productos'!$B$3:$E$53,3,0),"")</f>
        <v/>
      </c>
      <c r="F95" s="2" t="str">
        <f>IFERROR(VLOOKUP(C95,'Catálogo Productos'!$B$3:$E$53,4,0),"")</f>
        <v/>
      </c>
      <c r="G95" s="2" t="str">
        <f>IF(F95="","",IF(I95="SÍ",F95*'Configuración'!$C$5,0))</f>
        <v/>
      </c>
      <c r="H95" s="2"/>
      <c r="I95" s="2"/>
      <c r="J95" s="2" t="str">
        <f>IF(F95="","",IF(H95="SÍ",'Configuración'!$C$6,0))</f>
        <v/>
      </c>
      <c r="K95" s="2" t="str">
        <f t="shared" si="6"/>
        <v/>
      </c>
      <c r="L95" s="2" t="str">
        <f t="shared" si="7"/>
        <v/>
      </c>
      <c r="M95" s="2" t="str">
        <f t="shared" si="8"/>
        <v/>
      </c>
      <c r="N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2">
        <v>92.0</v>
      </c>
      <c r="B96" s="2"/>
      <c r="C96" s="2"/>
      <c r="D96" s="2" t="str">
        <f>IFERROR(VLOOKUP(C96,'Catálogo Productos'!$B$3:$E$53,2,0),"")</f>
        <v/>
      </c>
      <c r="E96" s="2" t="str">
        <f>IFERROR(VLOOKUP(C96,'Catálogo Productos'!$B$3:$E$53,3,0),"")</f>
        <v/>
      </c>
      <c r="F96" s="2" t="str">
        <f>IFERROR(VLOOKUP(C96,'Catálogo Productos'!$B$3:$E$53,4,0),"")</f>
        <v/>
      </c>
      <c r="G96" s="2" t="str">
        <f>IF(F96="","",IF(I96="SÍ",F96*'Configuración'!$C$5,0))</f>
        <v/>
      </c>
      <c r="H96" s="2"/>
      <c r="I96" s="2"/>
      <c r="J96" s="2" t="str">
        <f>IF(F96="","",IF(H96="SÍ",'Configuración'!$C$6,0))</f>
        <v/>
      </c>
      <c r="K96" s="2" t="str">
        <f t="shared" si="6"/>
        <v/>
      </c>
      <c r="L96" s="2" t="str">
        <f t="shared" si="7"/>
        <v/>
      </c>
      <c r="M96" s="2" t="str">
        <f t="shared" si="8"/>
        <v/>
      </c>
      <c r="N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2">
        <v>93.0</v>
      </c>
      <c r="B97" s="2"/>
      <c r="C97" s="2"/>
      <c r="D97" s="2" t="str">
        <f>IFERROR(VLOOKUP(C97,'Catálogo Productos'!$B$3:$E$53,2,0),"")</f>
        <v/>
      </c>
      <c r="E97" s="2" t="str">
        <f>IFERROR(VLOOKUP(C97,'Catálogo Productos'!$B$3:$E$53,3,0),"")</f>
        <v/>
      </c>
      <c r="F97" s="2" t="str">
        <f>IFERROR(VLOOKUP(C97,'Catálogo Productos'!$B$3:$E$53,4,0),"")</f>
        <v/>
      </c>
      <c r="G97" s="2" t="str">
        <f>IF(F97="","",IF(I97="SÍ",F97*'Configuración'!$C$5,0))</f>
        <v/>
      </c>
      <c r="H97" s="2"/>
      <c r="I97" s="2"/>
      <c r="J97" s="2" t="str">
        <f>IF(F97="","",IF(H97="SÍ",'Configuración'!$C$6,0))</f>
        <v/>
      </c>
      <c r="K97" s="2" t="str">
        <f t="shared" si="6"/>
        <v/>
      </c>
      <c r="L97" s="2" t="str">
        <f t="shared" si="7"/>
        <v/>
      </c>
      <c r="M97" s="2" t="str">
        <f t="shared" si="8"/>
        <v/>
      </c>
      <c r="N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2">
        <v>94.0</v>
      </c>
      <c r="B98" s="2"/>
      <c r="C98" s="2"/>
      <c r="D98" s="2" t="str">
        <f>IFERROR(VLOOKUP(C98,'Catálogo Productos'!$B$3:$E$53,2,0),"")</f>
        <v/>
      </c>
      <c r="E98" s="2" t="str">
        <f>IFERROR(VLOOKUP(C98,'Catálogo Productos'!$B$3:$E$53,3,0),"")</f>
        <v/>
      </c>
      <c r="F98" s="2" t="str">
        <f>IFERROR(VLOOKUP(C98,'Catálogo Productos'!$B$3:$E$53,4,0),"")</f>
        <v/>
      </c>
      <c r="G98" s="2" t="str">
        <f>IF(F98="","",IF(I98="SÍ",F98*'Configuración'!$C$5,0))</f>
        <v/>
      </c>
      <c r="H98" s="2"/>
      <c r="I98" s="2"/>
      <c r="J98" s="2" t="str">
        <f>IF(F98="","",IF(H98="SÍ",'Configuración'!$C$6,0))</f>
        <v/>
      </c>
      <c r="K98" s="2" t="str">
        <f t="shared" si="6"/>
        <v/>
      </c>
      <c r="L98" s="2" t="str">
        <f t="shared" si="7"/>
        <v/>
      </c>
      <c r="M98" s="2" t="str">
        <f t="shared" si="8"/>
        <v/>
      </c>
      <c r="N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2">
        <v>95.0</v>
      </c>
      <c r="B99" s="2"/>
      <c r="C99" s="2"/>
      <c r="D99" s="2" t="str">
        <f>IFERROR(VLOOKUP(C99,'Catálogo Productos'!$B$3:$E$53,2,0),"")</f>
        <v/>
      </c>
      <c r="E99" s="2" t="str">
        <f>IFERROR(VLOOKUP(C99,'Catálogo Productos'!$B$3:$E$53,3,0),"")</f>
        <v/>
      </c>
      <c r="F99" s="2" t="str">
        <f>IFERROR(VLOOKUP(C99,'Catálogo Productos'!$B$3:$E$53,4,0),"")</f>
        <v/>
      </c>
      <c r="G99" s="2" t="str">
        <f>IF(F99="","",IF(I99="SÍ",F99*'Configuración'!$C$5,0))</f>
        <v/>
      </c>
      <c r="H99" s="2"/>
      <c r="I99" s="2"/>
      <c r="J99" s="2" t="str">
        <f>IF(F99="","",IF(H99="SÍ",'Configuración'!$C$6,0))</f>
        <v/>
      </c>
      <c r="K99" s="2" t="str">
        <f t="shared" si="6"/>
        <v/>
      </c>
      <c r="L99" s="2" t="str">
        <f t="shared" si="7"/>
        <v/>
      </c>
      <c r="M99" s="2" t="str">
        <f t="shared" si="8"/>
        <v/>
      </c>
      <c r="N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2">
        <v>96.0</v>
      </c>
      <c r="B100" s="2"/>
      <c r="C100" s="2"/>
      <c r="D100" s="2" t="str">
        <f>IFERROR(VLOOKUP(C100,'Catálogo Productos'!$B$3:$E$53,2,0),"")</f>
        <v/>
      </c>
      <c r="E100" s="2" t="str">
        <f>IFERROR(VLOOKUP(C100,'Catálogo Productos'!$B$3:$E$53,3,0),"")</f>
        <v/>
      </c>
      <c r="F100" s="2" t="str">
        <f>IFERROR(VLOOKUP(C100,'Catálogo Productos'!$B$3:$E$53,4,0),"")</f>
        <v/>
      </c>
      <c r="G100" s="2" t="str">
        <f>IF(F100="","",IF(I100="SÍ",F100*'Configuración'!$C$5,0))</f>
        <v/>
      </c>
      <c r="H100" s="2"/>
      <c r="I100" s="2"/>
      <c r="J100" s="2" t="str">
        <f>IF(F100="","",IF(H100="SÍ",'Configuración'!$C$6,0))</f>
        <v/>
      </c>
      <c r="K100" s="2" t="str">
        <f t="shared" si="6"/>
        <v/>
      </c>
      <c r="L100" s="2" t="str">
        <f t="shared" si="7"/>
        <v/>
      </c>
      <c r="M100" s="2" t="str">
        <f t="shared" si="8"/>
        <v/>
      </c>
      <c r="N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2">
        <v>97.0</v>
      </c>
      <c r="B101" s="2"/>
      <c r="C101" s="2"/>
      <c r="D101" s="2" t="str">
        <f>IFERROR(VLOOKUP(C101,'Catálogo Productos'!$B$3:$E$53,2,0),"")</f>
        <v/>
      </c>
      <c r="E101" s="2" t="str">
        <f>IFERROR(VLOOKUP(C101,'Catálogo Productos'!$B$3:$E$53,3,0),"")</f>
        <v/>
      </c>
      <c r="F101" s="2" t="str">
        <f>IFERROR(VLOOKUP(C101,'Catálogo Productos'!$B$3:$E$53,4,0),"")</f>
        <v/>
      </c>
      <c r="G101" s="2" t="str">
        <f>IF(F101="","",IF(I101="SÍ",F101*'Configuración'!$C$5,0))</f>
        <v/>
      </c>
      <c r="H101" s="2"/>
      <c r="I101" s="2"/>
      <c r="J101" s="2" t="str">
        <f>IF(F101="","",IF(H101="SÍ",'Configuración'!$C$6,0))</f>
        <v/>
      </c>
      <c r="K101" s="2" t="str">
        <f t="shared" si="6"/>
        <v/>
      </c>
      <c r="L101" s="2" t="str">
        <f t="shared" si="7"/>
        <v/>
      </c>
      <c r="M101" s="2" t="str">
        <f t="shared" si="8"/>
        <v/>
      </c>
      <c r="N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2">
        <v>98.0</v>
      </c>
      <c r="B102" s="2"/>
      <c r="C102" s="2"/>
      <c r="D102" s="2" t="str">
        <f>IFERROR(VLOOKUP(C102,'Catálogo Productos'!$B$3:$E$53,2,0),"")</f>
        <v/>
      </c>
      <c r="E102" s="2" t="str">
        <f>IFERROR(VLOOKUP(C102,'Catálogo Productos'!$B$3:$E$53,3,0),"")</f>
        <v/>
      </c>
      <c r="F102" s="2" t="str">
        <f>IFERROR(VLOOKUP(C102,'Catálogo Productos'!$B$3:$E$53,4,0),"")</f>
        <v/>
      </c>
      <c r="G102" s="2" t="str">
        <f>IF(F102="","",IF(I102="SÍ",F102*'Configuración'!$C$5,0))</f>
        <v/>
      </c>
      <c r="H102" s="2"/>
      <c r="I102" s="2"/>
      <c r="J102" s="2" t="str">
        <f>IF(F102="","",IF(H102="SÍ",'Configuración'!$C$6,0))</f>
        <v/>
      </c>
      <c r="K102" s="2" t="str">
        <f t="shared" si="6"/>
        <v/>
      </c>
      <c r="L102" s="2" t="str">
        <f t="shared" si="7"/>
        <v/>
      </c>
      <c r="M102" s="2" t="str">
        <f t="shared" si="8"/>
        <v/>
      </c>
      <c r="N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>
      <c r="A103" s="2">
        <v>99.0</v>
      </c>
      <c r="B103" s="2"/>
      <c r="C103" s="2"/>
      <c r="D103" s="2" t="str">
        <f>IFERROR(VLOOKUP(C103,'Catálogo Productos'!$B$3:$E$53,2,0),"")</f>
        <v/>
      </c>
      <c r="E103" s="2" t="str">
        <f>IFERROR(VLOOKUP(C103,'Catálogo Productos'!$B$3:$E$53,3,0),"")</f>
        <v/>
      </c>
      <c r="F103" s="2" t="str">
        <f>IFERROR(VLOOKUP(C103,'Catálogo Productos'!$B$3:$E$53,4,0),"")</f>
        <v/>
      </c>
      <c r="G103" s="2" t="str">
        <f>IF(F103="","",IF(I103="SÍ",F103*'Configuración'!$C$5,0))</f>
        <v/>
      </c>
      <c r="H103" s="2"/>
      <c r="I103" s="2"/>
      <c r="J103" s="2" t="str">
        <f>IF(F103="","",IF(H103="SÍ",'Configuración'!$C$6,0))</f>
        <v/>
      </c>
      <c r="K103" s="2" t="str">
        <f t="shared" si="6"/>
        <v/>
      </c>
      <c r="L103" s="2" t="str">
        <f t="shared" si="7"/>
        <v/>
      </c>
      <c r="M103" s="2" t="str">
        <f t="shared" si="8"/>
        <v/>
      </c>
      <c r="N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customHeight="1">
      <c r="A104" s="2">
        <v>100.0</v>
      </c>
      <c r="B104" s="2"/>
      <c r="C104" s="2"/>
      <c r="D104" s="2" t="str">
        <f>IFERROR(VLOOKUP(C104,'Catálogo Productos'!$B$3:$E$53,2,0),"")</f>
        <v/>
      </c>
      <c r="E104" s="2" t="str">
        <f>IFERROR(VLOOKUP(C104,'Catálogo Productos'!$B$3:$E$53,3,0),"")</f>
        <v/>
      </c>
      <c r="F104" s="2" t="str">
        <f>IFERROR(VLOOKUP(C104,'Catálogo Productos'!$B$3:$E$53,4,0),"")</f>
        <v/>
      </c>
      <c r="G104" s="2" t="str">
        <f>IF(F104="","",IF(I104="SÍ",F104*'Configuración'!$C$5,0))</f>
        <v/>
      </c>
      <c r="H104" s="2"/>
      <c r="I104" s="2"/>
      <c r="J104" s="2" t="str">
        <f>IF(F104="","",IF(H104="SÍ",'Configuración'!$C$6,0))</f>
        <v/>
      </c>
      <c r="K104" s="2" t="str">
        <f t="shared" si="6"/>
        <v/>
      </c>
      <c r="L104" s="2" t="str">
        <f t="shared" si="7"/>
        <v/>
      </c>
      <c r="M104" s="2" t="str">
        <f t="shared" si="8"/>
        <v/>
      </c>
      <c r="N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>
      <c r="A105" s="2">
        <v>101.0</v>
      </c>
      <c r="B105" s="2"/>
      <c r="C105" s="2"/>
      <c r="D105" s="2" t="str">
        <f>IFERROR(VLOOKUP(C105,'Catálogo Productos'!$B$3:$E$53,2,0),"")</f>
        <v/>
      </c>
      <c r="E105" s="2" t="str">
        <f>IFERROR(VLOOKUP(C105,'Catálogo Productos'!$B$3:$E$53,3,0),"")</f>
        <v/>
      </c>
      <c r="F105" s="2" t="str">
        <f>IFERROR(VLOOKUP(C105,'Catálogo Productos'!$B$3:$E$53,4,0),"")</f>
        <v/>
      </c>
      <c r="G105" s="2" t="str">
        <f>IF(F105="","",IF(I105="SÍ",F105*'Configuración'!$C$5,0))</f>
        <v/>
      </c>
      <c r="H105" s="2"/>
      <c r="I105" s="2"/>
      <c r="J105" s="2" t="str">
        <f>IF(F105="","",IF(H105="SÍ",'Configuración'!$C$6,0))</f>
        <v/>
      </c>
      <c r="K105" s="2" t="str">
        <f t="shared" si="6"/>
        <v/>
      </c>
      <c r="L105" s="2" t="str">
        <f t="shared" si="7"/>
        <v/>
      </c>
      <c r="M105" s="2" t="str">
        <f t="shared" si="8"/>
        <v/>
      </c>
      <c r="N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>
      <c r="A106" s="2">
        <v>102.0</v>
      </c>
      <c r="B106" s="2"/>
      <c r="C106" s="2"/>
      <c r="D106" s="2" t="str">
        <f>IFERROR(VLOOKUP(C106,'Catálogo Productos'!$B$3:$E$53,2,0),"")</f>
        <v/>
      </c>
      <c r="E106" s="2" t="str">
        <f>IFERROR(VLOOKUP(C106,'Catálogo Productos'!$B$3:$E$53,3,0),"")</f>
        <v/>
      </c>
      <c r="F106" s="2" t="str">
        <f>IFERROR(VLOOKUP(C106,'Catálogo Productos'!$B$3:$E$53,4,0),"")</f>
        <v/>
      </c>
      <c r="G106" s="2" t="str">
        <f>IF(F106="","",IF(I106="SÍ",F106*'Configuración'!$C$5,0))</f>
        <v/>
      </c>
      <c r="H106" s="2"/>
      <c r="I106" s="2"/>
      <c r="J106" s="2" t="str">
        <f>IF(F106="","",IF(H106="SÍ",'Configuración'!$C$6,0))</f>
        <v/>
      </c>
      <c r="K106" s="2" t="str">
        <f t="shared" si="6"/>
        <v/>
      </c>
      <c r="L106" s="2" t="str">
        <f t="shared" si="7"/>
        <v/>
      </c>
      <c r="M106" s="2" t="str">
        <f t="shared" si="8"/>
        <v/>
      </c>
      <c r="N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customHeight="1">
      <c r="A107" s="2">
        <v>103.0</v>
      </c>
      <c r="B107" s="2"/>
      <c r="C107" s="2"/>
      <c r="D107" s="2" t="str">
        <f>IFERROR(VLOOKUP(C107,'Catálogo Productos'!$B$3:$E$53,2,0),"")</f>
        <v/>
      </c>
      <c r="E107" s="2" t="str">
        <f>IFERROR(VLOOKUP(C107,'Catálogo Productos'!$B$3:$E$53,3,0),"")</f>
        <v/>
      </c>
      <c r="F107" s="2" t="str">
        <f>IFERROR(VLOOKUP(C107,'Catálogo Productos'!$B$3:$E$53,4,0),"")</f>
        <v/>
      </c>
      <c r="G107" s="2" t="str">
        <f>IF(F107="","",IF(I107="SÍ",F107*'Configuración'!$C$5,0))</f>
        <v/>
      </c>
      <c r="H107" s="2"/>
      <c r="I107" s="2"/>
      <c r="J107" s="2" t="str">
        <f>IF(F107="","",IF(H107="SÍ",'Configuración'!$C$6,0))</f>
        <v/>
      </c>
      <c r="K107" s="2" t="str">
        <f t="shared" si="6"/>
        <v/>
      </c>
      <c r="L107" s="2" t="str">
        <f t="shared" si="7"/>
        <v/>
      </c>
      <c r="M107" s="2" t="str">
        <f t="shared" si="8"/>
        <v/>
      </c>
      <c r="N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>
      <c r="A108" s="2">
        <v>104.0</v>
      </c>
      <c r="B108" s="2"/>
      <c r="C108" s="2"/>
      <c r="D108" s="2" t="str">
        <f>IFERROR(VLOOKUP(C108,'Catálogo Productos'!$B$3:$E$53,2,0),"")</f>
        <v/>
      </c>
      <c r="E108" s="2" t="str">
        <f>IFERROR(VLOOKUP(C108,'Catálogo Productos'!$B$3:$E$53,3,0),"")</f>
        <v/>
      </c>
      <c r="F108" s="2" t="str">
        <f>IFERROR(VLOOKUP(C108,'Catálogo Productos'!$B$3:$E$53,4,0),"")</f>
        <v/>
      </c>
      <c r="G108" s="2" t="str">
        <f>IF(F108="","",IF(I108="SÍ",F108*'Configuración'!$C$5,0))</f>
        <v/>
      </c>
      <c r="H108" s="2"/>
      <c r="I108" s="2"/>
      <c r="J108" s="2" t="str">
        <f>IF(F108="","",IF(H108="SÍ",'Configuración'!$C$6,0))</f>
        <v/>
      </c>
      <c r="K108" s="2" t="str">
        <f t="shared" si="6"/>
        <v/>
      </c>
      <c r="L108" s="2" t="str">
        <f t="shared" si="7"/>
        <v/>
      </c>
      <c r="M108" s="2" t="str">
        <f t="shared" si="8"/>
        <v/>
      </c>
      <c r="N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customHeight="1">
      <c r="A109" s="2">
        <v>105.0</v>
      </c>
      <c r="B109" s="2"/>
      <c r="C109" s="2"/>
      <c r="D109" s="2" t="str">
        <f>IFERROR(VLOOKUP(C109,'Catálogo Productos'!$B$3:$E$53,2,0),"")</f>
        <v/>
      </c>
      <c r="E109" s="2" t="str">
        <f>IFERROR(VLOOKUP(C109,'Catálogo Productos'!$B$3:$E$53,3,0),"")</f>
        <v/>
      </c>
      <c r="F109" s="2" t="str">
        <f>IFERROR(VLOOKUP(C109,'Catálogo Productos'!$B$3:$E$53,4,0),"")</f>
        <v/>
      </c>
      <c r="G109" s="2" t="str">
        <f>IF(F109="","",IF(I109="SÍ",F109*'Configuración'!$C$5,0))</f>
        <v/>
      </c>
      <c r="H109" s="2"/>
      <c r="I109" s="2"/>
      <c r="J109" s="2" t="str">
        <f>IF(F109="","",IF(H109="SÍ",'Configuración'!$C$6,0))</f>
        <v/>
      </c>
      <c r="K109" s="2" t="str">
        <f t="shared" si="6"/>
        <v/>
      </c>
      <c r="L109" s="2" t="str">
        <f t="shared" si="7"/>
        <v/>
      </c>
      <c r="M109" s="2" t="str">
        <f t="shared" si="8"/>
        <v/>
      </c>
      <c r="N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customHeight="1">
      <c r="A110" s="2">
        <v>106.0</v>
      </c>
      <c r="B110" s="2"/>
      <c r="C110" s="2"/>
      <c r="D110" s="2" t="str">
        <f>IFERROR(VLOOKUP(C110,'Catálogo Productos'!$B$3:$E$53,2,0),"")</f>
        <v/>
      </c>
      <c r="E110" s="2" t="str">
        <f>IFERROR(VLOOKUP(C110,'Catálogo Productos'!$B$3:$E$53,3,0),"")</f>
        <v/>
      </c>
      <c r="F110" s="2" t="str">
        <f>IFERROR(VLOOKUP(C110,'Catálogo Productos'!$B$3:$E$53,4,0),"")</f>
        <v/>
      </c>
      <c r="G110" s="2" t="str">
        <f>IF(F110="","",IF(I110="SÍ",F110*'Configuración'!$C$5,0))</f>
        <v/>
      </c>
      <c r="H110" s="2"/>
      <c r="I110" s="2"/>
      <c r="J110" s="2" t="str">
        <f>IF(F110="","",IF(H110="SÍ",'Configuración'!$C$6,0))</f>
        <v/>
      </c>
      <c r="K110" s="2" t="str">
        <f t="shared" si="6"/>
        <v/>
      </c>
      <c r="L110" s="2" t="str">
        <f t="shared" si="7"/>
        <v/>
      </c>
      <c r="M110" s="2" t="str">
        <f t="shared" si="8"/>
        <v/>
      </c>
      <c r="N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>
      <c r="A111" s="2">
        <v>107.0</v>
      </c>
      <c r="B111" s="2"/>
      <c r="C111" s="2"/>
      <c r="D111" s="2" t="str">
        <f>IFERROR(VLOOKUP(C111,'Catálogo Productos'!$B$3:$E$53,2,0),"")</f>
        <v/>
      </c>
      <c r="E111" s="2" t="str">
        <f>IFERROR(VLOOKUP(C111,'Catálogo Productos'!$B$3:$E$53,3,0),"")</f>
        <v/>
      </c>
      <c r="F111" s="2" t="str">
        <f>IFERROR(VLOOKUP(C111,'Catálogo Productos'!$B$3:$E$53,4,0),"")</f>
        <v/>
      </c>
      <c r="G111" s="2" t="str">
        <f>IF(F111="","",IF(I111="SÍ",F111*'Configuración'!$C$5,0))</f>
        <v/>
      </c>
      <c r="H111" s="2"/>
      <c r="I111" s="2"/>
      <c r="J111" s="2" t="str">
        <f>IF(F111="","",IF(H111="SÍ",'Configuración'!$C$6,0))</f>
        <v/>
      </c>
      <c r="K111" s="2" t="str">
        <f t="shared" si="6"/>
        <v/>
      </c>
      <c r="L111" s="2" t="str">
        <f t="shared" si="7"/>
        <v/>
      </c>
      <c r="M111" s="2" t="str">
        <f t="shared" si="8"/>
        <v/>
      </c>
      <c r="N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>
      <c r="A112" s="2">
        <v>108.0</v>
      </c>
      <c r="B112" s="2"/>
      <c r="C112" s="2"/>
      <c r="D112" s="2" t="str">
        <f>IFERROR(VLOOKUP(C112,'Catálogo Productos'!$B$3:$E$53,2,0),"")</f>
        <v/>
      </c>
      <c r="E112" s="2" t="str">
        <f>IFERROR(VLOOKUP(C112,'Catálogo Productos'!$B$3:$E$53,3,0),"")</f>
        <v/>
      </c>
      <c r="F112" s="2" t="str">
        <f>IFERROR(VLOOKUP(C112,'Catálogo Productos'!$B$3:$E$53,4,0),"")</f>
        <v/>
      </c>
      <c r="G112" s="2" t="str">
        <f>IF(F112="","",IF(I112="SÍ",F112*'Configuración'!$C$5,0))</f>
        <v/>
      </c>
      <c r="H112" s="2"/>
      <c r="I112" s="2"/>
      <c r="J112" s="2" t="str">
        <f>IF(F112="","",IF(H112="SÍ",'Configuración'!$C$6,0))</f>
        <v/>
      </c>
      <c r="K112" s="2" t="str">
        <f t="shared" si="6"/>
        <v/>
      </c>
      <c r="L112" s="2" t="str">
        <f t="shared" si="7"/>
        <v/>
      </c>
      <c r="M112" s="2" t="str">
        <f t="shared" si="8"/>
        <v/>
      </c>
      <c r="N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customHeight="1">
      <c r="A113" s="2">
        <v>109.0</v>
      </c>
      <c r="B113" s="2"/>
      <c r="C113" s="2"/>
      <c r="D113" s="2" t="str">
        <f>IFERROR(VLOOKUP(C113,'Catálogo Productos'!$B$3:$E$53,2,0),"")</f>
        <v/>
      </c>
      <c r="E113" s="2" t="str">
        <f>IFERROR(VLOOKUP(C113,'Catálogo Productos'!$B$3:$E$53,3,0),"")</f>
        <v/>
      </c>
      <c r="F113" s="2" t="str">
        <f>IFERROR(VLOOKUP(C113,'Catálogo Productos'!$B$3:$E$53,4,0),"")</f>
        <v/>
      </c>
      <c r="G113" s="2" t="str">
        <f>IF(F113="","",IF(I113="SÍ",F113*'Configuración'!$C$5,0))</f>
        <v/>
      </c>
      <c r="H113" s="2"/>
      <c r="I113" s="2"/>
      <c r="J113" s="2" t="str">
        <f>IF(F113="","",IF(H113="SÍ",'Configuración'!$C$6,0))</f>
        <v/>
      </c>
      <c r="K113" s="2" t="str">
        <f t="shared" si="6"/>
        <v/>
      </c>
      <c r="L113" s="2" t="str">
        <f t="shared" si="7"/>
        <v/>
      </c>
      <c r="M113" s="2" t="str">
        <f t="shared" si="8"/>
        <v/>
      </c>
      <c r="N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>
      <c r="A114" s="2">
        <v>110.0</v>
      </c>
      <c r="B114" s="2"/>
      <c r="C114" s="2"/>
      <c r="D114" s="2" t="str">
        <f>IFERROR(VLOOKUP(C114,'Catálogo Productos'!$B$3:$E$53,2,0),"")</f>
        <v/>
      </c>
      <c r="E114" s="2" t="str">
        <f>IFERROR(VLOOKUP(C114,'Catálogo Productos'!$B$3:$E$53,3,0),"")</f>
        <v/>
      </c>
      <c r="F114" s="2" t="str">
        <f>IFERROR(VLOOKUP(C114,'Catálogo Productos'!$B$3:$E$53,4,0),"")</f>
        <v/>
      </c>
      <c r="G114" s="2" t="str">
        <f>IF(F114="","",IF(I114="SÍ",F114*'Configuración'!$C$5,0))</f>
        <v/>
      </c>
      <c r="H114" s="2"/>
      <c r="I114" s="2"/>
      <c r="J114" s="2" t="str">
        <f>IF(F114="","",IF(H114="SÍ",'Configuración'!$C$6,0))</f>
        <v/>
      </c>
      <c r="K114" s="2" t="str">
        <f t="shared" si="6"/>
        <v/>
      </c>
      <c r="L114" s="2" t="str">
        <f t="shared" si="7"/>
        <v/>
      </c>
      <c r="M114" s="2" t="str">
        <f t="shared" si="8"/>
        <v/>
      </c>
      <c r="N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>
      <c r="A115" s="2">
        <v>111.0</v>
      </c>
      <c r="B115" s="2"/>
      <c r="C115" s="2"/>
      <c r="D115" s="2" t="str">
        <f>IFERROR(VLOOKUP(C115,'Catálogo Productos'!$B$3:$E$53,2,0),"")</f>
        <v/>
      </c>
      <c r="E115" s="2" t="str">
        <f>IFERROR(VLOOKUP(C115,'Catálogo Productos'!$B$3:$E$53,3,0),"")</f>
        <v/>
      </c>
      <c r="F115" s="2" t="str">
        <f>IFERROR(VLOOKUP(C115,'Catálogo Productos'!$B$3:$E$53,4,0),"")</f>
        <v/>
      </c>
      <c r="G115" s="2" t="str">
        <f>IF(F115="","",IF(I115="SÍ",F115*'Configuración'!$C$5,0))</f>
        <v/>
      </c>
      <c r="H115" s="2"/>
      <c r="I115" s="2"/>
      <c r="J115" s="2" t="str">
        <f>IF(F115="","",IF(H115="SÍ",'Configuración'!$C$6,0))</f>
        <v/>
      </c>
      <c r="K115" s="2" t="str">
        <f t="shared" si="6"/>
        <v/>
      </c>
      <c r="L115" s="2" t="str">
        <f t="shared" si="7"/>
        <v/>
      </c>
      <c r="M115" s="2" t="str">
        <f t="shared" si="8"/>
        <v/>
      </c>
      <c r="N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>
      <c r="A116" s="2">
        <v>112.0</v>
      </c>
      <c r="B116" s="2"/>
      <c r="C116" s="2"/>
      <c r="D116" s="2" t="str">
        <f>IFERROR(VLOOKUP(C116,'Catálogo Productos'!$B$3:$E$53,2,0),"")</f>
        <v/>
      </c>
      <c r="E116" s="2" t="str">
        <f>IFERROR(VLOOKUP(C116,'Catálogo Productos'!$B$3:$E$53,3,0),"")</f>
        <v/>
      </c>
      <c r="F116" s="2" t="str">
        <f>IFERROR(VLOOKUP(C116,'Catálogo Productos'!$B$3:$E$53,4,0),"")</f>
        <v/>
      </c>
      <c r="G116" s="2" t="str">
        <f>IF(F116="","",IF(I116="SÍ",F116*'Configuración'!$C$5,0))</f>
        <v/>
      </c>
      <c r="H116" s="2"/>
      <c r="I116" s="2"/>
      <c r="J116" s="2" t="str">
        <f>IF(F116="","",IF(H116="SÍ",'Configuración'!$C$6,0))</f>
        <v/>
      </c>
      <c r="K116" s="2" t="str">
        <f t="shared" si="6"/>
        <v/>
      </c>
      <c r="L116" s="2" t="str">
        <f t="shared" si="7"/>
        <v/>
      </c>
      <c r="M116" s="2" t="str">
        <f t="shared" si="8"/>
        <v/>
      </c>
      <c r="N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>
      <c r="A117" s="2">
        <v>113.0</v>
      </c>
      <c r="B117" s="2"/>
      <c r="C117" s="2"/>
      <c r="D117" s="2" t="str">
        <f>IFERROR(VLOOKUP(C117,'Catálogo Productos'!$B$3:$E$53,2,0),"")</f>
        <v/>
      </c>
      <c r="E117" s="2" t="str">
        <f>IFERROR(VLOOKUP(C117,'Catálogo Productos'!$B$3:$E$53,3,0),"")</f>
        <v/>
      </c>
      <c r="F117" s="2" t="str">
        <f>IFERROR(VLOOKUP(C117,'Catálogo Productos'!$B$3:$E$53,4,0),"")</f>
        <v/>
      </c>
      <c r="G117" s="2" t="str">
        <f>IF(F117="","",IF(I117="SÍ",F117*'Configuración'!$C$5,0))</f>
        <v/>
      </c>
      <c r="H117" s="2"/>
      <c r="I117" s="2"/>
      <c r="J117" s="2" t="str">
        <f>IF(F117="","",IF(H117="SÍ",'Configuración'!$C$6,0))</f>
        <v/>
      </c>
      <c r="K117" s="2" t="str">
        <f t="shared" si="6"/>
        <v/>
      </c>
      <c r="L117" s="2" t="str">
        <f t="shared" si="7"/>
        <v/>
      </c>
      <c r="M117" s="2" t="str">
        <f t="shared" si="8"/>
        <v/>
      </c>
      <c r="N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2">
        <v>114.0</v>
      </c>
      <c r="B118" s="2"/>
      <c r="C118" s="2"/>
      <c r="D118" s="2" t="str">
        <f>IFERROR(VLOOKUP(C118,'Catálogo Productos'!$B$3:$E$53,2,0),"")</f>
        <v/>
      </c>
      <c r="E118" s="2" t="str">
        <f>IFERROR(VLOOKUP(C118,'Catálogo Productos'!$B$3:$E$53,3,0),"")</f>
        <v/>
      </c>
      <c r="F118" s="2" t="str">
        <f>IFERROR(VLOOKUP(C118,'Catálogo Productos'!$B$3:$E$53,4,0),"")</f>
        <v/>
      </c>
      <c r="G118" s="2" t="str">
        <f>IF(F118="","",IF(I118="SÍ",F118*'Configuración'!$C$5,0))</f>
        <v/>
      </c>
      <c r="H118" s="2"/>
      <c r="I118" s="2"/>
      <c r="J118" s="2" t="str">
        <f>IF(F118="","",IF(H118="SÍ",'Configuración'!$C$6,0))</f>
        <v/>
      </c>
      <c r="K118" s="2" t="str">
        <f t="shared" si="6"/>
        <v/>
      </c>
      <c r="L118" s="2" t="str">
        <f t="shared" si="7"/>
        <v/>
      </c>
      <c r="M118" s="2" t="str">
        <f t="shared" si="8"/>
        <v/>
      </c>
      <c r="N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>
      <c r="A119" s="2">
        <v>115.0</v>
      </c>
      <c r="B119" s="2"/>
      <c r="C119" s="2"/>
      <c r="D119" s="2" t="str">
        <f>IFERROR(VLOOKUP(C119,'Catálogo Productos'!$B$3:$E$53,2,0),"")</f>
        <v/>
      </c>
      <c r="E119" s="2" t="str">
        <f>IFERROR(VLOOKUP(C119,'Catálogo Productos'!$B$3:$E$53,3,0),"")</f>
        <v/>
      </c>
      <c r="F119" s="2" t="str">
        <f>IFERROR(VLOOKUP(C119,'Catálogo Productos'!$B$3:$E$53,4,0),"")</f>
        <v/>
      </c>
      <c r="G119" s="2" t="str">
        <f>IF(F119="","",IF(I119="SÍ",F119*'Configuración'!$C$5,0))</f>
        <v/>
      </c>
      <c r="H119" s="2"/>
      <c r="I119" s="2"/>
      <c r="J119" s="2" t="str">
        <f>IF(F119="","",IF(H119="SÍ",'Configuración'!$C$6,0))</f>
        <v/>
      </c>
      <c r="K119" s="2" t="str">
        <f t="shared" si="6"/>
        <v/>
      </c>
      <c r="L119" s="2" t="str">
        <f t="shared" si="7"/>
        <v/>
      </c>
      <c r="M119" s="2" t="str">
        <f t="shared" si="8"/>
        <v/>
      </c>
      <c r="N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2">
        <v>116.0</v>
      </c>
      <c r="B120" s="2"/>
      <c r="C120" s="2"/>
      <c r="D120" s="2" t="str">
        <f>IFERROR(VLOOKUP(C120,'Catálogo Productos'!$B$3:$E$53,2,0),"")</f>
        <v/>
      </c>
      <c r="E120" s="2" t="str">
        <f>IFERROR(VLOOKUP(C120,'Catálogo Productos'!$B$3:$E$53,3,0),"")</f>
        <v/>
      </c>
      <c r="F120" s="2" t="str">
        <f>IFERROR(VLOOKUP(C120,'Catálogo Productos'!$B$3:$E$53,4,0),"")</f>
        <v/>
      </c>
      <c r="G120" s="2" t="str">
        <f>IF(F120="","",IF(I120="SÍ",F120*'Configuración'!$C$5,0))</f>
        <v/>
      </c>
      <c r="H120" s="2"/>
      <c r="I120" s="2"/>
      <c r="J120" s="2" t="str">
        <f>IF(F120="","",IF(H120="SÍ",'Configuración'!$C$6,0))</f>
        <v/>
      </c>
      <c r="K120" s="2" t="str">
        <f t="shared" si="6"/>
        <v/>
      </c>
      <c r="L120" s="2" t="str">
        <f t="shared" si="7"/>
        <v/>
      </c>
      <c r="M120" s="2" t="str">
        <f t="shared" si="8"/>
        <v/>
      </c>
      <c r="N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2">
        <v>117.0</v>
      </c>
      <c r="B121" s="2"/>
      <c r="C121" s="2"/>
      <c r="D121" s="2" t="str">
        <f>IFERROR(VLOOKUP(C121,'Catálogo Productos'!$B$3:$E$53,2,0),"")</f>
        <v/>
      </c>
      <c r="E121" s="2" t="str">
        <f>IFERROR(VLOOKUP(C121,'Catálogo Productos'!$B$3:$E$53,3,0),"")</f>
        <v/>
      </c>
      <c r="F121" s="2" t="str">
        <f>IFERROR(VLOOKUP(C121,'Catálogo Productos'!$B$3:$E$53,4,0),"")</f>
        <v/>
      </c>
      <c r="G121" s="2" t="str">
        <f>IF(F121="","",IF(I121="SÍ",F121*'Configuración'!$C$5,0))</f>
        <v/>
      </c>
      <c r="H121" s="2"/>
      <c r="I121" s="2"/>
      <c r="J121" s="2" t="str">
        <f>IF(F121="","",IF(H121="SÍ",'Configuración'!$C$6,0))</f>
        <v/>
      </c>
      <c r="K121" s="2" t="str">
        <f t="shared" si="6"/>
        <v/>
      </c>
      <c r="L121" s="2" t="str">
        <f t="shared" si="7"/>
        <v/>
      </c>
      <c r="M121" s="2" t="str">
        <f t="shared" si="8"/>
        <v/>
      </c>
      <c r="N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>
      <c r="A122" s="2">
        <v>118.0</v>
      </c>
      <c r="B122" s="2"/>
      <c r="C122" s="2"/>
      <c r="D122" s="2" t="str">
        <f>IFERROR(VLOOKUP(C122,'Catálogo Productos'!$B$3:$E$53,2,0),"")</f>
        <v/>
      </c>
      <c r="E122" s="2" t="str">
        <f>IFERROR(VLOOKUP(C122,'Catálogo Productos'!$B$3:$E$53,3,0),"")</f>
        <v/>
      </c>
      <c r="F122" s="2" t="str">
        <f>IFERROR(VLOOKUP(C122,'Catálogo Productos'!$B$3:$E$53,4,0),"")</f>
        <v/>
      </c>
      <c r="G122" s="2" t="str">
        <f>IF(F122="","",IF(I122="SÍ",F122*'Configuración'!$C$5,0))</f>
        <v/>
      </c>
      <c r="H122" s="2"/>
      <c r="I122" s="2"/>
      <c r="J122" s="2" t="str">
        <f>IF(F122="","",IF(H122="SÍ",'Configuración'!$C$6,0))</f>
        <v/>
      </c>
      <c r="K122" s="2" t="str">
        <f t="shared" si="6"/>
        <v/>
      </c>
      <c r="L122" s="2" t="str">
        <f t="shared" si="7"/>
        <v/>
      </c>
      <c r="M122" s="2" t="str">
        <f t="shared" si="8"/>
        <v/>
      </c>
      <c r="N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2">
        <v>119.0</v>
      </c>
      <c r="B123" s="2"/>
      <c r="C123" s="2"/>
      <c r="D123" s="2" t="str">
        <f>IFERROR(VLOOKUP(C123,'Catálogo Productos'!$B$3:$E$53,2,0),"")</f>
        <v/>
      </c>
      <c r="E123" s="2" t="str">
        <f>IFERROR(VLOOKUP(C123,'Catálogo Productos'!$B$3:$E$53,3,0),"")</f>
        <v/>
      </c>
      <c r="F123" s="2" t="str">
        <f>IFERROR(VLOOKUP(C123,'Catálogo Productos'!$B$3:$E$53,4,0),"")</f>
        <v/>
      </c>
      <c r="G123" s="2" t="str">
        <f>IF(F123="","",IF(I123="SÍ",F123*'Configuración'!$C$5,0))</f>
        <v/>
      </c>
      <c r="H123" s="2"/>
      <c r="I123" s="2"/>
      <c r="J123" s="2" t="str">
        <f>IF(F123="","",IF(H123="SÍ",'Configuración'!$C$6,0))</f>
        <v/>
      </c>
      <c r="K123" s="2" t="str">
        <f t="shared" si="6"/>
        <v/>
      </c>
      <c r="L123" s="2" t="str">
        <f t="shared" si="7"/>
        <v/>
      </c>
      <c r="M123" s="2" t="str">
        <f t="shared" si="8"/>
        <v/>
      </c>
      <c r="N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2">
        <v>120.0</v>
      </c>
      <c r="B124" s="2"/>
      <c r="C124" s="2"/>
      <c r="D124" s="2" t="str">
        <f>IFERROR(VLOOKUP(C124,'Catálogo Productos'!$B$3:$E$53,2,0),"")</f>
        <v/>
      </c>
      <c r="E124" s="2" t="str">
        <f>IFERROR(VLOOKUP(C124,'Catálogo Productos'!$B$3:$E$53,3,0),"")</f>
        <v/>
      </c>
      <c r="F124" s="2" t="str">
        <f>IFERROR(VLOOKUP(C124,'Catálogo Productos'!$B$3:$E$53,4,0),"")</f>
        <v/>
      </c>
      <c r="G124" s="2" t="str">
        <f>IF(F124="","",IF(I124="SÍ",F124*'Configuración'!$C$5,0))</f>
        <v/>
      </c>
      <c r="H124" s="2"/>
      <c r="I124" s="2"/>
      <c r="J124" s="2" t="str">
        <f>IF(F124="","",IF(H124="SÍ",'Configuración'!$C$6,0))</f>
        <v/>
      </c>
      <c r="K124" s="2" t="str">
        <f t="shared" si="6"/>
        <v/>
      </c>
      <c r="L124" s="2" t="str">
        <f t="shared" si="7"/>
        <v/>
      </c>
      <c r="M124" s="2" t="str">
        <f t="shared" si="8"/>
        <v/>
      </c>
      <c r="N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>
      <c r="A125" s="2">
        <v>121.0</v>
      </c>
      <c r="B125" s="2"/>
      <c r="C125" s="2"/>
      <c r="D125" s="2" t="str">
        <f>IFERROR(VLOOKUP(C125,'Catálogo Productos'!$B$3:$E$53,2,0),"")</f>
        <v/>
      </c>
      <c r="E125" s="2" t="str">
        <f>IFERROR(VLOOKUP(C125,'Catálogo Productos'!$B$3:$E$53,3,0),"")</f>
        <v/>
      </c>
      <c r="F125" s="2" t="str">
        <f>IFERROR(VLOOKUP(C125,'Catálogo Productos'!$B$3:$E$53,4,0),"")</f>
        <v/>
      </c>
      <c r="G125" s="2" t="str">
        <f>IF(F125="","",IF(I125="SÍ",F125*'Configuración'!$C$5,0))</f>
        <v/>
      </c>
      <c r="H125" s="2"/>
      <c r="I125" s="2"/>
      <c r="J125" s="2" t="str">
        <f>IF(F125="","",IF(H125="SÍ",'Configuración'!$C$6,0))</f>
        <v/>
      </c>
      <c r="K125" s="2" t="str">
        <f t="shared" si="6"/>
        <v/>
      </c>
      <c r="L125" s="2" t="str">
        <f t="shared" si="7"/>
        <v/>
      </c>
      <c r="M125" s="2" t="str">
        <f t="shared" si="8"/>
        <v/>
      </c>
      <c r="N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>
      <c r="A126" s="2">
        <v>122.0</v>
      </c>
      <c r="B126" s="2"/>
      <c r="C126" s="2"/>
      <c r="D126" s="2" t="str">
        <f>IFERROR(VLOOKUP(C126,'Catálogo Productos'!$B$3:$E$53,2,0),"")</f>
        <v/>
      </c>
      <c r="E126" s="2" t="str">
        <f>IFERROR(VLOOKUP(C126,'Catálogo Productos'!$B$3:$E$53,3,0),"")</f>
        <v/>
      </c>
      <c r="F126" s="2" t="str">
        <f>IFERROR(VLOOKUP(C126,'Catálogo Productos'!$B$3:$E$53,4,0),"")</f>
        <v/>
      </c>
      <c r="G126" s="2" t="str">
        <f>IF(F126="","",IF(I126="SÍ",F126*'Configuración'!$C$5,0))</f>
        <v/>
      </c>
      <c r="H126" s="2"/>
      <c r="I126" s="2"/>
      <c r="J126" s="2" t="str">
        <f>IF(F126="","",IF(H126="SÍ",'Configuración'!$C$6,0))</f>
        <v/>
      </c>
      <c r="K126" s="2" t="str">
        <f t="shared" si="6"/>
        <v/>
      </c>
      <c r="L126" s="2" t="str">
        <f t="shared" si="7"/>
        <v/>
      </c>
      <c r="M126" s="2" t="str">
        <f t="shared" si="8"/>
        <v/>
      </c>
      <c r="N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2">
        <v>123.0</v>
      </c>
      <c r="B127" s="2"/>
      <c r="C127" s="2"/>
      <c r="D127" s="2" t="str">
        <f>IFERROR(VLOOKUP(C127,'Catálogo Productos'!$B$3:$E$53,2,0),"")</f>
        <v/>
      </c>
      <c r="E127" s="2" t="str">
        <f>IFERROR(VLOOKUP(C127,'Catálogo Productos'!$B$3:$E$53,3,0),"")</f>
        <v/>
      </c>
      <c r="F127" s="2" t="str">
        <f>IFERROR(VLOOKUP(C127,'Catálogo Productos'!$B$3:$E$53,4,0),"")</f>
        <v/>
      </c>
      <c r="G127" s="2" t="str">
        <f>IF(F127="","",IF(I127="SÍ",F127*'Configuración'!$C$5,0))</f>
        <v/>
      </c>
      <c r="H127" s="2"/>
      <c r="I127" s="2"/>
      <c r="J127" s="2" t="str">
        <f>IF(F127="","",IF(H127="SÍ",'Configuración'!$C$6,0))</f>
        <v/>
      </c>
      <c r="K127" s="2" t="str">
        <f t="shared" si="6"/>
        <v/>
      </c>
      <c r="L127" s="2" t="str">
        <f t="shared" si="7"/>
        <v/>
      </c>
      <c r="M127" s="2" t="str">
        <f t="shared" si="8"/>
        <v/>
      </c>
      <c r="N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2">
        <v>124.0</v>
      </c>
      <c r="B128" s="2"/>
      <c r="C128" s="2"/>
      <c r="D128" s="2" t="str">
        <f>IFERROR(VLOOKUP(C128,'Catálogo Productos'!$B$3:$E$53,2,0),"")</f>
        <v/>
      </c>
      <c r="E128" s="2" t="str">
        <f>IFERROR(VLOOKUP(C128,'Catálogo Productos'!$B$3:$E$53,3,0),"")</f>
        <v/>
      </c>
      <c r="F128" s="2" t="str">
        <f>IFERROR(VLOOKUP(C128,'Catálogo Productos'!$B$3:$E$53,4,0),"")</f>
        <v/>
      </c>
      <c r="G128" s="2" t="str">
        <f>IF(F128="","",IF(I128="SÍ",F128*'Configuración'!$C$5,0))</f>
        <v/>
      </c>
      <c r="H128" s="2"/>
      <c r="I128" s="2"/>
      <c r="J128" s="2" t="str">
        <f>IF(F128="","",IF(H128="SÍ",'Configuración'!$C$6,0))</f>
        <v/>
      </c>
      <c r="K128" s="2" t="str">
        <f t="shared" si="6"/>
        <v/>
      </c>
      <c r="L128" s="2" t="str">
        <f t="shared" si="7"/>
        <v/>
      </c>
      <c r="M128" s="2" t="str">
        <f t="shared" si="8"/>
        <v/>
      </c>
      <c r="N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2">
        <v>125.0</v>
      </c>
      <c r="B129" s="2"/>
      <c r="C129" s="2"/>
      <c r="D129" s="2" t="str">
        <f>IFERROR(VLOOKUP(C129,'Catálogo Productos'!$B$3:$E$53,2,0),"")</f>
        <v/>
      </c>
      <c r="E129" s="2" t="str">
        <f>IFERROR(VLOOKUP(C129,'Catálogo Productos'!$B$3:$E$53,3,0),"")</f>
        <v/>
      </c>
      <c r="F129" s="2" t="str">
        <f>IFERROR(VLOOKUP(C129,'Catálogo Productos'!$B$3:$E$53,4,0),"")</f>
        <v/>
      </c>
      <c r="G129" s="2" t="str">
        <f>IF(F129="","",IF(I129="SÍ",F129*'Configuración'!$C$5,0))</f>
        <v/>
      </c>
      <c r="H129" s="2"/>
      <c r="I129" s="2"/>
      <c r="J129" s="2" t="str">
        <f>IF(F129="","",IF(H129="SÍ",'Configuración'!$C$6,0))</f>
        <v/>
      </c>
      <c r="K129" s="2" t="str">
        <f t="shared" si="6"/>
        <v/>
      </c>
      <c r="L129" s="2" t="str">
        <f t="shared" si="7"/>
        <v/>
      </c>
      <c r="M129" s="2" t="str">
        <f t="shared" si="8"/>
        <v/>
      </c>
      <c r="N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>
      <c r="A130" s="2">
        <v>126.0</v>
      </c>
      <c r="B130" s="2"/>
      <c r="C130" s="2"/>
      <c r="D130" s="2" t="str">
        <f>IFERROR(VLOOKUP(C130,'Catálogo Productos'!$B$3:$E$53,2,0),"")</f>
        <v/>
      </c>
      <c r="E130" s="2" t="str">
        <f>IFERROR(VLOOKUP(C130,'Catálogo Productos'!$B$3:$E$53,3,0),"")</f>
        <v/>
      </c>
      <c r="F130" s="2" t="str">
        <f>IFERROR(VLOOKUP(C130,'Catálogo Productos'!$B$3:$E$53,4,0),"")</f>
        <v/>
      </c>
      <c r="G130" s="2" t="str">
        <f>IF(F130="","",IF(I130="SÍ",F130*'Configuración'!$C$5,0))</f>
        <v/>
      </c>
      <c r="H130" s="2"/>
      <c r="I130" s="2"/>
      <c r="J130" s="2" t="str">
        <f>IF(F130="","",IF(H130="SÍ",'Configuración'!$C$6,0))</f>
        <v/>
      </c>
      <c r="K130" s="2" t="str">
        <f t="shared" si="6"/>
        <v/>
      </c>
      <c r="L130" s="2" t="str">
        <f t="shared" si="7"/>
        <v/>
      </c>
      <c r="M130" s="2" t="str">
        <f t="shared" si="8"/>
        <v/>
      </c>
      <c r="N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>
      <c r="A131" s="2">
        <v>127.0</v>
      </c>
      <c r="B131" s="2"/>
      <c r="C131" s="2"/>
      <c r="D131" s="2" t="str">
        <f>IFERROR(VLOOKUP(C131,'Catálogo Productos'!$B$3:$E$53,2,0),"")</f>
        <v/>
      </c>
      <c r="E131" s="2" t="str">
        <f>IFERROR(VLOOKUP(C131,'Catálogo Productos'!$B$3:$E$53,3,0),"")</f>
        <v/>
      </c>
      <c r="F131" s="2" t="str">
        <f>IFERROR(VLOOKUP(C131,'Catálogo Productos'!$B$3:$E$53,4,0),"")</f>
        <v/>
      </c>
      <c r="G131" s="2" t="str">
        <f>IF(F131="","",IF(I131="SÍ",F131*'Configuración'!$C$5,0))</f>
        <v/>
      </c>
      <c r="H131" s="2"/>
      <c r="I131" s="2"/>
      <c r="J131" s="2" t="str">
        <f>IF(F131="","",IF(H131="SÍ",'Configuración'!$C$6,0))</f>
        <v/>
      </c>
      <c r="K131" s="2" t="str">
        <f t="shared" si="6"/>
        <v/>
      </c>
      <c r="L131" s="2" t="str">
        <f t="shared" si="7"/>
        <v/>
      </c>
      <c r="M131" s="2" t="str">
        <f t="shared" si="8"/>
        <v/>
      </c>
      <c r="N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>
      <c r="A132" s="2">
        <v>128.0</v>
      </c>
      <c r="B132" s="2"/>
      <c r="C132" s="2"/>
      <c r="D132" s="2" t="str">
        <f>IFERROR(VLOOKUP(C132,'Catálogo Productos'!$B$3:$E$53,2,0),"")</f>
        <v/>
      </c>
      <c r="E132" s="2" t="str">
        <f>IFERROR(VLOOKUP(C132,'Catálogo Productos'!$B$3:$E$53,3,0),"")</f>
        <v/>
      </c>
      <c r="F132" s="2" t="str">
        <f>IFERROR(VLOOKUP(C132,'Catálogo Productos'!$B$3:$E$53,4,0),"")</f>
        <v/>
      </c>
      <c r="G132" s="2" t="str">
        <f>IF(F132="","",IF(I132="SÍ",F132*'Configuración'!$C$5,0))</f>
        <v/>
      </c>
      <c r="H132" s="2"/>
      <c r="I132" s="2"/>
      <c r="J132" s="2" t="str">
        <f>IF(F132="","",IF(H132="SÍ",'Configuración'!$C$6,0))</f>
        <v/>
      </c>
      <c r="K132" s="2" t="str">
        <f t="shared" si="6"/>
        <v/>
      </c>
      <c r="L132" s="2" t="str">
        <f t="shared" si="7"/>
        <v/>
      </c>
      <c r="M132" s="2" t="str">
        <f t="shared" si="8"/>
        <v/>
      </c>
      <c r="N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>
      <c r="A133" s="2">
        <v>129.0</v>
      </c>
      <c r="B133" s="2"/>
      <c r="C133" s="2"/>
      <c r="D133" s="2" t="str">
        <f>IFERROR(VLOOKUP(C133,'Catálogo Productos'!$B$3:$E$53,2,0),"")</f>
        <v/>
      </c>
      <c r="E133" s="2" t="str">
        <f>IFERROR(VLOOKUP(C133,'Catálogo Productos'!$B$3:$E$53,3,0),"")</f>
        <v/>
      </c>
      <c r="F133" s="2" t="str">
        <f>IFERROR(VLOOKUP(C133,'Catálogo Productos'!$B$3:$E$53,4,0),"")</f>
        <v/>
      </c>
      <c r="G133" s="2" t="str">
        <f>IF(F133="","",IF(I133="SÍ",F133*'Configuración'!$C$5,0))</f>
        <v/>
      </c>
      <c r="H133" s="2"/>
      <c r="I133" s="2"/>
      <c r="J133" s="2" t="str">
        <f>IF(F133="","",IF(H133="SÍ",'Configuración'!$C$6,0))</f>
        <v/>
      </c>
      <c r="K133" s="2" t="str">
        <f t="shared" si="6"/>
        <v/>
      </c>
      <c r="L133" s="2" t="str">
        <f t="shared" si="7"/>
        <v/>
      </c>
      <c r="M133" s="2" t="str">
        <f t="shared" si="8"/>
        <v/>
      </c>
      <c r="N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>
      <c r="A134" s="2">
        <v>130.0</v>
      </c>
      <c r="B134" s="2"/>
      <c r="C134" s="2"/>
      <c r="D134" s="2" t="str">
        <f>IFERROR(VLOOKUP(C134,'Catálogo Productos'!$B$3:$E$53,2,0),"")</f>
        <v/>
      </c>
      <c r="E134" s="2" t="str">
        <f>IFERROR(VLOOKUP(C134,'Catálogo Productos'!$B$3:$E$53,3,0),"")</f>
        <v/>
      </c>
      <c r="F134" s="2" t="str">
        <f>IFERROR(VLOOKUP(C134,'Catálogo Productos'!$B$3:$E$53,4,0),"")</f>
        <v/>
      </c>
      <c r="G134" s="2" t="str">
        <f>IF(F134="","",IF(I134="SÍ",F134*'Configuración'!$C$5,0))</f>
        <v/>
      </c>
      <c r="H134" s="2"/>
      <c r="I134" s="2"/>
      <c r="J134" s="2" t="str">
        <f>IF(F134="","",IF(H134="SÍ",'Configuración'!$C$6,0))</f>
        <v/>
      </c>
      <c r="K134" s="2" t="str">
        <f t="shared" si="6"/>
        <v/>
      </c>
      <c r="L134" s="2" t="str">
        <f t="shared" si="7"/>
        <v/>
      </c>
      <c r="M134" s="2" t="str">
        <f t="shared" si="8"/>
        <v/>
      </c>
      <c r="N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>
      <c r="A135" s="2">
        <v>131.0</v>
      </c>
      <c r="B135" s="2"/>
      <c r="C135" s="2"/>
      <c r="D135" s="2" t="str">
        <f>IFERROR(VLOOKUP(C135,'Catálogo Productos'!$B$3:$E$53,2,0),"")</f>
        <v/>
      </c>
      <c r="E135" s="2" t="str">
        <f>IFERROR(VLOOKUP(C135,'Catálogo Productos'!$B$3:$E$53,3,0),"")</f>
        <v/>
      </c>
      <c r="F135" s="2" t="str">
        <f>IFERROR(VLOOKUP(C135,'Catálogo Productos'!$B$3:$E$53,4,0),"")</f>
        <v/>
      </c>
      <c r="G135" s="2" t="str">
        <f>IF(F135="","",IF(I135="SÍ",F135*'Configuración'!$C$5,0))</f>
        <v/>
      </c>
      <c r="H135" s="2"/>
      <c r="I135" s="2"/>
      <c r="J135" s="2" t="str">
        <f>IF(F135="","",IF(H135="SÍ",'Configuración'!$C$6,0))</f>
        <v/>
      </c>
      <c r="K135" s="2" t="str">
        <f t="shared" si="6"/>
        <v/>
      </c>
      <c r="L135" s="2" t="str">
        <f t="shared" si="7"/>
        <v/>
      </c>
      <c r="M135" s="2" t="str">
        <f t="shared" si="8"/>
        <v/>
      </c>
      <c r="N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>
      <c r="A136" s="2">
        <v>132.0</v>
      </c>
      <c r="B136" s="2"/>
      <c r="C136" s="2"/>
      <c r="D136" s="2" t="str">
        <f>IFERROR(VLOOKUP(C136,'Catálogo Productos'!$B$3:$E$53,2,0),"")</f>
        <v/>
      </c>
      <c r="E136" s="2" t="str">
        <f>IFERROR(VLOOKUP(C136,'Catálogo Productos'!$B$3:$E$53,3,0),"")</f>
        <v/>
      </c>
      <c r="F136" s="2" t="str">
        <f>IFERROR(VLOOKUP(C136,'Catálogo Productos'!$B$3:$E$53,4,0),"")</f>
        <v/>
      </c>
      <c r="G136" s="2" t="str">
        <f>IF(F136="","",IF(I136="SÍ",F136*'Configuración'!$C$5,0))</f>
        <v/>
      </c>
      <c r="H136" s="2"/>
      <c r="I136" s="2"/>
      <c r="J136" s="2" t="str">
        <f>IF(F136="","",IF(H136="SÍ",'Configuración'!$C$6,0))</f>
        <v/>
      </c>
      <c r="K136" s="2" t="str">
        <f t="shared" si="6"/>
        <v/>
      </c>
      <c r="L136" s="2" t="str">
        <f t="shared" si="7"/>
        <v/>
      </c>
      <c r="M136" s="2" t="str">
        <f t="shared" si="8"/>
        <v/>
      </c>
      <c r="N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customHeight="1">
      <c r="A137" s="2">
        <v>133.0</v>
      </c>
      <c r="B137" s="2"/>
      <c r="C137" s="2"/>
      <c r="D137" s="2" t="str">
        <f>IFERROR(VLOOKUP(C137,'Catálogo Productos'!$B$3:$E$53,2,0),"")</f>
        <v/>
      </c>
      <c r="E137" s="2" t="str">
        <f>IFERROR(VLOOKUP(C137,'Catálogo Productos'!$B$3:$E$53,3,0),"")</f>
        <v/>
      </c>
      <c r="F137" s="2" t="str">
        <f>IFERROR(VLOOKUP(C137,'Catálogo Productos'!$B$3:$E$53,4,0),"")</f>
        <v/>
      </c>
      <c r="G137" s="2" t="str">
        <f>IF(F137="","",IF(I137="SÍ",F137*'Configuración'!$C$5,0))</f>
        <v/>
      </c>
      <c r="H137" s="2"/>
      <c r="I137" s="2"/>
      <c r="J137" s="2" t="str">
        <f>IF(F137="","",IF(H137="SÍ",'Configuración'!$C$6,0))</f>
        <v/>
      </c>
      <c r="K137" s="2" t="str">
        <f t="shared" si="6"/>
        <v/>
      </c>
      <c r="L137" s="2" t="str">
        <f t="shared" si="7"/>
        <v/>
      </c>
      <c r="M137" s="2" t="str">
        <f t="shared" si="8"/>
        <v/>
      </c>
      <c r="N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>
      <c r="A138" s="2">
        <v>134.0</v>
      </c>
      <c r="B138" s="2"/>
      <c r="C138" s="2"/>
      <c r="D138" s="2" t="str">
        <f>IFERROR(VLOOKUP(C138,'Catálogo Productos'!$B$3:$E$53,2,0),"")</f>
        <v/>
      </c>
      <c r="E138" s="2" t="str">
        <f>IFERROR(VLOOKUP(C138,'Catálogo Productos'!$B$3:$E$53,3,0),"")</f>
        <v/>
      </c>
      <c r="F138" s="2" t="str">
        <f>IFERROR(VLOOKUP(C138,'Catálogo Productos'!$B$3:$E$53,4,0),"")</f>
        <v/>
      </c>
      <c r="G138" s="2" t="str">
        <f>IF(F138="","",IF(I138="SÍ",F138*'Configuración'!$C$5,0))</f>
        <v/>
      </c>
      <c r="H138" s="2"/>
      <c r="I138" s="2"/>
      <c r="J138" s="2" t="str">
        <f>IF(F138="","",IF(H138="SÍ",'Configuración'!$C$6,0))</f>
        <v/>
      </c>
      <c r="K138" s="2" t="str">
        <f t="shared" si="6"/>
        <v/>
      </c>
      <c r="L138" s="2" t="str">
        <f t="shared" si="7"/>
        <v/>
      </c>
      <c r="M138" s="2" t="str">
        <f t="shared" si="8"/>
        <v/>
      </c>
      <c r="N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>
      <c r="A139" s="2">
        <v>135.0</v>
      </c>
      <c r="B139" s="2"/>
      <c r="C139" s="2"/>
      <c r="D139" s="2" t="str">
        <f>IFERROR(VLOOKUP(C139,'Catálogo Productos'!$B$3:$E$53,2,0),"")</f>
        <v/>
      </c>
      <c r="E139" s="2" t="str">
        <f>IFERROR(VLOOKUP(C139,'Catálogo Productos'!$B$3:$E$53,3,0),"")</f>
        <v/>
      </c>
      <c r="F139" s="2" t="str">
        <f>IFERROR(VLOOKUP(C139,'Catálogo Productos'!$B$3:$E$53,4,0),"")</f>
        <v/>
      </c>
      <c r="G139" s="2" t="str">
        <f>IF(F139="","",IF(I139="SÍ",F139*'Configuración'!$C$5,0))</f>
        <v/>
      </c>
      <c r="H139" s="2"/>
      <c r="I139" s="2"/>
      <c r="J139" s="2" t="str">
        <f>IF(F139="","",IF(H139="SÍ",'Configuración'!$C$6,0))</f>
        <v/>
      </c>
      <c r="K139" s="2" t="str">
        <f t="shared" si="6"/>
        <v/>
      </c>
      <c r="L139" s="2" t="str">
        <f t="shared" si="7"/>
        <v/>
      </c>
      <c r="M139" s="2" t="str">
        <f t="shared" si="8"/>
        <v/>
      </c>
      <c r="N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>
      <c r="A140" s="2">
        <v>136.0</v>
      </c>
      <c r="B140" s="2"/>
      <c r="C140" s="2"/>
      <c r="D140" s="2" t="str">
        <f>IFERROR(VLOOKUP(C140,'Catálogo Productos'!$B$3:$E$53,2,0),"")</f>
        <v/>
      </c>
      <c r="E140" s="2" t="str">
        <f>IFERROR(VLOOKUP(C140,'Catálogo Productos'!$B$3:$E$53,3,0),"")</f>
        <v/>
      </c>
      <c r="F140" s="2" t="str">
        <f>IFERROR(VLOOKUP(C140,'Catálogo Productos'!$B$3:$E$53,4,0),"")</f>
        <v/>
      </c>
      <c r="G140" s="2" t="str">
        <f>IF(F140="","",IF(I140="SÍ",F140*'Configuración'!$C$5,0))</f>
        <v/>
      </c>
      <c r="H140" s="2"/>
      <c r="I140" s="2"/>
      <c r="J140" s="2" t="str">
        <f>IF(F140="","",IF(H140="SÍ",'Configuración'!$C$6,0))</f>
        <v/>
      </c>
      <c r="K140" s="2" t="str">
        <f t="shared" si="6"/>
        <v/>
      </c>
      <c r="L140" s="2" t="str">
        <f t="shared" si="7"/>
        <v/>
      </c>
      <c r="M140" s="2" t="str">
        <f t="shared" si="8"/>
        <v/>
      </c>
      <c r="N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>
      <c r="A141" s="2">
        <v>137.0</v>
      </c>
      <c r="B141" s="2"/>
      <c r="C141" s="2"/>
      <c r="D141" s="2" t="str">
        <f>IFERROR(VLOOKUP(C141,'Catálogo Productos'!$B$3:$E$53,2,0),"")</f>
        <v/>
      </c>
      <c r="E141" s="2" t="str">
        <f>IFERROR(VLOOKUP(C141,'Catálogo Productos'!$B$3:$E$53,3,0),"")</f>
        <v/>
      </c>
      <c r="F141" s="2" t="str">
        <f>IFERROR(VLOOKUP(C141,'Catálogo Productos'!$B$3:$E$53,4,0),"")</f>
        <v/>
      </c>
      <c r="G141" s="2" t="str">
        <f>IF(F141="","",IF(I141="SÍ",F141*'Configuración'!$C$5,0))</f>
        <v/>
      </c>
      <c r="H141" s="2"/>
      <c r="I141" s="2"/>
      <c r="J141" s="2" t="str">
        <f>IF(F141="","",IF(H141="SÍ",'Configuración'!$C$6,0))</f>
        <v/>
      </c>
      <c r="K141" s="2" t="str">
        <f t="shared" si="6"/>
        <v/>
      </c>
      <c r="L141" s="2" t="str">
        <f t="shared" si="7"/>
        <v/>
      </c>
      <c r="M141" s="2" t="str">
        <f t="shared" si="8"/>
        <v/>
      </c>
      <c r="N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>
      <c r="A142" s="2">
        <v>138.0</v>
      </c>
      <c r="B142" s="2"/>
      <c r="C142" s="2"/>
      <c r="D142" s="2" t="str">
        <f>IFERROR(VLOOKUP(C142,'Catálogo Productos'!$B$3:$E$53,2,0),"")</f>
        <v/>
      </c>
      <c r="E142" s="2" t="str">
        <f>IFERROR(VLOOKUP(C142,'Catálogo Productos'!$B$3:$E$53,3,0),"")</f>
        <v/>
      </c>
      <c r="F142" s="2" t="str">
        <f>IFERROR(VLOOKUP(C142,'Catálogo Productos'!$B$3:$E$53,4,0),"")</f>
        <v/>
      </c>
      <c r="G142" s="2" t="str">
        <f>IF(F142="","",IF(I142="SÍ",F142*'Configuración'!$C$5,0))</f>
        <v/>
      </c>
      <c r="H142" s="2"/>
      <c r="I142" s="2"/>
      <c r="J142" s="2" t="str">
        <f>IF(F142="","",IF(H142="SÍ",'Configuración'!$C$6,0))</f>
        <v/>
      </c>
      <c r="K142" s="2" t="str">
        <f t="shared" si="6"/>
        <v/>
      </c>
      <c r="L142" s="2" t="str">
        <f t="shared" si="7"/>
        <v/>
      </c>
      <c r="M142" s="2" t="str">
        <f t="shared" si="8"/>
        <v/>
      </c>
      <c r="N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customHeight="1">
      <c r="A143" s="2">
        <v>139.0</v>
      </c>
      <c r="B143" s="2"/>
      <c r="C143" s="2"/>
      <c r="D143" s="2" t="str">
        <f>IFERROR(VLOOKUP(C143,'Catálogo Productos'!$B$3:$E$53,2,0),"")</f>
        <v/>
      </c>
      <c r="E143" s="2" t="str">
        <f>IFERROR(VLOOKUP(C143,'Catálogo Productos'!$B$3:$E$53,3,0),"")</f>
        <v/>
      </c>
      <c r="F143" s="2" t="str">
        <f>IFERROR(VLOOKUP(C143,'Catálogo Productos'!$B$3:$E$53,4,0),"")</f>
        <v/>
      </c>
      <c r="G143" s="2" t="str">
        <f>IF(F143="","",IF(I143="SÍ",F143*'Configuración'!$C$5,0))</f>
        <v/>
      </c>
      <c r="H143" s="2"/>
      <c r="I143" s="2"/>
      <c r="J143" s="2" t="str">
        <f>IF(F143="","",IF(H143="SÍ",'Configuración'!$C$6,0))</f>
        <v/>
      </c>
      <c r="K143" s="2" t="str">
        <f t="shared" si="6"/>
        <v/>
      </c>
      <c r="L143" s="2" t="str">
        <f t="shared" si="7"/>
        <v/>
      </c>
      <c r="M143" s="2" t="str">
        <f t="shared" si="8"/>
        <v/>
      </c>
      <c r="N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>
      <c r="A144" s="2">
        <v>140.0</v>
      </c>
      <c r="B144" s="2"/>
      <c r="C144" s="2"/>
      <c r="D144" s="2" t="str">
        <f>IFERROR(VLOOKUP(C144,'Catálogo Productos'!$B$3:$E$53,2,0),"")</f>
        <v/>
      </c>
      <c r="E144" s="2" t="str">
        <f>IFERROR(VLOOKUP(C144,'Catálogo Productos'!$B$3:$E$53,3,0),"")</f>
        <v/>
      </c>
      <c r="F144" s="2" t="str">
        <f>IFERROR(VLOOKUP(C144,'Catálogo Productos'!$B$3:$E$53,4,0),"")</f>
        <v/>
      </c>
      <c r="G144" s="2" t="str">
        <f>IF(F144="","",IF(I144="SÍ",F144*'Configuración'!$C$5,0))</f>
        <v/>
      </c>
      <c r="H144" s="2"/>
      <c r="I144" s="2"/>
      <c r="J144" s="2" t="str">
        <f>IF(F144="","",IF(H144="SÍ",'Configuración'!$C$6,0))</f>
        <v/>
      </c>
      <c r="K144" s="2" t="str">
        <f t="shared" si="6"/>
        <v/>
      </c>
      <c r="L144" s="2" t="str">
        <f t="shared" si="7"/>
        <v/>
      </c>
      <c r="M144" s="2" t="str">
        <f t="shared" si="8"/>
        <v/>
      </c>
      <c r="N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>
      <c r="A145" s="2">
        <v>141.0</v>
      </c>
      <c r="B145" s="2"/>
      <c r="C145" s="2"/>
      <c r="D145" s="2" t="str">
        <f>IFERROR(VLOOKUP(C145,'Catálogo Productos'!$B$3:$E$53,2,0),"")</f>
        <v/>
      </c>
      <c r="E145" s="2" t="str">
        <f>IFERROR(VLOOKUP(C145,'Catálogo Productos'!$B$3:$E$53,3,0),"")</f>
        <v/>
      </c>
      <c r="F145" s="2" t="str">
        <f>IFERROR(VLOOKUP(C145,'Catálogo Productos'!$B$3:$E$53,4,0),"")</f>
        <v/>
      </c>
      <c r="G145" s="2" t="str">
        <f>IF(F145="","",IF(I145="SÍ",F145*'Configuración'!$C$5,0))</f>
        <v/>
      </c>
      <c r="H145" s="2"/>
      <c r="I145" s="2"/>
      <c r="J145" s="2" t="str">
        <f>IF(F145="","",IF(H145="SÍ",'Configuración'!$C$6,0))</f>
        <v/>
      </c>
      <c r="K145" s="2" t="str">
        <f t="shared" si="6"/>
        <v/>
      </c>
      <c r="L145" s="2" t="str">
        <f t="shared" si="7"/>
        <v/>
      </c>
      <c r="M145" s="2" t="str">
        <f t="shared" si="8"/>
        <v/>
      </c>
      <c r="N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>
      <c r="A146" s="2">
        <v>142.0</v>
      </c>
      <c r="B146" s="2"/>
      <c r="C146" s="2"/>
      <c r="D146" s="2" t="str">
        <f>IFERROR(VLOOKUP(C146,'Catálogo Productos'!$B$3:$E$53,2,0),"")</f>
        <v/>
      </c>
      <c r="E146" s="2" t="str">
        <f>IFERROR(VLOOKUP(C146,'Catálogo Productos'!$B$3:$E$53,3,0),"")</f>
        <v/>
      </c>
      <c r="F146" s="2" t="str">
        <f>IFERROR(VLOOKUP(C146,'Catálogo Productos'!$B$3:$E$53,4,0),"")</f>
        <v/>
      </c>
      <c r="G146" s="2" t="str">
        <f>IF(F146="","",IF(I146="SÍ",F146*'Configuración'!$C$5,0))</f>
        <v/>
      </c>
      <c r="H146" s="2"/>
      <c r="I146" s="2"/>
      <c r="J146" s="2" t="str">
        <f>IF(F146="","",IF(H146="SÍ",'Configuración'!$C$6,0))</f>
        <v/>
      </c>
      <c r="K146" s="2" t="str">
        <f t="shared" si="6"/>
        <v/>
      </c>
      <c r="L146" s="2" t="str">
        <f t="shared" si="7"/>
        <v/>
      </c>
      <c r="M146" s="2" t="str">
        <f t="shared" si="8"/>
        <v/>
      </c>
      <c r="N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>
      <c r="A147" s="2">
        <v>143.0</v>
      </c>
      <c r="B147" s="2"/>
      <c r="C147" s="2"/>
      <c r="D147" s="2" t="str">
        <f>IFERROR(VLOOKUP(C147,'Catálogo Productos'!$B$3:$E$53,2,0),"")</f>
        <v/>
      </c>
      <c r="E147" s="2" t="str">
        <f>IFERROR(VLOOKUP(C147,'Catálogo Productos'!$B$3:$E$53,3,0),"")</f>
        <v/>
      </c>
      <c r="F147" s="2" t="str">
        <f>IFERROR(VLOOKUP(C147,'Catálogo Productos'!$B$3:$E$53,4,0),"")</f>
        <v/>
      </c>
      <c r="G147" s="2" t="str">
        <f>IF(F147="","",IF(I147="SÍ",F147*'Configuración'!$C$5,0))</f>
        <v/>
      </c>
      <c r="H147" s="2"/>
      <c r="I147" s="2"/>
      <c r="J147" s="2" t="str">
        <f>IF(F147="","",IF(H147="SÍ",'Configuración'!$C$6,0))</f>
        <v/>
      </c>
      <c r="K147" s="2" t="str">
        <f t="shared" si="6"/>
        <v/>
      </c>
      <c r="L147" s="2" t="str">
        <f t="shared" si="7"/>
        <v/>
      </c>
      <c r="M147" s="2" t="str">
        <f t="shared" si="8"/>
        <v/>
      </c>
      <c r="N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>
      <c r="A148" s="2">
        <v>144.0</v>
      </c>
      <c r="B148" s="2"/>
      <c r="C148" s="2"/>
      <c r="D148" s="2" t="str">
        <f>IFERROR(VLOOKUP(C148,'Catálogo Productos'!$B$3:$E$53,2,0),"")</f>
        <v/>
      </c>
      <c r="E148" s="2" t="str">
        <f>IFERROR(VLOOKUP(C148,'Catálogo Productos'!$B$3:$E$53,3,0),"")</f>
        <v/>
      </c>
      <c r="F148" s="2" t="str">
        <f>IFERROR(VLOOKUP(C148,'Catálogo Productos'!$B$3:$E$53,4,0),"")</f>
        <v/>
      </c>
      <c r="G148" s="2" t="str">
        <f>IF(F148="","",IF(I148="SÍ",F148*'Configuración'!$C$5,0))</f>
        <v/>
      </c>
      <c r="H148" s="2"/>
      <c r="I148" s="2"/>
      <c r="J148" s="2" t="str">
        <f>IF(F148="","",IF(H148="SÍ",'Configuración'!$C$6,0))</f>
        <v/>
      </c>
      <c r="K148" s="2" t="str">
        <f t="shared" si="6"/>
        <v/>
      </c>
      <c r="L148" s="2" t="str">
        <f t="shared" si="7"/>
        <v/>
      </c>
      <c r="M148" s="2" t="str">
        <f t="shared" si="8"/>
        <v/>
      </c>
      <c r="N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customHeight="1">
      <c r="A149" s="2">
        <v>145.0</v>
      </c>
      <c r="B149" s="2"/>
      <c r="C149" s="2"/>
      <c r="D149" s="2" t="str">
        <f>IFERROR(VLOOKUP(C149,'Catálogo Productos'!$B$3:$E$53,2,0),"")</f>
        <v/>
      </c>
      <c r="E149" s="2" t="str">
        <f>IFERROR(VLOOKUP(C149,'Catálogo Productos'!$B$3:$E$53,3,0),"")</f>
        <v/>
      </c>
      <c r="F149" s="2" t="str">
        <f>IFERROR(VLOOKUP(C149,'Catálogo Productos'!$B$3:$E$53,4,0),"")</f>
        <v/>
      </c>
      <c r="G149" s="2" t="str">
        <f>IF(F149="","",IF(I149="SÍ",F149*'Configuración'!$C$5,0))</f>
        <v/>
      </c>
      <c r="H149" s="2"/>
      <c r="I149" s="2"/>
      <c r="J149" s="2" t="str">
        <f>IF(F149="","",IF(H149="SÍ",'Configuración'!$C$6,0))</f>
        <v/>
      </c>
      <c r="K149" s="2" t="str">
        <f t="shared" si="6"/>
        <v/>
      </c>
      <c r="L149" s="2" t="str">
        <f t="shared" si="7"/>
        <v/>
      </c>
      <c r="M149" s="2" t="str">
        <f t="shared" si="8"/>
        <v/>
      </c>
      <c r="N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customHeight="1">
      <c r="A150" s="2">
        <v>146.0</v>
      </c>
      <c r="B150" s="2"/>
      <c r="C150" s="2"/>
      <c r="D150" s="2" t="str">
        <f>IFERROR(VLOOKUP(C150,'Catálogo Productos'!$B$3:$E$53,2,0),"")</f>
        <v/>
      </c>
      <c r="E150" s="2" t="str">
        <f>IFERROR(VLOOKUP(C150,'Catálogo Productos'!$B$3:$E$53,3,0),"")</f>
        <v/>
      </c>
      <c r="F150" s="2" t="str">
        <f>IFERROR(VLOOKUP(C150,'Catálogo Productos'!$B$3:$E$53,4,0),"")</f>
        <v/>
      </c>
      <c r="G150" s="2" t="str">
        <f>IF(F150="","",IF(I150="SÍ",F150*'Configuración'!$C$5,0))</f>
        <v/>
      </c>
      <c r="H150" s="2"/>
      <c r="I150" s="2"/>
      <c r="J150" s="2" t="str">
        <f>IF(F150="","",IF(H150="SÍ",'Configuración'!$C$6,0))</f>
        <v/>
      </c>
      <c r="K150" s="2" t="str">
        <f t="shared" si="6"/>
        <v/>
      </c>
      <c r="L150" s="2" t="str">
        <f t="shared" si="7"/>
        <v/>
      </c>
      <c r="M150" s="2" t="str">
        <f t="shared" si="8"/>
        <v/>
      </c>
      <c r="N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customHeight="1">
      <c r="A151" s="2">
        <v>147.0</v>
      </c>
      <c r="B151" s="2"/>
      <c r="C151" s="2"/>
      <c r="D151" s="2" t="str">
        <f>IFERROR(VLOOKUP(C151,'Catálogo Productos'!$B$3:$E$53,2,0),"")</f>
        <v/>
      </c>
      <c r="E151" s="2" t="str">
        <f>IFERROR(VLOOKUP(C151,'Catálogo Productos'!$B$3:$E$53,3,0),"")</f>
        <v/>
      </c>
      <c r="F151" s="2" t="str">
        <f>IFERROR(VLOOKUP(C151,'Catálogo Productos'!$B$3:$E$53,4,0),"")</f>
        <v/>
      </c>
      <c r="G151" s="2" t="str">
        <f>IF(F151="","",IF(I151="SÍ",F151*'Configuración'!$C$5,0))</f>
        <v/>
      </c>
      <c r="H151" s="2"/>
      <c r="I151" s="2"/>
      <c r="J151" s="2" t="str">
        <f>IF(F151="","",IF(H151="SÍ",'Configuración'!$C$6,0))</f>
        <v/>
      </c>
      <c r="K151" s="2" t="str">
        <f t="shared" si="6"/>
        <v/>
      </c>
      <c r="L151" s="2" t="str">
        <f t="shared" si="7"/>
        <v/>
      </c>
      <c r="M151" s="2" t="str">
        <f t="shared" si="8"/>
        <v/>
      </c>
      <c r="N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customHeight="1">
      <c r="A152" s="2">
        <v>148.0</v>
      </c>
      <c r="B152" s="2"/>
      <c r="C152" s="2"/>
      <c r="D152" s="2" t="str">
        <f>IFERROR(VLOOKUP(C152,'Catálogo Productos'!$B$3:$E$53,2,0),"")</f>
        <v/>
      </c>
      <c r="E152" s="2" t="str">
        <f>IFERROR(VLOOKUP(C152,'Catálogo Productos'!$B$3:$E$53,3,0),"")</f>
        <v/>
      </c>
      <c r="F152" s="2" t="str">
        <f>IFERROR(VLOOKUP(C152,'Catálogo Productos'!$B$3:$E$53,4,0),"")</f>
        <v/>
      </c>
      <c r="G152" s="2" t="str">
        <f>IF(F152="","",IF(I152="SÍ",F152*'Configuración'!$C$5,0))</f>
        <v/>
      </c>
      <c r="H152" s="2"/>
      <c r="I152" s="2"/>
      <c r="J152" s="2" t="str">
        <f>IF(F152="","",IF(H152="SÍ",'Configuración'!$C$6,0))</f>
        <v/>
      </c>
      <c r="K152" s="2" t="str">
        <f t="shared" si="6"/>
        <v/>
      </c>
      <c r="L152" s="2" t="str">
        <f t="shared" si="7"/>
        <v/>
      </c>
      <c r="M152" s="2" t="str">
        <f t="shared" si="8"/>
        <v/>
      </c>
      <c r="N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>
      <c r="A153" s="2">
        <v>149.0</v>
      </c>
      <c r="B153" s="2"/>
      <c r="C153" s="2"/>
      <c r="D153" s="2" t="str">
        <f>IFERROR(VLOOKUP(C153,'Catálogo Productos'!$B$3:$E$53,2,0),"")</f>
        <v/>
      </c>
      <c r="E153" s="2" t="str">
        <f>IFERROR(VLOOKUP(C153,'Catálogo Productos'!$B$3:$E$53,3,0),"")</f>
        <v/>
      </c>
      <c r="F153" s="2" t="str">
        <f>IFERROR(VLOOKUP(C153,'Catálogo Productos'!$B$3:$E$53,4,0),"")</f>
        <v/>
      </c>
      <c r="G153" s="2" t="str">
        <f>IF(F153="","",IF(I153="SÍ",F153*'Configuración'!$C$5,0))</f>
        <v/>
      </c>
      <c r="H153" s="2"/>
      <c r="I153" s="2"/>
      <c r="J153" s="2" t="str">
        <f>IF(F153="","",IF(H153="SÍ",'Configuración'!$C$6,0))</f>
        <v/>
      </c>
      <c r="K153" s="2" t="str">
        <f t="shared" si="6"/>
        <v/>
      </c>
      <c r="L153" s="2" t="str">
        <f t="shared" si="7"/>
        <v/>
      </c>
      <c r="M153" s="2" t="str">
        <f t="shared" si="8"/>
        <v/>
      </c>
      <c r="N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2">
        <v>150.0</v>
      </c>
      <c r="B154" s="2"/>
      <c r="C154" s="2"/>
      <c r="D154" s="2" t="str">
        <f>IFERROR(VLOOKUP(C154,'Catálogo Productos'!$B$3:$E$53,2,0),"")</f>
        <v/>
      </c>
      <c r="E154" s="2" t="str">
        <f>IFERROR(VLOOKUP(C154,'Catálogo Productos'!$B$3:$E$53,3,0),"")</f>
        <v/>
      </c>
      <c r="F154" s="2" t="str">
        <f>IFERROR(VLOOKUP(C154,'Catálogo Productos'!$B$3:$E$53,4,0),"")</f>
        <v/>
      </c>
      <c r="G154" s="2" t="str">
        <f>IF(F154="","",IF(I154="SÍ",F154*'Configuración'!$C$5,0))</f>
        <v/>
      </c>
      <c r="H154" s="2"/>
      <c r="I154" s="2"/>
      <c r="J154" s="2" t="str">
        <f>IF(F154="","",IF(H154="SÍ",'Configuración'!$C$6,0))</f>
        <v/>
      </c>
      <c r="K154" s="2" t="str">
        <f t="shared" si="6"/>
        <v/>
      </c>
      <c r="L154" s="2" t="str">
        <f t="shared" si="7"/>
        <v/>
      </c>
      <c r="M154" s="2" t="str">
        <f t="shared" si="8"/>
        <v/>
      </c>
      <c r="N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customHeight="1">
      <c r="A155" s="2">
        <v>151.0</v>
      </c>
      <c r="B155" s="2"/>
      <c r="C155" s="2"/>
      <c r="D155" s="2" t="str">
        <f>IFERROR(VLOOKUP(C155,'Catálogo Productos'!$B$3:$E$53,2,0),"")</f>
        <v/>
      </c>
      <c r="E155" s="2" t="str">
        <f>IFERROR(VLOOKUP(C155,'Catálogo Productos'!$B$3:$E$53,3,0),"")</f>
        <v/>
      </c>
      <c r="F155" s="2" t="str">
        <f>IFERROR(VLOOKUP(C155,'Catálogo Productos'!$B$3:$E$53,4,0),"")</f>
        <v/>
      </c>
      <c r="G155" s="2" t="str">
        <f>IF(F155="","",IF(I155="SÍ",F155*'Configuración'!$C$5,0))</f>
        <v/>
      </c>
      <c r="H155" s="2"/>
      <c r="I155" s="2"/>
      <c r="J155" s="2" t="str">
        <f>IF(F155="","",IF(H155="SÍ",'Configuración'!$C$6,0))</f>
        <v/>
      </c>
      <c r="K155" s="2" t="str">
        <f t="shared" si="6"/>
        <v/>
      </c>
      <c r="L155" s="2" t="str">
        <f t="shared" si="7"/>
        <v/>
      </c>
      <c r="M155" s="2" t="str">
        <f t="shared" si="8"/>
        <v/>
      </c>
      <c r="N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>
      <c r="A156" s="2">
        <v>152.0</v>
      </c>
      <c r="B156" s="2"/>
      <c r="C156" s="2"/>
      <c r="D156" s="2" t="str">
        <f>IFERROR(VLOOKUP(C156,'Catálogo Productos'!$B$3:$E$53,2,0),"")</f>
        <v/>
      </c>
      <c r="E156" s="2" t="str">
        <f>IFERROR(VLOOKUP(C156,'Catálogo Productos'!$B$3:$E$53,3,0),"")</f>
        <v/>
      </c>
      <c r="F156" s="2" t="str">
        <f>IFERROR(VLOOKUP(C156,'Catálogo Productos'!$B$3:$E$53,4,0),"")</f>
        <v/>
      </c>
      <c r="G156" s="2" t="str">
        <f>IF(F156="","",IF(I156="SÍ",F156*'Configuración'!$C$5,0))</f>
        <v/>
      </c>
      <c r="H156" s="2"/>
      <c r="I156" s="2"/>
      <c r="J156" s="2" t="str">
        <f>IF(F156="","",IF(H156="SÍ",'Configuración'!$C$6,0))</f>
        <v/>
      </c>
      <c r="K156" s="2" t="str">
        <f t="shared" si="6"/>
        <v/>
      </c>
      <c r="L156" s="2" t="str">
        <f t="shared" si="7"/>
        <v/>
      </c>
      <c r="M156" s="2" t="str">
        <f t="shared" si="8"/>
        <v/>
      </c>
      <c r="N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>
      <c r="A157" s="2">
        <v>153.0</v>
      </c>
      <c r="B157" s="2"/>
      <c r="C157" s="2"/>
      <c r="D157" s="2" t="str">
        <f>IFERROR(VLOOKUP(C157,'Catálogo Productos'!$B$3:$E$53,2,0),"")</f>
        <v/>
      </c>
      <c r="E157" s="2" t="str">
        <f>IFERROR(VLOOKUP(C157,'Catálogo Productos'!$B$3:$E$53,3,0),"")</f>
        <v/>
      </c>
      <c r="F157" s="2" t="str">
        <f>IFERROR(VLOOKUP(C157,'Catálogo Productos'!$B$3:$E$53,4,0),"")</f>
        <v/>
      </c>
      <c r="G157" s="2" t="str">
        <f>IF(F157="","",IF(I157="SÍ",F157*'Configuración'!$C$5,0))</f>
        <v/>
      </c>
      <c r="H157" s="2"/>
      <c r="I157" s="2"/>
      <c r="J157" s="2" t="str">
        <f>IF(F157="","",IF(H157="SÍ",'Configuración'!$C$6,0))</f>
        <v/>
      </c>
      <c r="K157" s="2" t="str">
        <f t="shared" si="6"/>
        <v/>
      </c>
      <c r="L157" s="2" t="str">
        <f t="shared" si="7"/>
        <v/>
      </c>
      <c r="M157" s="2" t="str">
        <f t="shared" si="8"/>
        <v/>
      </c>
      <c r="N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>
      <c r="A158" s="2">
        <v>154.0</v>
      </c>
      <c r="B158" s="2"/>
      <c r="C158" s="2"/>
      <c r="D158" s="2" t="str">
        <f>IFERROR(VLOOKUP(C158,'Catálogo Productos'!$B$3:$E$53,2,0),"")</f>
        <v/>
      </c>
      <c r="E158" s="2" t="str">
        <f>IFERROR(VLOOKUP(C158,'Catálogo Productos'!$B$3:$E$53,3,0),"")</f>
        <v/>
      </c>
      <c r="F158" s="2" t="str">
        <f>IFERROR(VLOOKUP(C158,'Catálogo Productos'!$B$3:$E$53,4,0),"")</f>
        <v/>
      </c>
      <c r="G158" s="2" t="str">
        <f>IF(F158="","",IF(I158="SÍ",F158*'Configuración'!$C$5,0))</f>
        <v/>
      </c>
      <c r="H158" s="2"/>
      <c r="I158" s="2"/>
      <c r="J158" s="2" t="str">
        <f>IF(F158="","",IF(H158="SÍ",'Configuración'!$C$6,0))</f>
        <v/>
      </c>
      <c r="K158" s="2" t="str">
        <f t="shared" si="6"/>
        <v/>
      </c>
      <c r="L158" s="2" t="str">
        <f t="shared" si="7"/>
        <v/>
      </c>
      <c r="M158" s="2" t="str">
        <f t="shared" si="8"/>
        <v/>
      </c>
      <c r="N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2">
        <v>155.0</v>
      </c>
      <c r="B159" s="2"/>
      <c r="C159" s="2"/>
      <c r="D159" s="2" t="str">
        <f>IFERROR(VLOOKUP(C159,'Catálogo Productos'!$B$3:$E$53,2,0),"")</f>
        <v/>
      </c>
      <c r="E159" s="2" t="str">
        <f>IFERROR(VLOOKUP(C159,'Catálogo Productos'!$B$3:$E$53,3,0),"")</f>
        <v/>
      </c>
      <c r="F159" s="2" t="str">
        <f>IFERROR(VLOOKUP(C159,'Catálogo Productos'!$B$3:$E$53,4,0),"")</f>
        <v/>
      </c>
      <c r="G159" s="2" t="str">
        <f>IF(F159="","",IF(I159="SÍ",F159*'Configuración'!$C$5,0))</f>
        <v/>
      </c>
      <c r="H159" s="2"/>
      <c r="I159" s="2"/>
      <c r="J159" s="2" t="str">
        <f>IF(F159="","",IF(H159="SÍ",'Configuración'!$C$6,0))</f>
        <v/>
      </c>
      <c r="K159" s="2" t="str">
        <f t="shared" si="6"/>
        <v/>
      </c>
      <c r="L159" s="2" t="str">
        <f t="shared" si="7"/>
        <v/>
      </c>
      <c r="M159" s="2" t="str">
        <f t="shared" si="8"/>
        <v/>
      </c>
      <c r="N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>
      <c r="A160" s="2">
        <v>156.0</v>
      </c>
      <c r="B160" s="2"/>
      <c r="C160" s="2"/>
      <c r="D160" s="2" t="str">
        <f>IFERROR(VLOOKUP(C160,'Catálogo Productos'!$B$3:$E$53,2,0),"")</f>
        <v/>
      </c>
      <c r="E160" s="2" t="str">
        <f>IFERROR(VLOOKUP(C160,'Catálogo Productos'!$B$3:$E$53,3,0),"")</f>
        <v/>
      </c>
      <c r="F160" s="2" t="str">
        <f>IFERROR(VLOOKUP(C160,'Catálogo Productos'!$B$3:$E$53,4,0),"")</f>
        <v/>
      </c>
      <c r="G160" s="2" t="str">
        <f>IF(F160="","",IF(I160="SÍ",F160*'Configuración'!$C$5,0))</f>
        <v/>
      </c>
      <c r="H160" s="2"/>
      <c r="I160" s="2"/>
      <c r="J160" s="2" t="str">
        <f>IF(F160="","",IF(H160="SÍ",'Configuración'!$C$6,0))</f>
        <v/>
      </c>
      <c r="K160" s="2" t="str">
        <f t="shared" si="6"/>
        <v/>
      </c>
      <c r="L160" s="2" t="str">
        <f t="shared" si="7"/>
        <v/>
      </c>
      <c r="M160" s="2" t="str">
        <f t="shared" si="8"/>
        <v/>
      </c>
      <c r="N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>
      <c r="A161" s="2">
        <v>157.0</v>
      </c>
      <c r="B161" s="2"/>
      <c r="C161" s="2"/>
      <c r="D161" s="2" t="str">
        <f>IFERROR(VLOOKUP(C161,'Catálogo Productos'!$B$3:$E$53,2,0),"")</f>
        <v/>
      </c>
      <c r="E161" s="2" t="str">
        <f>IFERROR(VLOOKUP(C161,'Catálogo Productos'!$B$3:$E$53,3,0),"")</f>
        <v/>
      </c>
      <c r="F161" s="2" t="str">
        <f>IFERROR(VLOOKUP(C161,'Catálogo Productos'!$B$3:$E$53,4,0),"")</f>
        <v/>
      </c>
      <c r="G161" s="2" t="str">
        <f>IF(F161="","",IF(I161="SÍ",F161*'Configuración'!$C$5,0))</f>
        <v/>
      </c>
      <c r="H161" s="2"/>
      <c r="I161" s="2"/>
      <c r="J161" s="2" t="str">
        <f>IF(F161="","",IF(H161="SÍ",'Configuración'!$C$6,0))</f>
        <v/>
      </c>
      <c r="K161" s="2" t="str">
        <f t="shared" si="6"/>
        <v/>
      </c>
      <c r="L161" s="2" t="str">
        <f t="shared" si="7"/>
        <v/>
      </c>
      <c r="M161" s="2" t="str">
        <f t="shared" si="8"/>
        <v/>
      </c>
      <c r="N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2">
        <v>158.0</v>
      </c>
      <c r="B162" s="2"/>
      <c r="C162" s="2"/>
      <c r="D162" s="2" t="str">
        <f>IFERROR(VLOOKUP(C162,'Catálogo Productos'!$B$3:$E$53,2,0),"")</f>
        <v/>
      </c>
      <c r="E162" s="2" t="str">
        <f>IFERROR(VLOOKUP(C162,'Catálogo Productos'!$B$3:$E$53,3,0),"")</f>
        <v/>
      </c>
      <c r="F162" s="2" t="str">
        <f>IFERROR(VLOOKUP(C162,'Catálogo Productos'!$B$3:$E$53,4,0),"")</f>
        <v/>
      </c>
      <c r="G162" s="2" t="str">
        <f>IF(F162="","",IF(I162="SÍ",F162*'Configuración'!$C$5,0))</f>
        <v/>
      </c>
      <c r="H162" s="2"/>
      <c r="I162" s="2"/>
      <c r="J162" s="2" t="str">
        <f>IF(F162="","",IF(H162="SÍ",'Configuración'!$C$6,0))</f>
        <v/>
      </c>
      <c r="K162" s="2" t="str">
        <f t="shared" si="6"/>
        <v/>
      </c>
      <c r="L162" s="2" t="str">
        <f t="shared" si="7"/>
        <v/>
      </c>
      <c r="M162" s="2" t="str">
        <f t="shared" si="8"/>
        <v/>
      </c>
      <c r="N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2">
        <v>159.0</v>
      </c>
      <c r="B163" s="2"/>
      <c r="C163" s="2"/>
      <c r="D163" s="2" t="str">
        <f>IFERROR(VLOOKUP(C163,'Catálogo Productos'!$B$3:$E$53,2,0),"")</f>
        <v/>
      </c>
      <c r="E163" s="2" t="str">
        <f>IFERROR(VLOOKUP(C163,'Catálogo Productos'!$B$3:$E$53,3,0),"")</f>
        <v/>
      </c>
      <c r="F163" s="2" t="str">
        <f>IFERROR(VLOOKUP(C163,'Catálogo Productos'!$B$3:$E$53,4,0),"")</f>
        <v/>
      </c>
      <c r="G163" s="2" t="str">
        <f>IF(F163="","",IF(I163="SÍ",F163*'Configuración'!$C$5,0))</f>
        <v/>
      </c>
      <c r="H163" s="2"/>
      <c r="I163" s="2"/>
      <c r="J163" s="2" t="str">
        <f>IF(F163="","",IF(H163="SÍ",'Configuración'!$C$6,0))</f>
        <v/>
      </c>
      <c r="K163" s="2" t="str">
        <f t="shared" si="6"/>
        <v/>
      </c>
      <c r="L163" s="2" t="str">
        <f t="shared" si="7"/>
        <v/>
      </c>
      <c r="M163" s="2" t="str">
        <f t="shared" si="8"/>
        <v/>
      </c>
      <c r="N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>
      <c r="A164" s="2">
        <v>160.0</v>
      </c>
      <c r="B164" s="2"/>
      <c r="C164" s="2"/>
      <c r="D164" s="2" t="str">
        <f>IFERROR(VLOOKUP(C164,'Catálogo Productos'!$B$3:$E$53,2,0),"")</f>
        <v/>
      </c>
      <c r="E164" s="2" t="str">
        <f>IFERROR(VLOOKUP(C164,'Catálogo Productos'!$B$3:$E$53,3,0),"")</f>
        <v/>
      </c>
      <c r="F164" s="2" t="str">
        <f>IFERROR(VLOOKUP(C164,'Catálogo Productos'!$B$3:$E$53,4,0),"")</f>
        <v/>
      </c>
      <c r="G164" s="2" t="str">
        <f>IF(F164="","",IF(I164="SÍ",F164*'Configuración'!$C$5,0))</f>
        <v/>
      </c>
      <c r="H164" s="2"/>
      <c r="I164" s="2"/>
      <c r="J164" s="2" t="str">
        <f>IF(F164="","",IF(H164="SÍ",'Configuración'!$C$6,0))</f>
        <v/>
      </c>
      <c r="K164" s="2" t="str">
        <f t="shared" si="6"/>
        <v/>
      </c>
      <c r="L164" s="2" t="str">
        <f t="shared" si="7"/>
        <v/>
      </c>
      <c r="M164" s="2" t="str">
        <f t="shared" si="8"/>
        <v/>
      </c>
      <c r="N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>
      <c r="A165" s="2">
        <v>161.0</v>
      </c>
      <c r="B165" s="2"/>
      <c r="C165" s="2"/>
      <c r="D165" s="2" t="str">
        <f>IFERROR(VLOOKUP(C165,'Catálogo Productos'!$B$3:$E$53,2,0),"")</f>
        <v/>
      </c>
      <c r="E165" s="2" t="str">
        <f>IFERROR(VLOOKUP(C165,'Catálogo Productos'!$B$3:$E$53,3,0),"")</f>
        <v/>
      </c>
      <c r="F165" s="2" t="str">
        <f>IFERROR(VLOOKUP(C165,'Catálogo Productos'!$B$3:$E$53,4,0),"")</f>
        <v/>
      </c>
      <c r="G165" s="2" t="str">
        <f>IF(F165="","",IF(I165="SÍ",F165*'Configuración'!$C$5,0))</f>
        <v/>
      </c>
      <c r="H165" s="2"/>
      <c r="I165" s="2"/>
      <c r="J165" s="2" t="str">
        <f>IF(F165="","",IF(H165="SÍ",'Configuración'!$C$6,0))</f>
        <v/>
      </c>
      <c r="K165" s="2" t="str">
        <f t="shared" si="6"/>
        <v/>
      </c>
      <c r="L165" s="2" t="str">
        <f t="shared" si="7"/>
        <v/>
      </c>
      <c r="M165" s="2" t="str">
        <f t="shared" si="8"/>
        <v/>
      </c>
      <c r="N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2">
        <v>162.0</v>
      </c>
      <c r="B166" s="2"/>
      <c r="C166" s="2"/>
      <c r="D166" s="2" t="str">
        <f>IFERROR(VLOOKUP(C166,'Catálogo Productos'!$B$3:$E$53,2,0),"")</f>
        <v/>
      </c>
      <c r="E166" s="2" t="str">
        <f>IFERROR(VLOOKUP(C166,'Catálogo Productos'!$B$3:$E$53,3,0),"")</f>
        <v/>
      </c>
      <c r="F166" s="2" t="str">
        <f>IFERROR(VLOOKUP(C166,'Catálogo Productos'!$B$3:$E$53,4,0),"")</f>
        <v/>
      </c>
      <c r="G166" s="2" t="str">
        <f>IF(F166="","",IF(I166="SÍ",F166*'Configuración'!$C$5,0))</f>
        <v/>
      </c>
      <c r="H166" s="2"/>
      <c r="I166" s="2"/>
      <c r="J166" s="2" t="str">
        <f>IF(F166="","",IF(H166="SÍ",'Configuración'!$C$6,0))</f>
        <v/>
      </c>
      <c r="K166" s="2" t="str">
        <f t="shared" si="6"/>
        <v/>
      </c>
      <c r="L166" s="2" t="str">
        <f t="shared" si="7"/>
        <v/>
      </c>
      <c r="M166" s="2" t="str">
        <f t="shared" si="8"/>
        <v/>
      </c>
      <c r="N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>
      <c r="A167" s="2">
        <v>163.0</v>
      </c>
      <c r="B167" s="2"/>
      <c r="C167" s="2"/>
      <c r="D167" s="2" t="str">
        <f>IFERROR(VLOOKUP(C167,'Catálogo Productos'!$B$3:$E$53,2,0),"")</f>
        <v/>
      </c>
      <c r="E167" s="2" t="str">
        <f>IFERROR(VLOOKUP(C167,'Catálogo Productos'!$B$3:$E$53,3,0),"")</f>
        <v/>
      </c>
      <c r="F167" s="2" t="str">
        <f>IFERROR(VLOOKUP(C167,'Catálogo Productos'!$B$3:$E$53,4,0),"")</f>
        <v/>
      </c>
      <c r="G167" s="2" t="str">
        <f>IF(F167="","",IF(I167="SÍ",F167*'Configuración'!$C$5,0))</f>
        <v/>
      </c>
      <c r="H167" s="2"/>
      <c r="I167" s="2"/>
      <c r="J167" s="2" t="str">
        <f>IF(F167="","",IF(H167="SÍ",'Configuración'!$C$6,0))</f>
        <v/>
      </c>
      <c r="K167" s="2" t="str">
        <f t="shared" si="6"/>
        <v/>
      </c>
      <c r="L167" s="2" t="str">
        <f t="shared" si="7"/>
        <v/>
      </c>
      <c r="M167" s="2" t="str">
        <f t="shared" si="8"/>
        <v/>
      </c>
      <c r="N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2">
        <v>164.0</v>
      </c>
      <c r="B168" s="2"/>
      <c r="C168" s="2"/>
      <c r="D168" s="2" t="str">
        <f>IFERROR(VLOOKUP(C168,'Catálogo Productos'!$B$3:$E$53,2,0),"")</f>
        <v/>
      </c>
      <c r="E168" s="2" t="str">
        <f>IFERROR(VLOOKUP(C168,'Catálogo Productos'!$B$3:$E$53,3,0),"")</f>
        <v/>
      </c>
      <c r="F168" s="2" t="str">
        <f>IFERROR(VLOOKUP(C168,'Catálogo Productos'!$B$3:$E$53,4,0),"")</f>
        <v/>
      </c>
      <c r="G168" s="2" t="str">
        <f>IF(F168="","",IF(I168="SÍ",F168*'Configuración'!$C$5,0))</f>
        <v/>
      </c>
      <c r="H168" s="2"/>
      <c r="I168" s="2"/>
      <c r="J168" s="2" t="str">
        <f>IF(F168="","",IF(H168="SÍ",'Configuración'!$C$6,0))</f>
        <v/>
      </c>
      <c r="K168" s="2" t="str">
        <f t="shared" si="6"/>
        <v/>
      </c>
      <c r="L168" s="2" t="str">
        <f t="shared" si="7"/>
        <v/>
      </c>
      <c r="M168" s="2" t="str">
        <f t="shared" si="8"/>
        <v/>
      </c>
      <c r="N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2">
        <v>165.0</v>
      </c>
      <c r="B169" s="2"/>
      <c r="C169" s="2"/>
      <c r="D169" s="2" t="str">
        <f>IFERROR(VLOOKUP(C169,'Catálogo Productos'!$B$3:$E$53,2,0),"")</f>
        <v/>
      </c>
      <c r="E169" s="2" t="str">
        <f>IFERROR(VLOOKUP(C169,'Catálogo Productos'!$B$3:$E$53,3,0),"")</f>
        <v/>
      </c>
      <c r="F169" s="2" t="str">
        <f>IFERROR(VLOOKUP(C169,'Catálogo Productos'!$B$3:$E$53,4,0),"")</f>
        <v/>
      </c>
      <c r="G169" s="2" t="str">
        <f>IF(F169="","",IF(I169="SÍ",F169*'Configuración'!$C$5,0))</f>
        <v/>
      </c>
      <c r="H169" s="2"/>
      <c r="I169" s="2"/>
      <c r="J169" s="2" t="str">
        <f>IF(F169="","",IF(H169="SÍ",'Configuración'!$C$6,0))</f>
        <v/>
      </c>
      <c r="K169" s="2" t="str">
        <f t="shared" si="6"/>
        <v/>
      </c>
      <c r="L169" s="2" t="str">
        <f t="shared" si="7"/>
        <v/>
      </c>
      <c r="M169" s="2" t="str">
        <f t="shared" si="8"/>
        <v/>
      </c>
      <c r="N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>
      <c r="A170" s="2">
        <v>166.0</v>
      </c>
      <c r="B170" s="2"/>
      <c r="C170" s="2"/>
      <c r="D170" s="2" t="str">
        <f>IFERROR(VLOOKUP(C170,'Catálogo Productos'!$B$3:$E$53,2,0),"")</f>
        <v/>
      </c>
      <c r="E170" s="2" t="str">
        <f>IFERROR(VLOOKUP(C170,'Catálogo Productos'!$B$3:$E$53,3,0),"")</f>
        <v/>
      </c>
      <c r="F170" s="2" t="str">
        <f>IFERROR(VLOOKUP(C170,'Catálogo Productos'!$B$3:$E$53,4,0),"")</f>
        <v/>
      </c>
      <c r="G170" s="2" t="str">
        <f>IF(F170="","",IF(I170="SÍ",F170*'Configuración'!$C$5,0))</f>
        <v/>
      </c>
      <c r="H170" s="2"/>
      <c r="I170" s="2"/>
      <c r="J170" s="2" t="str">
        <f>IF(F170="","",IF(H170="SÍ",'Configuración'!$C$6,0))</f>
        <v/>
      </c>
      <c r="K170" s="2" t="str">
        <f t="shared" si="6"/>
        <v/>
      </c>
      <c r="L170" s="2" t="str">
        <f t="shared" si="7"/>
        <v/>
      </c>
      <c r="M170" s="2" t="str">
        <f t="shared" si="8"/>
        <v/>
      </c>
      <c r="N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>
      <c r="A171" s="2">
        <v>167.0</v>
      </c>
      <c r="B171" s="2"/>
      <c r="C171" s="2"/>
      <c r="D171" s="2" t="str">
        <f>IFERROR(VLOOKUP(C171,'Catálogo Productos'!$B$3:$E$53,2,0),"")</f>
        <v/>
      </c>
      <c r="E171" s="2" t="str">
        <f>IFERROR(VLOOKUP(C171,'Catálogo Productos'!$B$3:$E$53,3,0),"")</f>
        <v/>
      </c>
      <c r="F171" s="2" t="str">
        <f>IFERROR(VLOOKUP(C171,'Catálogo Productos'!$B$3:$E$53,4,0),"")</f>
        <v/>
      </c>
      <c r="G171" s="2" t="str">
        <f>IF(F171="","",IF(I171="SÍ",F171*'Configuración'!$C$5,0))</f>
        <v/>
      </c>
      <c r="H171" s="2"/>
      <c r="I171" s="2"/>
      <c r="J171" s="2" t="str">
        <f>IF(F171="","",IF(H171="SÍ",'Configuración'!$C$6,0))</f>
        <v/>
      </c>
      <c r="K171" s="2" t="str">
        <f t="shared" si="6"/>
        <v/>
      </c>
      <c r="L171" s="2" t="str">
        <f t="shared" si="7"/>
        <v/>
      </c>
      <c r="M171" s="2" t="str">
        <f t="shared" si="8"/>
        <v/>
      </c>
      <c r="N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>
      <c r="A172" s="2">
        <v>168.0</v>
      </c>
      <c r="B172" s="2"/>
      <c r="C172" s="2"/>
      <c r="D172" s="2" t="str">
        <f>IFERROR(VLOOKUP(C172,'Catálogo Productos'!$B$3:$E$53,2,0),"")</f>
        <v/>
      </c>
      <c r="E172" s="2" t="str">
        <f>IFERROR(VLOOKUP(C172,'Catálogo Productos'!$B$3:$E$53,3,0),"")</f>
        <v/>
      </c>
      <c r="F172" s="2" t="str">
        <f>IFERROR(VLOOKUP(C172,'Catálogo Productos'!$B$3:$E$53,4,0),"")</f>
        <v/>
      </c>
      <c r="G172" s="2" t="str">
        <f>IF(F172="","",IF(I172="SÍ",F172*'Configuración'!$C$5,0))</f>
        <v/>
      </c>
      <c r="H172" s="2"/>
      <c r="I172" s="2"/>
      <c r="J172" s="2" t="str">
        <f>IF(F172="","",IF(H172="SÍ",'Configuración'!$C$6,0))</f>
        <v/>
      </c>
      <c r="K172" s="2" t="str">
        <f t="shared" si="6"/>
        <v/>
      </c>
      <c r="L172" s="2" t="str">
        <f t="shared" si="7"/>
        <v/>
      </c>
      <c r="M172" s="2" t="str">
        <f t="shared" si="8"/>
        <v/>
      </c>
      <c r="N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2">
        <v>169.0</v>
      </c>
      <c r="B173" s="2"/>
      <c r="C173" s="2"/>
      <c r="D173" s="2" t="str">
        <f>IFERROR(VLOOKUP(C173,'Catálogo Productos'!$B$3:$E$53,2,0),"")</f>
        <v/>
      </c>
      <c r="E173" s="2" t="str">
        <f>IFERROR(VLOOKUP(C173,'Catálogo Productos'!$B$3:$E$53,3,0),"")</f>
        <v/>
      </c>
      <c r="F173" s="2" t="str">
        <f>IFERROR(VLOOKUP(C173,'Catálogo Productos'!$B$3:$E$53,4,0),"")</f>
        <v/>
      </c>
      <c r="G173" s="2" t="str">
        <f>IF(F173="","",IF(I173="SÍ",F173*'Configuración'!$C$5,0))</f>
        <v/>
      </c>
      <c r="H173" s="2"/>
      <c r="I173" s="2"/>
      <c r="J173" s="2" t="str">
        <f>IF(F173="","",IF(H173="SÍ",'Configuración'!$C$6,0))</f>
        <v/>
      </c>
      <c r="K173" s="2" t="str">
        <f t="shared" si="6"/>
        <v/>
      </c>
      <c r="L173" s="2" t="str">
        <f t="shared" si="7"/>
        <v/>
      </c>
      <c r="M173" s="2" t="str">
        <f t="shared" si="8"/>
        <v/>
      </c>
      <c r="N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2">
        <v>170.0</v>
      </c>
      <c r="B174" s="2"/>
      <c r="C174" s="2"/>
      <c r="D174" s="2" t="str">
        <f>IFERROR(VLOOKUP(C174,'Catálogo Productos'!$B$3:$E$53,2,0),"")</f>
        <v/>
      </c>
      <c r="E174" s="2" t="str">
        <f>IFERROR(VLOOKUP(C174,'Catálogo Productos'!$B$3:$E$53,3,0),"")</f>
        <v/>
      </c>
      <c r="F174" s="2" t="str">
        <f>IFERROR(VLOOKUP(C174,'Catálogo Productos'!$B$3:$E$53,4,0),"")</f>
        <v/>
      </c>
      <c r="G174" s="2" t="str">
        <f>IF(F174="","",IF(I174="SÍ",F174*'Configuración'!$C$5,0))</f>
        <v/>
      </c>
      <c r="H174" s="2"/>
      <c r="I174" s="2"/>
      <c r="J174" s="2" t="str">
        <f>IF(F174="","",IF(H174="SÍ",'Configuración'!$C$6,0))</f>
        <v/>
      </c>
      <c r="K174" s="2" t="str">
        <f t="shared" si="6"/>
        <v/>
      </c>
      <c r="L174" s="2" t="str">
        <f t="shared" si="7"/>
        <v/>
      </c>
      <c r="M174" s="2" t="str">
        <f t="shared" si="8"/>
        <v/>
      </c>
      <c r="N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2">
        <v>171.0</v>
      </c>
      <c r="B175" s="2"/>
      <c r="C175" s="2"/>
      <c r="D175" s="2" t="str">
        <f>IFERROR(VLOOKUP(C175,'Catálogo Productos'!$B$3:$E$53,2,0),"")</f>
        <v/>
      </c>
      <c r="E175" s="2" t="str">
        <f>IFERROR(VLOOKUP(C175,'Catálogo Productos'!$B$3:$E$53,3,0),"")</f>
        <v/>
      </c>
      <c r="F175" s="2" t="str">
        <f>IFERROR(VLOOKUP(C175,'Catálogo Productos'!$B$3:$E$53,4,0),"")</f>
        <v/>
      </c>
      <c r="G175" s="2" t="str">
        <f>IF(F175="","",IF(I175="SÍ",F175*'Configuración'!$C$5,0))</f>
        <v/>
      </c>
      <c r="H175" s="2"/>
      <c r="I175" s="2"/>
      <c r="J175" s="2" t="str">
        <f>IF(F175="","",IF(H175="SÍ",'Configuración'!$C$6,0))</f>
        <v/>
      </c>
      <c r="K175" s="2" t="str">
        <f t="shared" si="6"/>
        <v/>
      </c>
      <c r="L175" s="2" t="str">
        <f t="shared" si="7"/>
        <v/>
      </c>
      <c r="M175" s="2" t="str">
        <f t="shared" si="8"/>
        <v/>
      </c>
      <c r="N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2">
        <v>172.0</v>
      </c>
      <c r="B176" s="2"/>
      <c r="C176" s="2"/>
      <c r="D176" s="2" t="str">
        <f>IFERROR(VLOOKUP(C176,'Catálogo Productos'!$B$3:$E$53,2,0),"")</f>
        <v/>
      </c>
      <c r="E176" s="2" t="str">
        <f>IFERROR(VLOOKUP(C176,'Catálogo Productos'!$B$3:$E$53,3,0),"")</f>
        <v/>
      </c>
      <c r="F176" s="2" t="str">
        <f>IFERROR(VLOOKUP(C176,'Catálogo Productos'!$B$3:$E$53,4,0),"")</f>
        <v/>
      </c>
      <c r="G176" s="2" t="str">
        <f>IF(F176="","",IF(I176="SÍ",F176*'Configuración'!$C$5,0))</f>
        <v/>
      </c>
      <c r="H176" s="2"/>
      <c r="I176" s="2"/>
      <c r="J176" s="2" t="str">
        <f>IF(F176="","",IF(H176="SÍ",'Configuración'!$C$6,0))</f>
        <v/>
      </c>
      <c r="K176" s="2" t="str">
        <f t="shared" si="6"/>
        <v/>
      </c>
      <c r="L176" s="2" t="str">
        <f t="shared" si="7"/>
        <v/>
      </c>
      <c r="M176" s="2" t="str">
        <f t="shared" si="8"/>
        <v/>
      </c>
      <c r="N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2">
        <v>173.0</v>
      </c>
      <c r="B177" s="2"/>
      <c r="C177" s="2"/>
      <c r="D177" s="2" t="str">
        <f>IFERROR(VLOOKUP(C177,'Catálogo Productos'!$B$3:$E$53,2,0),"")</f>
        <v/>
      </c>
      <c r="E177" s="2" t="str">
        <f>IFERROR(VLOOKUP(C177,'Catálogo Productos'!$B$3:$E$53,3,0),"")</f>
        <v/>
      </c>
      <c r="F177" s="2" t="str">
        <f>IFERROR(VLOOKUP(C177,'Catálogo Productos'!$B$3:$E$53,4,0),"")</f>
        <v/>
      </c>
      <c r="G177" s="2" t="str">
        <f>IF(F177="","",IF(I177="SÍ",F177*'Configuración'!$C$5,0))</f>
        <v/>
      </c>
      <c r="H177" s="2"/>
      <c r="I177" s="2"/>
      <c r="J177" s="2" t="str">
        <f>IF(F177="","",IF(H177="SÍ",'Configuración'!$C$6,0))</f>
        <v/>
      </c>
      <c r="K177" s="2" t="str">
        <f t="shared" si="6"/>
        <v/>
      </c>
      <c r="L177" s="2" t="str">
        <f t="shared" si="7"/>
        <v/>
      </c>
      <c r="M177" s="2" t="str">
        <f t="shared" si="8"/>
        <v/>
      </c>
      <c r="N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2">
        <v>174.0</v>
      </c>
      <c r="B178" s="2"/>
      <c r="C178" s="2"/>
      <c r="D178" s="2" t="str">
        <f>IFERROR(VLOOKUP(C178,'Catálogo Productos'!$B$3:$E$53,2,0),"")</f>
        <v/>
      </c>
      <c r="E178" s="2" t="str">
        <f>IFERROR(VLOOKUP(C178,'Catálogo Productos'!$B$3:$E$53,3,0),"")</f>
        <v/>
      </c>
      <c r="F178" s="2" t="str">
        <f>IFERROR(VLOOKUP(C178,'Catálogo Productos'!$B$3:$E$53,4,0),"")</f>
        <v/>
      </c>
      <c r="G178" s="2" t="str">
        <f>IF(F178="","",IF(I178="SÍ",F178*'Configuración'!$C$5,0))</f>
        <v/>
      </c>
      <c r="H178" s="2"/>
      <c r="I178" s="2"/>
      <c r="J178" s="2" t="str">
        <f>IF(F178="","",IF(H178="SÍ",'Configuración'!$C$6,0))</f>
        <v/>
      </c>
      <c r="K178" s="2" t="str">
        <f t="shared" si="6"/>
        <v/>
      </c>
      <c r="L178" s="2" t="str">
        <f t="shared" si="7"/>
        <v/>
      </c>
      <c r="M178" s="2" t="str">
        <f t="shared" si="8"/>
        <v/>
      </c>
      <c r="N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2">
        <v>175.0</v>
      </c>
      <c r="B179" s="2"/>
      <c r="C179" s="2"/>
      <c r="D179" s="2" t="str">
        <f>IFERROR(VLOOKUP(C179,'Catálogo Productos'!$B$3:$E$53,2,0),"")</f>
        <v/>
      </c>
      <c r="E179" s="2" t="str">
        <f>IFERROR(VLOOKUP(C179,'Catálogo Productos'!$B$3:$E$53,3,0),"")</f>
        <v/>
      </c>
      <c r="F179" s="2" t="str">
        <f>IFERROR(VLOOKUP(C179,'Catálogo Productos'!$B$3:$E$53,4,0),"")</f>
        <v/>
      </c>
      <c r="G179" s="2" t="str">
        <f>IF(F179="","",IF(I179="SÍ",F179*'Configuración'!$C$5,0))</f>
        <v/>
      </c>
      <c r="H179" s="2"/>
      <c r="I179" s="2"/>
      <c r="J179" s="2" t="str">
        <f>IF(F179="","",IF(H179="SÍ",'Configuración'!$C$6,0))</f>
        <v/>
      </c>
      <c r="K179" s="2" t="str">
        <f t="shared" si="6"/>
        <v/>
      </c>
      <c r="L179" s="2" t="str">
        <f t="shared" si="7"/>
        <v/>
      </c>
      <c r="M179" s="2" t="str">
        <f t="shared" si="8"/>
        <v/>
      </c>
      <c r="N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2">
        <v>176.0</v>
      </c>
      <c r="B180" s="2"/>
      <c r="C180" s="2"/>
      <c r="D180" s="2" t="str">
        <f>IFERROR(VLOOKUP(C180,'Catálogo Productos'!$B$3:$E$53,2,0),"")</f>
        <v/>
      </c>
      <c r="E180" s="2" t="str">
        <f>IFERROR(VLOOKUP(C180,'Catálogo Productos'!$B$3:$E$53,3,0),"")</f>
        <v/>
      </c>
      <c r="F180" s="2" t="str">
        <f>IFERROR(VLOOKUP(C180,'Catálogo Productos'!$B$3:$E$53,4,0),"")</f>
        <v/>
      </c>
      <c r="G180" s="2" t="str">
        <f>IF(F180="","",IF(I180="SÍ",F180*'Configuración'!$C$5,0))</f>
        <v/>
      </c>
      <c r="H180" s="2"/>
      <c r="I180" s="2"/>
      <c r="J180" s="2" t="str">
        <f>IF(F180="","",IF(H180="SÍ",'Configuración'!$C$6,0))</f>
        <v/>
      </c>
      <c r="K180" s="2" t="str">
        <f t="shared" si="6"/>
        <v/>
      </c>
      <c r="L180" s="2" t="str">
        <f t="shared" si="7"/>
        <v/>
      </c>
      <c r="M180" s="2" t="str">
        <f t="shared" si="8"/>
        <v/>
      </c>
      <c r="N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2">
        <v>177.0</v>
      </c>
      <c r="B181" s="2"/>
      <c r="C181" s="2"/>
      <c r="D181" s="2" t="str">
        <f>IFERROR(VLOOKUP(C181,'Catálogo Productos'!$B$3:$E$53,2,0),"")</f>
        <v/>
      </c>
      <c r="E181" s="2" t="str">
        <f>IFERROR(VLOOKUP(C181,'Catálogo Productos'!$B$3:$E$53,3,0),"")</f>
        <v/>
      </c>
      <c r="F181" s="2" t="str">
        <f>IFERROR(VLOOKUP(C181,'Catálogo Productos'!$B$3:$E$53,4,0),"")</f>
        <v/>
      </c>
      <c r="G181" s="2" t="str">
        <f>IF(F181="","",IF(I181="SÍ",F181*'Configuración'!$C$5,0))</f>
        <v/>
      </c>
      <c r="H181" s="2"/>
      <c r="I181" s="2"/>
      <c r="J181" s="2" t="str">
        <f>IF(F181="","",IF(H181="SÍ",'Configuración'!$C$6,0))</f>
        <v/>
      </c>
      <c r="K181" s="2" t="str">
        <f t="shared" si="6"/>
        <v/>
      </c>
      <c r="L181" s="2" t="str">
        <f t="shared" si="7"/>
        <v/>
      </c>
      <c r="M181" s="2" t="str">
        <f t="shared" si="8"/>
        <v/>
      </c>
      <c r="N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2">
        <v>178.0</v>
      </c>
      <c r="B182" s="2"/>
      <c r="C182" s="2"/>
      <c r="D182" s="2" t="str">
        <f>IFERROR(VLOOKUP(C182,'Catálogo Productos'!$B$3:$E$53,2,0),"")</f>
        <v/>
      </c>
      <c r="E182" s="2" t="str">
        <f>IFERROR(VLOOKUP(C182,'Catálogo Productos'!$B$3:$E$53,3,0),"")</f>
        <v/>
      </c>
      <c r="F182" s="2" t="str">
        <f>IFERROR(VLOOKUP(C182,'Catálogo Productos'!$B$3:$E$53,4,0),"")</f>
        <v/>
      </c>
      <c r="G182" s="2" t="str">
        <f>IF(F182="","",IF(I182="SÍ",F182*'Configuración'!$C$5,0))</f>
        <v/>
      </c>
      <c r="H182" s="2"/>
      <c r="I182" s="2"/>
      <c r="J182" s="2" t="str">
        <f>IF(F182="","",IF(H182="SÍ",'Configuración'!$C$6,0))</f>
        <v/>
      </c>
      <c r="K182" s="2" t="str">
        <f t="shared" si="6"/>
        <v/>
      </c>
      <c r="L182" s="2" t="str">
        <f t="shared" si="7"/>
        <v/>
      </c>
      <c r="M182" s="2" t="str">
        <f t="shared" si="8"/>
        <v/>
      </c>
      <c r="N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2">
        <v>179.0</v>
      </c>
      <c r="B183" s="2"/>
      <c r="C183" s="2"/>
      <c r="D183" s="2" t="str">
        <f>IFERROR(VLOOKUP(C183,'Catálogo Productos'!$B$3:$E$53,2,0),"")</f>
        <v/>
      </c>
      <c r="E183" s="2" t="str">
        <f>IFERROR(VLOOKUP(C183,'Catálogo Productos'!$B$3:$E$53,3,0),"")</f>
        <v/>
      </c>
      <c r="F183" s="2" t="str">
        <f>IFERROR(VLOOKUP(C183,'Catálogo Productos'!$B$3:$E$53,4,0),"")</f>
        <v/>
      </c>
      <c r="G183" s="2" t="str">
        <f>IF(F183="","",IF(I183="SÍ",F183*'Configuración'!$C$5,0))</f>
        <v/>
      </c>
      <c r="H183" s="2"/>
      <c r="I183" s="2"/>
      <c r="J183" s="2" t="str">
        <f>IF(F183="","",IF(H183="SÍ",'Configuración'!$C$6,0))</f>
        <v/>
      </c>
      <c r="K183" s="2" t="str">
        <f t="shared" si="6"/>
        <v/>
      </c>
      <c r="L183" s="2" t="str">
        <f t="shared" si="7"/>
        <v/>
      </c>
      <c r="M183" s="2" t="str">
        <f t="shared" si="8"/>
        <v/>
      </c>
      <c r="N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2">
        <v>180.0</v>
      </c>
      <c r="B184" s="2"/>
      <c r="C184" s="2"/>
      <c r="D184" s="2" t="str">
        <f>IFERROR(VLOOKUP(C184,'Catálogo Productos'!$B$3:$E$53,2,0),"")</f>
        <v/>
      </c>
      <c r="E184" s="2" t="str">
        <f>IFERROR(VLOOKUP(C184,'Catálogo Productos'!$B$3:$E$53,3,0),"")</f>
        <v/>
      </c>
      <c r="F184" s="2" t="str">
        <f>IFERROR(VLOOKUP(C184,'Catálogo Productos'!$B$3:$E$53,4,0),"")</f>
        <v/>
      </c>
      <c r="G184" s="2" t="str">
        <f>IF(F184="","",IF(I184="SÍ",F184*'Configuración'!$C$5,0))</f>
        <v/>
      </c>
      <c r="H184" s="2"/>
      <c r="I184" s="2"/>
      <c r="J184" s="2" t="str">
        <f>IF(F184="","",IF(H184="SÍ",'Configuración'!$C$6,0))</f>
        <v/>
      </c>
      <c r="K184" s="2" t="str">
        <f t="shared" si="6"/>
        <v/>
      </c>
      <c r="L184" s="2" t="str">
        <f t="shared" si="7"/>
        <v/>
      </c>
      <c r="M184" s="2" t="str">
        <f t="shared" si="8"/>
        <v/>
      </c>
      <c r="N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2">
        <v>181.0</v>
      </c>
      <c r="B185" s="2"/>
      <c r="C185" s="2"/>
      <c r="D185" s="2" t="str">
        <f>IFERROR(VLOOKUP(C185,'Catálogo Productos'!$B$3:$E$53,2,0),"")</f>
        <v/>
      </c>
      <c r="E185" s="2" t="str">
        <f>IFERROR(VLOOKUP(C185,'Catálogo Productos'!$B$3:$E$53,3,0),"")</f>
        <v/>
      </c>
      <c r="F185" s="2" t="str">
        <f>IFERROR(VLOOKUP(C185,'Catálogo Productos'!$B$3:$E$53,4,0),"")</f>
        <v/>
      </c>
      <c r="G185" s="2" t="str">
        <f>IF(F185="","",IF(I185="SÍ",F185*'Configuración'!$C$5,0))</f>
        <v/>
      </c>
      <c r="H185" s="2"/>
      <c r="I185" s="2"/>
      <c r="J185" s="2" t="str">
        <f>IF(F185="","",IF(H185="SÍ",'Configuración'!$C$6,0))</f>
        <v/>
      </c>
      <c r="K185" s="2" t="str">
        <f t="shared" si="6"/>
        <v/>
      </c>
      <c r="L185" s="2" t="str">
        <f t="shared" si="7"/>
        <v/>
      </c>
      <c r="M185" s="2" t="str">
        <f t="shared" si="8"/>
        <v/>
      </c>
      <c r="N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2">
        <v>182.0</v>
      </c>
      <c r="B186" s="2"/>
      <c r="C186" s="2"/>
      <c r="D186" s="2" t="str">
        <f>IFERROR(VLOOKUP(C186,'Catálogo Productos'!$B$3:$E$53,2,0),"")</f>
        <v/>
      </c>
      <c r="E186" s="2" t="str">
        <f>IFERROR(VLOOKUP(C186,'Catálogo Productos'!$B$3:$E$53,3,0),"")</f>
        <v/>
      </c>
      <c r="F186" s="2" t="str">
        <f>IFERROR(VLOOKUP(C186,'Catálogo Productos'!$B$3:$E$53,4,0),"")</f>
        <v/>
      </c>
      <c r="G186" s="2" t="str">
        <f>IF(F186="","",IF(I186="SÍ",F186*'Configuración'!$C$5,0))</f>
        <v/>
      </c>
      <c r="H186" s="2"/>
      <c r="I186" s="2"/>
      <c r="J186" s="2" t="str">
        <f>IF(F186="","",IF(H186="SÍ",'Configuración'!$C$6,0))</f>
        <v/>
      </c>
      <c r="K186" s="2" t="str">
        <f t="shared" si="6"/>
        <v/>
      </c>
      <c r="L186" s="2" t="str">
        <f t="shared" si="7"/>
        <v/>
      </c>
      <c r="M186" s="2" t="str">
        <f t="shared" si="8"/>
        <v/>
      </c>
      <c r="N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2">
        <v>183.0</v>
      </c>
      <c r="B187" s="2"/>
      <c r="C187" s="2"/>
      <c r="D187" s="2" t="str">
        <f>IFERROR(VLOOKUP(C187,'Catálogo Productos'!$B$3:$E$53,2,0),"")</f>
        <v/>
      </c>
      <c r="E187" s="2" t="str">
        <f>IFERROR(VLOOKUP(C187,'Catálogo Productos'!$B$3:$E$53,3,0),"")</f>
        <v/>
      </c>
      <c r="F187" s="2" t="str">
        <f>IFERROR(VLOOKUP(C187,'Catálogo Productos'!$B$3:$E$53,4,0),"")</f>
        <v/>
      </c>
      <c r="G187" s="2" t="str">
        <f>IF(F187="","",IF(I187="SÍ",F187*'Configuración'!$C$5,0))</f>
        <v/>
      </c>
      <c r="H187" s="2"/>
      <c r="I187" s="2"/>
      <c r="J187" s="2" t="str">
        <f>IF(F187="","",IF(H187="SÍ",'Configuración'!$C$6,0))</f>
        <v/>
      </c>
      <c r="K187" s="2" t="str">
        <f t="shared" si="6"/>
        <v/>
      </c>
      <c r="L187" s="2" t="str">
        <f t="shared" si="7"/>
        <v/>
      </c>
      <c r="M187" s="2" t="str">
        <f t="shared" si="8"/>
        <v/>
      </c>
      <c r="N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2">
        <v>184.0</v>
      </c>
      <c r="B188" s="2"/>
      <c r="C188" s="2"/>
      <c r="D188" s="2" t="str">
        <f>IFERROR(VLOOKUP(C188,'Catálogo Productos'!$B$3:$E$53,2,0),"")</f>
        <v/>
      </c>
      <c r="E188" s="2" t="str">
        <f>IFERROR(VLOOKUP(C188,'Catálogo Productos'!$B$3:$E$53,3,0),"")</f>
        <v/>
      </c>
      <c r="F188" s="2" t="str">
        <f>IFERROR(VLOOKUP(C188,'Catálogo Productos'!$B$3:$E$53,4,0),"")</f>
        <v/>
      </c>
      <c r="G188" s="2" t="str">
        <f>IF(F188="","",IF(I188="SÍ",F188*'Configuración'!$C$5,0))</f>
        <v/>
      </c>
      <c r="H188" s="2"/>
      <c r="I188" s="2"/>
      <c r="J188" s="2" t="str">
        <f>IF(F188="","",IF(H188="SÍ",'Configuración'!$C$6,0))</f>
        <v/>
      </c>
      <c r="K188" s="2" t="str">
        <f t="shared" si="6"/>
        <v/>
      </c>
      <c r="L188" s="2" t="str">
        <f t="shared" si="7"/>
        <v/>
      </c>
      <c r="M188" s="2" t="str">
        <f t="shared" si="8"/>
        <v/>
      </c>
      <c r="N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2">
        <v>185.0</v>
      </c>
      <c r="B189" s="2"/>
      <c r="C189" s="2"/>
      <c r="D189" s="2" t="str">
        <f>IFERROR(VLOOKUP(C189,'Catálogo Productos'!$B$3:$E$53,2,0),"")</f>
        <v/>
      </c>
      <c r="E189" s="2" t="str">
        <f>IFERROR(VLOOKUP(C189,'Catálogo Productos'!$B$3:$E$53,3,0),"")</f>
        <v/>
      </c>
      <c r="F189" s="2" t="str">
        <f>IFERROR(VLOOKUP(C189,'Catálogo Productos'!$B$3:$E$53,4,0),"")</f>
        <v/>
      </c>
      <c r="G189" s="2" t="str">
        <f>IF(F189="","",IF(I189="SÍ",F189*'Configuración'!$C$5,0))</f>
        <v/>
      </c>
      <c r="H189" s="2"/>
      <c r="I189" s="2"/>
      <c r="J189" s="2" t="str">
        <f>IF(F189="","",IF(H189="SÍ",'Configuración'!$C$6,0))</f>
        <v/>
      </c>
      <c r="K189" s="2" t="str">
        <f t="shared" si="6"/>
        <v/>
      </c>
      <c r="L189" s="2" t="str">
        <f t="shared" si="7"/>
        <v/>
      </c>
      <c r="M189" s="2" t="str">
        <f t="shared" si="8"/>
        <v/>
      </c>
      <c r="N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2">
        <v>186.0</v>
      </c>
      <c r="B190" s="2"/>
      <c r="C190" s="2"/>
      <c r="D190" s="2" t="str">
        <f>IFERROR(VLOOKUP(C190,'Catálogo Productos'!$B$3:$E$53,2,0),"")</f>
        <v/>
      </c>
      <c r="E190" s="2" t="str">
        <f>IFERROR(VLOOKUP(C190,'Catálogo Productos'!$B$3:$E$53,3,0),"")</f>
        <v/>
      </c>
      <c r="F190" s="2" t="str">
        <f>IFERROR(VLOOKUP(C190,'Catálogo Productos'!$B$3:$E$53,4,0),"")</f>
        <v/>
      </c>
      <c r="G190" s="2" t="str">
        <f>IF(F190="","",IF(I190="SÍ",F190*'Configuración'!$C$5,0))</f>
        <v/>
      </c>
      <c r="H190" s="2"/>
      <c r="I190" s="2"/>
      <c r="J190" s="2" t="str">
        <f>IF(F190="","",IF(H190="SÍ",'Configuración'!$C$6,0))</f>
        <v/>
      </c>
      <c r="K190" s="2" t="str">
        <f t="shared" si="6"/>
        <v/>
      </c>
      <c r="L190" s="2" t="str">
        <f t="shared" si="7"/>
        <v/>
      </c>
      <c r="M190" s="2" t="str">
        <f t="shared" si="8"/>
        <v/>
      </c>
      <c r="N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2">
        <v>187.0</v>
      </c>
      <c r="B191" s="2"/>
      <c r="C191" s="2"/>
      <c r="D191" s="2" t="str">
        <f>IFERROR(VLOOKUP(C191,'Catálogo Productos'!$B$3:$E$53,2,0),"")</f>
        <v/>
      </c>
      <c r="E191" s="2" t="str">
        <f>IFERROR(VLOOKUP(C191,'Catálogo Productos'!$B$3:$E$53,3,0),"")</f>
        <v/>
      </c>
      <c r="F191" s="2" t="str">
        <f>IFERROR(VLOOKUP(C191,'Catálogo Productos'!$B$3:$E$53,4,0),"")</f>
        <v/>
      </c>
      <c r="G191" s="2" t="str">
        <f>IF(F191="","",IF(I191="SÍ",F191*'Configuración'!$C$5,0))</f>
        <v/>
      </c>
      <c r="H191" s="2"/>
      <c r="I191" s="2"/>
      <c r="J191" s="2" t="str">
        <f>IF(F191="","",IF(H191="SÍ",'Configuración'!$C$6,0))</f>
        <v/>
      </c>
      <c r="K191" s="2" t="str">
        <f t="shared" si="6"/>
        <v/>
      </c>
      <c r="L191" s="2" t="str">
        <f t="shared" si="7"/>
        <v/>
      </c>
      <c r="M191" s="2" t="str">
        <f t="shared" si="8"/>
        <v/>
      </c>
      <c r="N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2">
        <v>188.0</v>
      </c>
      <c r="B192" s="2"/>
      <c r="C192" s="2"/>
      <c r="D192" s="2" t="str">
        <f>IFERROR(VLOOKUP(C192,'Catálogo Productos'!$B$3:$E$53,2,0),"")</f>
        <v/>
      </c>
      <c r="E192" s="2" t="str">
        <f>IFERROR(VLOOKUP(C192,'Catálogo Productos'!$B$3:$E$53,3,0),"")</f>
        <v/>
      </c>
      <c r="F192" s="2" t="str">
        <f>IFERROR(VLOOKUP(C192,'Catálogo Productos'!$B$3:$E$53,4,0),"")</f>
        <v/>
      </c>
      <c r="G192" s="2" t="str">
        <f>IF(F192="","",IF(I192="SÍ",F192*'Configuración'!$C$5,0))</f>
        <v/>
      </c>
      <c r="H192" s="2"/>
      <c r="I192" s="2"/>
      <c r="J192" s="2" t="str">
        <f>IF(F192="","",IF(H192="SÍ",'Configuración'!$C$6,0))</f>
        <v/>
      </c>
      <c r="K192" s="2" t="str">
        <f t="shared" si="6"/>
        <v/>
      </c>
      <c r="L192" s="2" t="str">
        <f t="shared" si="7"/>
        <v/>
      </c>
      <c r="M192" s="2" t="str">
        <f t="shared" si="8"/>
        <v/>
      </c>
      <c r="N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2">
        <v>189.0</v>
      </c>
      <c r="B193" s="2"/>
      <c r="C193" s="2"/>
      <c r="D193" s="2" t="str">
        <f>IFERROR(VLOOKUP(C193,'Catálogo Productos'!$B$3:$E$53,2,0),"")</f>
        <v/>
      </c>
      <c r="E193" s="2" t="str">
        <f>IFERROR(VLOOKUP(C193,'Catálogo Productos'!$B$3:$E$53,3,0),"")</f>
        <v/>
      </c>
      <c r="F193" s="2" t="str">
        <f>IFERROR(VLOOKUP(C193,'Catálogo Productos'!$B$3:$E$53,4,0),"")</f>
        <v/>
      </c>
      <c r="G193" s="2" t="str">
        <f>IF(F193="","",IF(I193="SÍ",F193*'Configuración'!$C$5,0))</f>
        <v/>
      </c>
      <c r="H193" s="2"/>
      <c r="I193" s="2"/>
      <c r="J193" s="2" t="str">
        <f>IF(F193="","",IF(H193="SÍ",'Configuración'!$C$6,0))</f>
        <v/>
      </c>
      <c r="K193" s="2" t="str">
        <f t="shared" si="6"/>
        <v/>
      </c>
      <c r="L193" s="2" t="str">
        <f t="shared" si="7"/>
        <v/>
      </c>
      <c r="M193" s="2" t="str">
        <f t="shared" si="8"/>
        <v/>
      </c>
      <c r="N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2">
        <v>190.0</v>
      </c>
      <c r="B194" s="2"/>
      <c r="C194" s="2"/>
      <c r="D194" s="2" t="str">
        <f>IFERROR(VLOOKUP(C194,'Catálogo Productos'!$B$3:$E$53,2,0),"")</f>
        <v/>
      </c>
      <c r="E194" s="2" t="str">
        <f>IFERROR(VLOOKUP(C194,'Catálogo Productos'!$B$3:$E$53,3,0),"")</f>
        <v/>
      </c>
      <c r="F194" s="2" t="str">
        <f>IFERROR(VLOOKUP(C194,'Catálogo Productos'!$B$3:$E$53,4,0),"")</f>
        <v/>
      </c>
      <c r="G194" s="2" t="str">
        <f>IF(F194="","",IF(I194="SÍ",F194*'Configuración'!$C$5,0))</f>
        <v/>
      </c>
      <c r="H194" s="2"/>
      <c r="I194" s="2"/>
      <c r="J194" s="2" t="str">
        <f>IF(F194="","",IF(H194="SÍ",'Configuración'!$C$6,0))</f>
        <v/>
      </c>
      <c r="K194" s="2" t="str">
        <f t="shared" si="6"/>
        <v/>
      </c>
      <c r="L194" s="2" t="str">
        <f t="shared" si="7"/>
        <v/>
      </c>
      <c r="M194" s="2" t="str">
        <f t="shared" si="8"/>
        <v/>
      </c>
      <c r="N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2">
        <v>191.0</v>
      </c>
      <c r="B195" s="2"/>
      <c r="C195" s="2"/>
      <c r="D195" s="2" t="str">
        <f>IFERROR(VLOOKUP(C195,'Catálogo Productos'!$B$3:$E$53,2,0),"")</f>
        <v/>
      </c>
      <c r="E195" s="2" t="str">
        <f>IFERROR(VLOOKUP(C195,'Catálogo Productos'!$B$3:$E$53,3,0),"")</f>
        <v/>
      </c>
      <c r="F195" s="2" t="str">
        <f>IFERROR(VLOOKUP(C195,'Catálogo Productos'!$B$3:$E$53,4,0),"")</f>
        <v/>
      </c>
      <c r="G195" s="2" t="str">
        <f>IF(F195="","",IF(I195="SÍ",F195*'Configuración'!$C$5,0))</f>
        <v/>
      </c>
      <c r="H195" s="2"/>
      <c r="I195" s="2"/>
      <c r="J195" s="2" t="str">
        <f>IF(F195="","",IF(H195="SÍ",'Configuración'!$C$6,0))</f>
        <v/>
      </c>
      <c r="K195" s="2" t="str">
        <f t="shared" si="6"/>
        <v/>
      </c>
      <c r="L195" s="2" t="str">
        <f t="shared" si="7"/>
        <v/>
      </c>
      <c r="M195" s="2" t="str">
        <f t="shared" si="8"/>
        <v/>
      </c>
      <c r="N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2">
        <v>192.0</v>
      </c>
      <c r="B196" s="2"/>
      <c r="C196" s="2"/>
      <c r="D196" s="2" t="str">
        <f>IFERROR(VLOOKUP(C196,'Catálogo Productos'!$B$3:$E$53,2,0),"")</f>
        <v/>
      </c>
      <c r="E196" s="2" t="str">
        <f>IFERROR(VLOOKUP(C196,'Catálogo Productos'!$B$3:$E$53,3,0),"")</f>
        <v/>
      </c>
      <c r="F196" s="2" t="str">
        <f>IFERROR(VLOOKUP(C196,'Catálogo Productos'!$B$3:$E$53,4,0),"")</f>
        <v/>
      </c>
      <c r="G196" s="2" t="str">
        <f>IF(F196="","",IF(I196="SÍ",F196*'Configuración'!$C$5,0))</f>
        <v/>
      </c>
      <c r="H196" s="2"/>
      <c r="I196" s="2"/>
      <c r="J196" s="2" t="str">
        <f>IF(F196="","",IF(H196="SÍ",'Configuración'!$C$6,0))</f>
        <v/>
      </c>
      <c r="K196" s="2" t="str">
        <f t="shared" si="6"/>
        <v/>
      </c>
      <c r="L196" s="2" t="str">
        <f t="shared" si="7"/>
        <v/>
      </c>
      <c r="M196" s="2" t="str">
        <f t="shared" si="8"/>
        <v/>
      </c>
      <c r="N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2">
        <v>193.0</v>
      </c>
      <c r="B197" s="2"/>
      <c r="C197" s="2"/>
      <c r="D197" s="2" t="str">
        <f>IFERROR(VLOOKUP(C197,'Catálogo Productos'!$B$3:$E$53,2,0),"")</f>
        <v/>
      </c>
      <c r="E197" s="2" t="str">
        <f>IFERROR(VLOOKUP(C197,'Catálogo Productos'!$B$3:$E$53,3,0),"")</f>
        <v/>
      </c>
      <c r="F197" s="2" t="str">
        <f>IFERROR(VLOOKUP(C197,'Catálogo Productos'!$B$3:$E$53,4,0),"")</f>
        <v/>
      </c>
      <c r="G197" s="2" t="str">
        <f>IF(F197="","",IF(I197="SÍ",F197*'Configuración'!$C$5,0))</f>
        <v/>
      </c>
      <c r="H197" s="2"/>
      <c r="I197" s="2"/>
      <c r="J197" s="2" t="str">
        <f>IF(F197="","",IF(H197="SÍ",'Configuración'!$C$6,0))</f>
        <v/>
      </c>
      <c r="K197" s="2" t="str">
        <f t="shared" si="6"/>
        <v/>
      </c>
      <c r="L197" s="2" t="str">
        <f t="shared" si="7"/>
        <v/>
      </c>
      <c r="M197" s="2" t="str">
        <f t="shared" si="8"/>
        <v/>
      </c>
      <c r="N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2">
        <v>194.0</v>
      </c>
      <c r="B198" s="2"/>
      <c r="C198" s="2"/>
      <c r="D198" s="2" t="str">
        <f>IFERROR(VLOOKUP(C198,'Catálogo Productos'!$B$3:$E$53,2,0),"")</f>
        <v/>
      </c>
      <c r="E198" s="2" t="str">
        <f>IFERROR(VLOOKUP(C198,'Catálogo Productos'!$B$3:$E$53,3,0),"")</f>
        <v/>
      </c>
      <c r="F198" s="2" t="str">
        <f>IFERROR(VLOOKUP(C198,'Catálogo Productos'!$B$3:$E$53,4,0),"")</f>
        <v/>
      </c>
      <c r="G198" s="2" t="str">
        <f>IF(F198="","",IF(I198="SÍ",F198*'Configuración'!$C$5,0))</f>
        <v/>
      </c>
      <c r="H198" s="2"/>
      <c r="I198" s="2"/>
      <c r="J198" s="2" t="str">
        <f>IF(F198="","",IF(H198="SÍ",'Configuración'!$C$6,0))</f>
        <v/>
      </c>
      <c r="K198" s="2" t="str">
        <f t="shared" si="6"/>
        <v/>
      </c>
      <c r="L198" s="2" t="str">
        <f t="shared" si="7"/>
        <v/>
      </c>
      <c r="M198" s="2" t="str">
        <f t="shared" si="8"/>
        <v/>
      </c>
      <c r="N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2">
        <v>195.0</v>
      </c>
      <c r="B199" s="2"/>
      <c r="C199" s="2"/>
      <c r="D199" s="2" t="str">
        <f>IFERROR(VLOOKUP(C199,'Catálogo Productos'!$B$3:$E$53,2,0),"")</f>
        <v/>
      </c>
      <c r="E199" s="2" t="str">
        <f>IFERROR(VLOOKUP(C199,'Catálogo Productos'!$B$3:$E$53,3,0),"")</f>
        <v/>
      </c>
      <c r="F199" s="2" t="str">
        <f>IFERROR(VLOOKUP(C199,'Catálogo Productos'!$B$3:$E$53,4,0),"")</f>
        <v/>
      </c>
      <c r="G199" s="2" t="str">
        <f>IF(F199="","",IF(I199="SÍ",F199*'Configuración'!$C$5,0))</f>
        <v/>
      </c>
      <c r="H199" s="2"/>
      <c r="I199" s="2"/>
      <c r="J199" s="2" t="str">
        <f>IF(F199="","",IF(H199="SÍ",'Configuración'!$C$6,0))</f>
        <v/>
      </c>
      <c r="K199" s="2" t="str">
        <f t="shared" si="6"/>
        <v/>
      </c>
      <c r="L199" s="2" t="str">
        <f t="shared" si="7"/>
        <v/>
      </c>
      <c r="M199" s="2" t="str">
        <f t="shared" si="8"/>
        <v/>
      </c>
      <c r="N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2">
        <v>196.0</v>
      </c>
      <c r="B200" s="2"/>
      <c r="C200" s="2"/>
      <c r="D200" s="2" t="str">
        <f>IFERROR(VLOOKUP(C200,'Catálogo Productos'!$B$3:$E$53,2,0),"")</f>
        <v/>
      </c>
      <c r="E200" s="2" t="str">
        <f>IFERROR(VLOOKUP(C200,'Catálogo Productos'!$B$3:$E$53,3,0),"")</f>
        <v/>
      </c>
      <c r="F200" s="2" t="str">
        <f>IFERROR(VLOOKUP(C200,'Catálogo Productos'!$B$3:$E$53,4,0),"")</f>
        <v/>
      </c>
      <c r="G200" s="2" t="str">
        <f>IF(F200="","",IF(I200="SÍ",F200*'Configuración'!$C$5,0))</f>
        <v/>
      </c>
      <c r="H200" s="2"/>
      <c r="I200" s="2"/>
      <c r="J200" s="2" t="str">
        <f>IF(F200="","",IF(H200="SÍ",'Configuración'!$C$6,0))</f>
        <v/>
      </c>
      <c r="K200" s="2" t="str">
        <f t="shared" si="6"/>
        <v/>
      </c>
      <c r="L200" s="2" t="str">
        <f t="shared" si="7"/>
        <v/>
      </c>
      <c r="M200" s="2" t="str">
        <f t="shared" si="8"/>
        <v/>
      </c>
      <c r="N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2">
        <v>197.0</v>
      </c>
      <c r="B201" s="2"/>
      <c r="C201" s="2"/>
      <c r="D201" s="2" t="str">
        <f>IFERROR(VLOOKUP(C201,'Catálogo Productos'!$B$3:$E$53,2,0),"")</f>
        <v/>
      </c>
      <c r="E201" s="2" t="str">
        <f>IFERROR(VLOOKUP(C201,'Catálogo Productos'!$B$3:$E$53,3,0),"")</f>
        <v/>
      </c>
      <c r="F201" s="2" t="str">
        <f>IFERROR(VLOOKUP(C201,'Catálogo Productos'!$B$3:$E$53,4,0),"")</f>
        <v/>
      </c>
      <c r="G201" s="2" t="str">
        <f>IF(F201="","",IF(I201="SÍ",F201*'Configuración'!$C$5,0))</f>
        <v/>
      </c>
      <c r="H201" s="2"/>
      <c r="I201" s="2"/>
      <c r="J201" s="2" t="str">
        <f>IF(F201="","",IF(H201="SÍ",'Configuración'!$C$6,0))</f>
        <v/>
      </c>
      <c r="K201" s="2" t="str">
        <f t="shared" si="6"/>
        <v/>
      </c>
      <c r="L201" s="2" t="str">
        <f t="shared" si="7"/>
        <v/>
      </c>
      <c r="M201" s="2" t="str">
        <f t="shared" si="8"/>
        <v/>
      </c>
      <c r="N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2">
        <v>198.0</v>
      </c>
      <c r="B202" s="2"/>
      <c r="C202" s="2"/>
      <c r="D202" s="2" t="str">
        <f>IFERROR(VLOOKUP(C202,'Catálogo Productos'!$B$3:$E$53,2,0),"")</f>
        <v/>
      </c>
      <c r="E202" s="2" t="str">
        <f>IFERROR(VLOOKUP(C202,'Catálogo Productos'!$B$3:$E$53,3,0),"")</f>
        <v/>
      </c>
      <c r="F202" s="2" t="str">
        <f>IFERROR(VLOOKUP(C202,'Catálogo Productos'!$B$3:$E$53,4,0),"")</f>
        <v/>
      </c>
      <c r="G202" s="2" t="str">
        <f>IF(F202="","",IF(I202="SÍ",F202*'Configuración'!$C$5,0))</f>
        <v/>
      </c>
      <c r="H202" s="2"/>
      <c r="I202" s="2"/>
      <c r="J202" s="2" t="str">
        <f>IF(F202="","",IF(H202="SÍ",'Configuración'!$C$6,0))</f>
        <v/>
      </c>
      <c r="K202" s="2" t="str">
        <f t="shared" si="6"/>
        <v/>
      </c>
      <c r="L202" s="2" t="str">
        <f t="shared" si="7"/>
        <v/>
      </c>
      <c r="M202" s="2" t="str">
        <f t="shared" si="8"/>
        <v/>
      </c>
      <c r="N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2">
        <v>199.0</v>
      </c>
      <c r="B203" s="2"/>
      <c r="C203" s="2"/>
      <c r="D203" s="2" t="str">
        <f>IFERROR(VLOOKUP(C203,'Catálogo Productos'!$B$3:$E$53,2,0),"")</f>
        <v/>
      </c>
      <c r="E203" s="2" t="str">
        <f>IFERROR(VLOOKUP(C203,'Catálogo Productos'!$B$3:$E$53,3,0),"")</f>
        <v/>
      </c>
      <c r="F203" s="2" t="str">
        <f>IFERROR(VLOOKUP(C203,'Catálogo Productos'!$B$3:$E$53,4,0),"")</f>
        <v/>
      </c>
      <c r="G203" s="2" t="str">
        <f>IF(F203="","",IF(I203="SÍ",F203*'Configuración'!$C$5,0))</f>
        <v/>
      </c>
      <c r="H203" s="2"/>
      <c r="I203" s="2"/>
      <c r="J203" s="2" t="str">
        <f>IF(F203="","",IF(H203="SÍ",'Configuración'!$C$6,0))</f>
        <v/>
      </c>
      <c r="K203" s="2" t="str">
        <f t="shared" si="6"/>
        <v/>
      </c>
      <c r="L203" s="2" t="str">
        <f t="shared" si="7"/>
        <v/>
      </c>
      <c r="M203" s="2" t="str">
        <f t="shared" si="8"/>
        <v/>
      </c>
      <c r="N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2">
        <v>200.0</v>
      </c>
      <c r="B204" s="2"/>
      <c r="C204" s="2"/>
      <c r="D204" s="2" t="str">
        <f>IFERROR(VLOOKUP(C204,'Catálogo Productos'!$B$3:$E$53,2,0),"")</f>
        <v/>
      </c>
      <c r="E204" s="2" t="str">
        <f>IFERROR(VLOOKUP(C204,'Catálogo Productos'!$B$3:$E$53,3,0),"")</f>
        <v/>
      </c>
      <c r="F204" s="2" t="str">
        <f>IFERROR(VLOOKUP(C204,'Catálogo Productos'!$B$3:$E$53,4,0),"")</f>
        <v/>
      </c>
      <c r="G204" s="2" t="str">
        <f>IF(F204="","",IF(I204="SÍ",F204*'Configuración'!$C$5,0))</f>
        <v/>
      </c>
      <c r="H204" s="2"/>
      <c r="I204" s="2"/>
      <c r="J204" s="2" t="str">
        <f>IF(F204="","",IF(H204="SÍ",'Configuración'!$C$6,0))</f>
        <v/>
      </c>
      <c r="K204" s="2" t="str">
        <f t="shared" si="6"/>
        <v/>
      </c>
      <c r="L204" s="2" t="str">
        <f t="shared" si="7"/>
        <v/>
      </c>
      <c r="M204" s="2" t="str">
        <f t="shared" si="8"/>
        <v/>
      </c>
      <c r="N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</row>
  </sheetData>
  <mergeCells count="3">
    <mergeCell ref="A1:P1"/>
    <mergeCell ref="A2:P2"/>
    <mergeCell ref="A55:D55"/>
  </mergeCells>
  <dataValidations>
    <dataValidation type="list" allowBlank="1" showErrorMessage="1" sqref="H5:H204">
      <formula1>"SÍ,No"</formula1>
    </dataValidation>
    <dataValidation type="list" allowBlank="1" showInputMessage="1" showErrorMessage="1" prompt="Valor inválido - Selecciona SÍ o NO" sqref="I5:I204">
      <formula1>"SÍ,NO"</formula1>
    </dataValidation>
    <dataValidation type="list" allowBlank="1" showInputMessage="1" showErrorMessage="1" prompt="Producto inválido - Selecciona un producto del catálogo" sqref="C5:C54 C56:C204">
      <formula1>ListaProductos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AE60"/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35.0"/>
    <col customWidth="1" min="3" max="3" width="18.0"/>
    <col customWidth="1" min="4" max="4" width="12.0"/>
    <col customWidth="1" min="5" max="5" width="35.0"/>
    <col customWidth="1" min="6" max="6" width="8.71"/>
  </cols>
  <sheetData>
    <row r="1" ht="39.75" customHeight="1">
      <c r="A1" s="8" t="s">
        <v>159</v>
      </c>
      <c r="B1" s="9"/>
      <c r="C1" s="9"/>
      <c r="D1" s="9"/>
      <c r="E1" s="10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32" t="str">
        <f>'Configuración'!C20&amp;" "&amp;'Configuración'!C21</f>
        <v>Abril 2026</v>
      </c>
      <c r="B2" s="9"/>
      <c r="C2" s="9"/>
      <c r="D2" s="9"/>
      <c r="E2" s="10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A4" s="11" t="s">
        <v>114</v>
      </c>
      <c r="B4" s="9"/>
      <c r="C4" s="9"/>
      <c r="D4" s="9"/>
      <c r="E4" s="10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0" customHeight="1">
      <c r="A6" s="2"/>
      <c r="B6" s="15" t="s">
        <v>115</v>
      </c>
      <c r="C6" s="56" t="str">
        <f>'Febrero 2026 - Ventas'!F55</f>
        <v>#REF!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2"/>
      <c r="B7" s="15" t="s">
        <v>116</v>
      </c>
      <c r="C7" s="56" t="str">
        <f>'Febrero 2026 - Ventas'!G55</f>
        <v>#REF!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0" customHeight="1">
      <c r="A8" s="2"/>
      <c r="B8" s="15" t="s">
        <v>117</v>
      </c>
      <c r="C8" s="56" t="str">
        <f>'Febrero 2026 - Ventas'!J55</f>
        <v>#REF!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2"/>
      <c r="B9" s="15" t="s">
        <v>118</v>
      </c>
      <c r="C9" s="56" t="str">
        <f>'Febrero 2026 - Ventas'!K55</f>
        <v>#REF!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2"/>
      <c r="B10" s="15" t="s">
        <v>119</v>
      </c>
      <c r="C10" s="56" t="str">
        <f>'Febrero 2026 - Ventas'!E55</f>
        <v>#REF!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2"/>
      <c r="B11" s="97" t="s">
        <v>120</v>
      </c>
      <c r="C11" s="98" t="str">
        <f>'Febrero 2026 - Ventas'!L55</f>
        <v>#REF!</v>
      </c>
      <c r="D11" s="99"/>
      <c r="E11" s="99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0" customHeight="1">
      <c r="A13" s="100" t="s">
        <v>121</v>
      </c>
      <c r="B13" s="9"/>
      <c r="C13" s="9"/>
      <c r="D13" s="9"/>
      <c r="E13" s="10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0" customHeight="1">
      <c r="A15" s="2"/>
      <c r="B15" s="15" t="s">
        <v>122</v>
      </c>
      <c r="C15" s="56" t="str">
        <f>C9</f>
        <v>#REF!</v>
      </c>
      <c r="D15" s="2"/>
      <c r="E15" s="101" t="s">
        <v>123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0" customHeight="1">
      <c r="A16" s="2"/>
      <c r="B16" s="15" t="s">
        <v>124</v>
      </c>
      <c r="C16" s="56" t="str">
        <f>C11</f>
        <v>#REF!</v>
      </c>
      <c r="D16" s="2"/>
      <c r="E16" s="101" t="s">
        <v>125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0" customHeight="1">
      <c r="A17" s="2"/>
      <c r="B17" s="15" t="s">
        <v>126</v>
      </c>
      <c r="C17" s="56" t="str">
        <f>C10</f>
        <v>#REF!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0" customHeight="1">
      <c r="A18" s="2"/>
      <c r="B18" s="102" t="s">
        <v>127</v>
      </c>
      <c r="C18" s="103" t="str">
        <f>C15-C10</f>
        <v>#REF!</v>
      </c>
      <c r="D18" s="104"/>
      <c r="E18" s="10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0" customHeight="1">
      <c r="A19" s="2"/>
      <c r="B19" s="105"/>
      <c r="C19" s="106"/>
      <c r="D19" s="2"/>
      <c r="E19" s="107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0" customHeight="1">
      <c r="A21" s="108" t="s">
        <v>128</v>
      </c>
      <c r="B21" s="9"/>
      <c r="C21" s="9"/>
      <c r="D21" s="9"/>
      <c r="E21" s="10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0" customHeight="1">
      <c r="A23" s="2"/>
      <c r="B23" s="15" t="s">
        <v>129</v>
      </c>
      <c r="C23" s="56" t="str">
        <f>C18</f>
        <v>#REF!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0" customHeight="1">
      <c r="A24" s="2"/>
      <c r="B24" s="15" t="s">
        <v>130</v>
      </c>
      <c r="C24" s="56" t="str">
        <f>IF(C23&gt;0,C23*'Configuración'!$C$14,0)</f>
        <v>#REF!</v>
      </c>
      <c r="D24" s="109">
        <f>'Configuración'!$C$14</f>
        <v>0.7</v>
      </c>
      <c r="E24" s="17" t="s">
        <v>131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0" customHeight="1">
      <c r="A25" s="2"/>
      <c r="B25" s="15" t="s">
        <v>132</v>
      </c>
      <c r="C25" s="56" t="str">
        <f>IF(C23&gt;0,C23*'Configuración'!$C$15,0)</f>
        <v>#REF!</v>
      </c>
      <c r="D25" s="109">
        <f>'Configuración'!$C$15</f>
        <v>0.3</v>
      </c>
      <c r="E25" s="17" t="s">
        <v>133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0" customHeight="1">
      <c r="A27" s="110" t="s">
        <v>134</v>
      </c>
      <c r="B27" s="9"/>
      <c r="C27" s="9"/>
      <c r="D27" s="9"/>
      <c r="E27" s="10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0" customHeight="1">
      <c r="A29" s="2"/>
      <c r="B29" s="15" t="s">
        <v>135</v>
      </c>
      <c r="C29" s="111">
        <f>'Febrero 2026 - Ventas'!C57</f>
        <v>37</v>
      </c>
      <c r="D29" s="2"/>
      <c r="E29" s="101" t="s">
        <v>136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0" customHeight="1">
      <c r="A30" s="2"/>
      <c r="B30" s="15" t="s">
        <v>137</v>
      </c>
      <c r="C30" s="56" t="str">
        <f>IF(C29&gt;0,C6/C29,0)</f>
        <v>#REF!</v>
      </c>
      <c r="D30" s="2"/>
      <c r="E30" s="101" t="s">
        <v>138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0" customHeight="1">
      <c r="A31" s="2"/>
      <c r="B31" s="15" t="s">
        <v>139</v>
      </c>
      <c r="C31" s="56" t="str">
        <f>IF(C29&gt;0,C18/C29,0)</f>
        <v>#REF!</v>
      </c>
      <c r="D31" s="2"/>
      <c r="E31" s="101" t="s">
        <v>140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0" customHeight="1">
      <c r="A32" s="2"/>
      <c r="B32" s="15" t="s">
        <v>141</v>
      </c>
      <c r="C32" s="112" t="str">
        <f>IF(C9=0,0,C18/C9)</f>
        <v>#REF!</v>
      </c>
      <c r="D32" s="2"/>
      <c r="E32" s="101" t="s">
        <v>142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0" customHeight="1">
      <c r="A33" s="2"/>
      <c r="B33" s="15" t="s">
        <v>143</v>
      </c>
      <c r="C33" s="56" t="str">
        <f>'Febrero 2026 - Ventas'!G55+'Febrero 2026 - Ventas'!J55</f>
        <v>#REF!</v>
      </c>
      <c r="D33" s="2"/>
      <c r="E33" s="101" t="s">
        <v>144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0" customHeight="1">
      <c r="A34" s="2"/>
      <c r="B34" s="15" t="s">
        <v>145</v>
      </c>
      <c r="C34" s="112" t="str">
        <f>IF(C10=0,0,C18/C10)</f>
        <v>#REF!</v>
      </c>
      <c r="D34" s="2"/>
      <c r="E34" s="101" t="s">
        <v>146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0" customHeight="1">
      <c r="A36" s="110" t="s">
        <v>147</v>
      </c>
      <c r="B36" s="9"/>
      <c r="C36" s="9"/>
      <c r="D36" s="9"/>
      <c r="E36" s="10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0" customHeight="1">
      <c r="A38" s="2"/>
      <c r="B38" s="15" t="s">
        <v>148</v>
      </c>
      <c r="C38" s="113" t="str">
        <f>IF(C29=0,"—",IF(C18&gt;0,"✅ SÍ","❌ NO"))</f>
        <v>#REF!</v>
      </c>
      <c r="D38" s="2"/>
      <c r="E38" s="101" t="s">
        <v>149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0" customHeight="1">
      <c r="A39" s="2"/>
      <c r="B39" s="15" t="s">
        <v>150</v>
      </c>
      <c r="C39" s="113" t="str">
        <f>IF(C29=0,"—",IF(C24&gt;0,"✅ SÍ","❌ NO"))</f>
        <v>#REF!</v>
      </c>
      <c r="D39" s="2"/>
      <c r="E39" s="101" t="s">
        <v>151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0" customHeight="1">
      <c r="A40" s="2"/>
      <c r="B40" s="15" t="s">
        <v>152</v>
      </c>
      <c r="C40" s="113" t="str">
        <f>IF(C29=0,"—",IF(C25&gt;0,"✅ SÍ","❌ NO"))</f>
        <v>#REF!</v>
      </c>
      <c r="D40" s="2"/>
      <c r="E40" s="101" t="s">
        <v>153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0" customHeight="1">
      <c r="A41" s="2"/>
      <c r="B41" s="15" t="s">
        <v>154</v>
      </c>
      <c r="C41" s="113" t="str">
        <f>IF(C29&gt;=50,"✅ SÍ — ¡Baja tu tarifa de envío!","❌ NO — Aún no")</f>
        <v>❌ NO — Aún no</v>
      </c>
      <c r="D41" s="2"/>
      <c r="E41" s="101" t="s">
        <v>155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7"/>
      <c r="B242" s="7"/>
      <c r="C242" s="7"/>
      <c r="D242" s="7"/>
      <c r="E242" s="7"/>
      <c r="F242" s="7"/>
    </row>
    <row r="243" ht="15.75" customHeight="1">
      <c r="A243" s="7"/>
      <c r="B243" s="7"/>
      <c r="C243" s="7"/>
      <c r="D243" s="7"/>
      <c r="E243" s="7"/>
      <c r="F243" s="7"/>
    </row>
    <row r="244" ht="15.75" customHeight="1">
      <c r="A244" s="7"/>
      <c r="B244" s="7"/>
      <c r="C244" s="7"/>
      <c r="D244" s="7"/>
      <c r="E244" s="7"/>
      <c r="F244" s="7"/>
    </row>
    <row r="245" ht="15.75" customHeight="1">
      <c r="A245" s="7"/>
      <c r="B245" s="7"/>
      <c r="C245" s="7"/>
      <c r="D245" s="7"/>
      <c r="E245" s="7"/>
      <c r="F245" s="7"/>
    </row>
    <row r="246" ht="15.75" customHeight="1">
      <c r="A246" s="7"/>
      <c r="B246" s="7"/>
      <c r="C246" s="7"/>
      <c r="D246" s="7"/>
      <c r="E246" s="7"/>
      <c r="F246" s="7"/>
    </row>
    <row r="247" ht="15.75" customHeight="1">
      <c r="A247" s="7"/>
      <c r="B247" s="7"/>
      <c r="C247" s="7"/>
      <c r="D247" s="7"/>
      <c r="E247" s="7"/>
      <c r="F247" s="7"/>
    </row>
    <row r="248" ht="15.75" customHeight="1">
      <c r="A248" s="7"/>
      <c r="B248" s="7"/>
      <c r="C248" s="7"/>
      <c r="D248" s="7"/>
      <c r="E248" s="7"/>
      <c r="F248" s="7"/>
    </row>
    <row r="249" ht="15.75" customHeight="1">
      <c r="A249" s="7"/>
      <c r="B249" s="7"/>
      <c r="C249" s="7"/>
      <c r="D249" s="7"/>
      <c r="E249" s="7"/>
      <c r="F249" s="7"/>
    </row>
    <row r="250" ht="15.75" customHeight="1">
      <c r="A250" s="7"/>
      <c r="B250" s="7"/>
      <c r="C250" s="7"/>
      <c r="D250" s="7"/>
      <c r="E250" s="7"/>
      <c r="F250" s="7"/>
    </row>
    <row r="251" ht="15.75" customHeight="1">
      <c r="A251" s="7"/>
      <c r="B251" s="7"/>
      <c r="C251" s="7"/>
      <c r="D251" s="7"/>
      <c r="E251" s="7"/>
      <c r="F251" s="7"/>
    </row>
    <row r="252" ht="15.75" customHeight="1">
      <c r="A252" s="7"/>
      <c r="B252" s="7"/>
      <c r="C252" s="7"/>
      <c r="D252" s="7"/>
      <c r="E252" s="7"/>
      <c r="F252" s="7"/>
    </row>
    <row r="253" ht="15.75" customHeight="1">
      <c r="A253" s="7"/>
      <c r="B253" s="7"/>
      <c r="C253" s="7"/>
      <c r="D253" s="7"/>
      <c r="E253" s="7"/>
      <c r="F253" s="7"/>
    </row>
    <row r="254" ht="15.75" customHeight="1">
      <c r="A254" s="7"/>
      <c r="B254" s="7"/>
      <c r="C254" s="7"/>
      <c r="D254" s="7"/>
      <c r="E254" s="7"/>
      <c r="F254" s="7"/>
    </row>
    <row r="255" ht="15.75" customHeight="1">
      <c r="A255" s="7"/>
      <c r="B255" s="7"/>
      <c r="C255" s="7"/>
      <c r="D255" s="7"/>
      <c r="E255" s="7"/>
      <c r="F255" s="7"/>
    </row>
    <row r="256" ht="15.75" customHeight="1">
      <c r="A256" s="7"/>
      <c r="B256" s="7"/>
      <c r="C256" s="7"/>
      <c r="D256" s="7"/>
      <c r="E256" s="7"/>
      <c r="F256" s="7"/>
    </row>
    <row r="257" ht="15.75" customHeight="1">
      <c r="A257" s="7"/>
      <c r="B257" s="7"/>
      <c r="C257" s="7"/>
      <c r="D257" s="7"/>
      <c r="E257" s="7"/>
      <c r="F257" s="7"/>
    </row>
    <row r="258" ht="15.75" customHeight="1">
      <c r="A258" s="7"/>
      <c r="B258" s="7"/>
      <c r="C258" s="7"/>
      <c r="D258" s="7"/>
      <c r="E258" s="7"/>
      <c r="F258" s="7"/>
    </row>
    <row r="259" ht="15.75" customHeight="1">
      <c r="A259" s="7"/>
      <c r="B259" s="7"/>
      <c r="C259" s="7"/>
      <c r="D259" s="7"/>
      <c r="E259" s="7"/>
      <c r="F259" s="7"/>
    </row>
    <row r="260" ht="15.75" customHeight="1">
      <c r="A260" s="7"/>
      <c r="B260" s="7"/>
      <c r="C260" s="7"/>
      <c r="D260" s="7"/>
      <c r="E260" s="7"/>
      <c r="F260" s="7"/>
    </row>
    <row r="261" ht="15.75" customHeight="1">
      <c r="A261" s="7"/>
      <c r="B261" s="7"/>
      <c r="C261" s="7"/>
      <c r="D261" s="7"/>
      <c r="E261" s="7"/>
      <c r="F261" s="7"/>
    </row>
    <row r="262" ht="15.75" customHeight="1">
      <c r="A262" s="7"/>
      <c r="B262" s="7"/>
      <c r="C262" s="7"/>
      <c r="D262" s="7"/>
      <c r="E262" s="7"/>
      <c r="F262" s="7"/>
    </row>
    <row r="263" ht="15.75" customHeight="1">
      <c r="A263" s="7"/>
      <c r="B263" s="7"/>
      <c r="C263" s="7"/>
      <c r="D263" s="7"/>
      <c r="E263" s="7"/>
      <c r="F263" s="7"/>
    </row>
    <row r="264" ht="15.75" customHeight="1">
      <c r="A264" s="7"/>
      <c r="B264" s="7"/>
      <c r="C264" s="7"/>
      <c r="D264" s="7"/>
      <c r="E264" s="7"/>
      <c r="F264" s="7"/>
    </row>
    <row r="265" ht="15.75" customHeight="1">
      <c r="A265" s="7"/>
      <c r="B265" s="7"/>
      <c r="C265" s="7"/>
      <c r="D265" s="7"/>
      <c r="E265" s="7"/>
      <c r="F265" s="7"/>
    </row>
    <row r="266" ht="15.75" customHeight="1">
      <c r="A266" s="7"/>
      <c r="B266" s="7"/>
      <c r="C266" s="7"/>
      <c r="D266" s="7"/>
      <c r="E266" s="7"/>
      <c r="F266" s="7"/>
    </row>
    <row r="267" ht="15.75" customHeight="1">
      <c r="A267" s="7"/>
      <c r="B267" s="7"/>
      <c r="C267" s="7"/>
      <c r="D267" s="7"/>
      <c r="E267" s="7"/>
      <c r="F267" s="7"/>
    </row>
    <row r="268" ht="15.75" customHeight="1">
      <c r="A268" s="7"/>
      <c r="B268" s="7"/>
      <c r="C268" s="7"/>
      <c r="D268" s="7"/>
      <c r="E268" s="7"/>
      <c r="F268" s="7"/>
    </row>
    <row r="269" ht="15.75" customHeight="1">
      <c r="A269" s="7"/>
      <c r="B269" s="7"/>
      <c r="C269" s="7"/>
      <c r="D269" s="7"/>
      <c r="E269" s="7"/>
      <c r="F269" s="7"/>
    </row>
    <row r="270" ht="15.75" customHeight="1">
      <c r="A270" s="7"/>
      <c r="B270" s="7"/>
      <c r="C270" s="7"/>
      <c r="D270" s="7"/>
      <c r="E270" s="7"/>
      <c r="F270" s="7"/>
    </row>
    <row r="271" ht="15.75" customHeight="1">
      <c r="A271" s="7"/>
      <c r="B271" s="7"/>
      <c r="C271" s="7"/>
      <c r="D271" s="7"/>
      <c r="E271" s="7"/>
      <c r="F271" s="7"/>
    </row>
    <row r="272" ht="15.75" customHeight="1">
      <c r="A272" s="7"/>
      <c r="B272" s="7"/>
      <c r="C272" s="7"/>
      <c r="D272" s="7"/>
      <c r="E272" s="7"/>
      <c r="F272" s="7"/>
    </row>
    <row r="273" ht="15.75" customHeight="1">
      <c r="A273" s="7"/>
      <c r="B273" s="7"/>
      <c r="C273" s="7"/>
      <c r="D273" s="7"/>
      <c r="E273" s="7"/>
      <c r="F273" s="7"/>
    </row>
    <row r="274" ht="15.75" customHeight="1">
      <c r="A274" s="7"/>
      <c r="B274" s="7"/>
      <c r="C274" s="7"/>
      <c r="D274" s="7"/>
      <c r="E274" s="7"/>
      <c r="F274" s="7"/>
    </row>
    <row r="275" ht="15.75" customHeight="1">
      <c r="A275" s="7"/>
      <c r="B275" s="7"/>
      <c r="C275" s="7"/>
      <c r="D275" s="7"/>
      <c r="E275" s="7"/>
      <c r="F275" s="7"/>
    </row>
    <row r="276" ht="15.75" customHeight="1">
      <c r="A276" s="7"/>
      <c r="B276" s="7"/>
      <c r="C276" s="7"/>
      <c r="D276" s="7"/>
      <c r="E276" s="7"/>
      <c r="F276" s="7"/>
    </row>
    <row r="277" ht="15.75" customHeight="1">
      <c r="A277" s="7"/>
      <c r="B277" s="7"/>
      <c r="C277" s="7"/>
      <c r="D277" s="7"/>
      <c r="E277" s="7"/>
      <c r="F277" s="7"/>
    </row>
    <row r="278" ht="15.75" customHeight="1">
      <c r="A278" s="7"/>
      <c r="B278" s="7"/>
      <c r="C278" s="7"/>
      <c r="D278" s="7"/>
      <c r="E278" s="7"/>
      <c r="F278" s="7"/>
    </row>
    <row r="279" ht="15.75" customHeight="1">
      <c r="A279" s="7"/>
      <c r="B279" s="7"/>
      <c r="C279" s="7"/>
      <c r="D279" s="7"/>
      <c r="E279" s="7"/>
      <c r="F279" s="7"/>
    </row>
    <row r="280" ht="15.75" customHeight="1">
      <c r="A280" s="7"/>
      <c r="B280" s="7"/>
      <c r="C280" s="7"/>
      <c r="D280" s="7"/>
      <c r="E280" s="7"/>
      <c r="F280" s="7"/>
    </row>
    <row r="281" ht="15.75" customHeight="1">
      <c r="A281" s="7"/>
      <c r="B281" s="7"/>
      <c r="C281" s="7"/>
      <c r="D281" s="7"/>
      <c r="E281" s="7"/>
      <c r="F281" s="7"/>
    </row>
    <row r="282" ht="15.75" customHeight="1">
      <c r="A282" s="7"/>
      <c r="B282" s="7"/>
      <c r="C282" s="7"/>
      <c r="D282" s="7"/>
      <c r="E282" s="7"/>
      <c r="F282" s="7"/>
    </row>
    <row r="283" ht="15.75" customHeight="1">
      <c r="A283" s="7"/>
      <c r="B283" s="7"/>
      <c r="C283" s="7"/>
      <c r="D283" s="7"/>
      <c r="E283" s="7"/>
      <c r="F283" s="7"/>
    </row>
    <row r="284" ht="15.75" customHeight="1">
      <c r="A284" s="7"/>
      <c r="B284" s="7"/>
      <c r="C284" s="7"/>
      <c r="D284" s="7"/>
      <c r="E284" s="7"/>
      <c r="F284" s="7"/>
    </row>
    <row r="285" ht="15.75" customHeight="1">
      <c r="A285" s="7"/>
      <c r="B285" s="7"/>
      <c r="C285" s="7"/>
      <c r="D285" s="7"/>
      <c r="E285" s="7"/>
      <c r="F285" s="7"/>
    </row>
    <row r="286" ht="15.75" customHeight="1">
      <c r="A286" s="7"/>
      <c r="B286" s="7"/>
      <c r="C286" s="7"/>
      <c r="D286" s="7"/>
      <c r="E286" s="7"/>
      <c r="F286" s="7"/>
    </row>
    <row r="287" ht="15.75" customHeight="1">
      <c r="A287" s="7"/>
      <c r="B287" s="7"/>
      <c r="C287" s="7"/>
      <c r="D287" s="7"/>
      <c r="E287" s="7"/>
      <c r="F287" s="7"/>
    </row>
    <row r="288" ht="15.75" customHeight="1">
      <c r="A288" s="7"/>
      <c r="B288" s="7"/>
      <c r="C288" s="7"/>
      <c r="D288" s="7"/>
      <c r="E288" s="7"/>
      <c r="F288" s="7"/>
    </row>
    <row r="289" ht="15.75" customHeight="1">
      <c r="A289" s="7"/>
      <c r="B289" s="7"/>
      <c r="C289" s="7"/>
      <c r="D289" s="7"/>
      <c r="E289" s="7"/>
      <c r="F289" s="7"/>
    </row>
    <row r="290" ht="15.75" customHeight="1">
      <c r="A290" s="7"/>
      <c r="B290" s="7"/>
      <c r="C290" s="7"/>
      <c r="D290" s="7"/>
      <c r="E290" s="7"/>
      <c r="F290" s="7"/>
    </row>
    <row r="291" ht="15.75" customHeight="1">
      <c r="A291" s="7"/>
      <c r="B291" s="7"/>
      <c r="C291" s="7"/>
      <c r="D291" s="7"/>
      <c r="E291" s="7"/>
      <c r="F291" s="7"/>
    </row>
    <row r="292" ht="15.75" customHeight="1">
      <c r="A292" s="7"/>
      <c r="B292" s="7"/>
      <c r="C292" s="7"/>
      <c r="D292" s="7"/>
      <c r="E292" s="7"/>
      <c r="F292" s="7"/>
    </row>
    <row r="293" ht="15.75" customHeight="1">
      <c r="A293" s="7"/>
      <c r="B293" s="7"/>
      <c r="C293" s="7"/>
      <c r="D293" s="7"/>
      <c r="E293" s="7"/>
      <c r="F293" s="7"/>
    </row>
    <row r="294" ht="15.75" customHeight="1">
      <c r="A294" s="7"/>
      <c r="B294" s="7"/>
      <c r="C294" s="7"/>
      <c r="D294" s="7"/>
      <c r="E294" s="7"/>
      <c r="F294" s="7"/>
    </row>
    <row r="295" ht="15.75" customHeight="1">
      <c r="A295" s="7"/>
      <c r="B295" s="7"/>
      <c r="C295" s="7"/>
      <c r="D295" s="7"/>
      <c r="E295" s="7"/>
      <c r="F295" s="7"/>
    </row>
    <row r="296" ht="15.75" customHeight="1">
      <c r="A296" s="7"/>
      <c r="B296" s="7"/>
      <c r="C296" s="7"/>
      <c r="D296" s="7"/>
      <c r="E296" s="7"/>
      <c r="F296" s="7"/>
    </row>
    <row r="297" ht="15.75" customHeight="1">
      <c r="A297" s="7"/>
      <c r="B297" s="7"/>
      <c r="C297" s="7"/>
      <c r="D297" s="7"/>
      <c r="E297" s="7"/>
      <c r="F297" s="7"/>
    </row>
    <row r="298" ht="15.75" customHeight="1">
      <c r="A298" s="7"/>
      <c r="B298" s="7"/>
      <c r="C298" s="7"/>
      <c r="D298" s="7"/>
      <c r="E298" s="7"/>
      <c r="F298" s="7"/>
    </row>
    <row r="299" ht="15.75" customHeight="1">
      <c r="A299" s="7"/>
      <c r="B299" s="7"/>
      <c r="C299" s="7"/>
      <c r="D299" s="7"/>
      <c r="E299" s="7"/>
      <c r="F299" s="7"/>
    </row>
    <row r="300" ht="15.75" customHeight="1">
      <c r="A300" s="7"/>
      <c r="B300" s="7"/>
      <c r="C300" s="7"/>
      <c r="D300" s="7"/>
      <c r="E300" s="7"/>
      <c r="F300" s="7"/>
    </row>
    <row r="301" ht="15.75" customHeight="1">
      <c r="A301" s="7"/>
      <c r="B301" s="7"/>
      <c r="C301" s="7"/>
      <c r="D301" s="7"/>
      <c r="E301" s="7"/>
      <c r="F301" s="7"/>
    </row>
    <row r="302" ht="15.75" customHeight="1">
      <c r="A302" s="7"/>
      <c r="B302" s="7"/>
      <c r="C302" s="7"/>
      <c r="D302" s="7"/>
      <c r="E302" s="7"/>
      <c r="F302" s="7"/>
    </row>
    <row r="303" ht="15.75" customHeight="1">
      <c r="A303" s="7"/>
      <c r="B303" s="7"/>
      <c r="C303" s="7"/>
      <c r="D303" s="7"/>
      <c r="E303" s="7"/>
      <c r="F303" s="7"/>
    </row>
    <row r="304" ht="15.75" customHeight="1">
      <c r="A304" s="7"/>
      <c r="B304" s="7"/>
      <c r="C304" s="7"/>
      <c r="D304" s="7"/>
      <c r="E304" s="7"/>
      <c r="F304" s="7"/>
    </row>
    <row r="305" ht="15.75" customHeight="1">
      <c r="A305" s="7"/>
      <c r="B305" s="7"/>
      <c r="C305" s="7"/>
      <c r="D305" s="7"/>
      <c r="E305" s="7"/>
      <c r="F305" s="7"/>
    </row>
    <row r="306" ht="15.75" customHeight="1">
      <c r="A306" s="7"/>
      <c r="B306" s="7"/>
      <c r="C306" s="7"/>
      <c r="D306" s="7"/>
      <c r="E306" s="7"/>
      <c r="F306" s="7"/>
    </row>
    <row r="307" ht="15.75" customHeight="1">
      <c r="A307" s="7"/>
      <c r="B307" s="7"/>
      <c r="C307" s="7"/>
      <c r="D307" s="7"/>
      <c r="E307" s="7"/>
      <c r="F307" s="7"/>
    </row>
    <row r="308" ht="15.75" customHeight="1">
      <c r="A308" s="7"/>
      <c r="B308" s="7"/>
      <c r="C308" s="7"/>
      <c r="D308" s="7"/>
      <c r="E308" s="7"/>
      <c r="F308" s="7"/>
    </row>
    <row r="309" ht="15.75" customHeight="1">
      <c r="A309" s="7"/>
      <c r="B309" s="7"/>
      <c r="C309" s="7"/>
      <c r="D309" s="7"/>
      <c r="E309" s="7"/>
      <c r="F309" s="7"/>
    </row>
    <row r="310" ht="15.75" customHeight="1">
      <c r="A310" s="7"/>
      <c r="B310" s="7"/>
      <c r="C310" s="7"/>
      <c r="D310" s="7"/>
      <c r="E310" s="7"/>
      <c r="F310" s="7"/>
    </row>
    <row r="311" ht="15.75" customHeight="1">
      <c r="A311" s="7"/>
      <c r="B311" s="7"/>
      <c r="C311" s="7"/>
      <c r="D311" s="7"/>
      <c r="E311" s="7"/>
      <c r="F311" s="7"/>
    </row>
    <row r="312" ht="15.75" customHeight="1">
      <c r="A312" s="7"/>
      <c r="B312" s="7"/>
      <c r="C312" s="7"/>
      <c r="D312" s="7"/>
      <c r="E312" s="7"/>
      <c r="F312" s="7"/>
    </row>
    <row r="313" ht="15.75" customHeight="1">
      <c r="A313" s="7"/>
      <c r="B313" s="7"/>
      <c r="C313" s="7"/>
      <c r="D313" s="7"/>
      <c r="E313" s="7"/>
      <c r="F313" s="7"/>
    </row>
    <row r="314" ht="15.75" customHeight="1">
      <c r="A314" s="7"/>
      <c r="B314" s="7"/>
      <c r="C314" s="7"/>
      <c r="D314" s="7"/>
      <c r="E314" s="7"/>
      <c r="F314" s="7"/>
    </row>
    <row r="315" ht="15.75" customHeight="1">
      <c r="A315" s="7"/>
      <c r="B315" s="7"/>
      <c r="C315" s="7"/>
      <c r="D315" s="7"/>
      <c r="E315" s="7"/>
      <c r="F315" s="7"/>
    </row>
    <row r="316" ht="15.75" customHeight="1">
      <c r="A316" s="7"/>
      <c r="B316" s="7"/>
      <c r="C316" s="7"/>
      <c r="D316" s="7"/>
      <c r="E316" s="7"/>
      <c r="F316" s="7"/>
    </row>
    <row r="317" ht="15.75" customHeight="1">
      <c r="A317" s="7"/>
      <c r="B317" s="7"/>
      <c r="C317" s="7"/>
      <c r="D317" s="7"/>
      <c r="E317" s="7"/>
      <c r="F317" s="7"/>
    </row>
    <row r="318" ht="15.75" customHeight="1">
      <c r="A318" s="7"/>
      <c r="B318" s="7"/>
      <c r="C318" s="7"/>
      <c r="D318" s="7"/>
      <c r="E318" s="7"/>
      <c r="F318" s="7"/>
    </row>
    <row r="319" ht="15.75" customHeight="1">
      <c r="A319" s="7"/>
      <c r="B319" s="7"/>
      <c r="C319" s="7"/>
      <c r="D319" s="7"/>
      <c r="E319" s="7"/>
      <c r="F319" s="7"/>
    </row>
    <row r="320" ht="15.75" customHeight="1">
      <c r="A320" s="7"/>
      <c r="B320" s="7"/>
      <c r="C320" s="7"/>
      <c r="D320" s="7"/>
      <c r="E320" s="7"/>
      <c r="F320" s="7"/>
    </row>
    <row r="321" ht="15.75" customHeight="1">
      <c r="A321" s="7"/>
      <c r="B321" s="7"/>
      <c r="C321" s="7"/>
      <c r="D321" s="7"/>
      <c r="E321" s="7"/>
      <c r="F321" s="7"/>
    </row>
    <row r="322" ht="15.75" customHeight="1">
      <c r="A322" s="7"/>
      <c r="B322" s="7"/>
      <c r="C322" s="7"/>
      <c r="D322" s="7"/>
      <c r="E322" s="7"/>
      <c r="F322" s="7"/>
    </row>
    <row r="323" ht="15.75" customHeight="1">
      <c r="A323" s="7"/>
      <c r="B323" s="7"/>
      <c r="C323" s="7"/>
      <c r="D323" s="7"/>
      <c r="E323" s="7"/>
      <c r="F323" s="7"/>
    </row>
    <row r="324" ht="15.75" customHeight="1">
      <c r="A324" s="7"/>
      <c r="B324" s="7"/>
      <c r="C324" s="7"/>
      <c r="D324" s="7"/>
      <c r="E324" s="7"/>
      <c r="F324" s="7"/>
    </row>
    <row r="325" ht="15.75" customHeight="1">
      <c r="A325" s="7"/>
      <c r="B325" s="7"/>
      <c r="C325" s="7"/>
      <c r="D325" s="7"/>
      <c r="E325" s="7"/>
      <c r="F325" s="7"/>
    </row>
    <row r="326" ht="15.75" customHeight="1">
      <c r="A326" s="7"/>
      <c r="B326" s="7"/>
      <c r="C326" s="7"/>
      <c r="D326" s="7"/>
      <c r="E326" s="7"/>
      <c r="F326" s="7"/>
    </row>
    <row r="327" ht="15.75" customHeight="1">
      <c r="A327" s="7"/>
      <c r="B327" s="7"/>
      <c r="C327" s="7"/>
      <c r="D327" s="7"/>
      <c r="E327" s="7"/>
      <c r="F327" s="7"/>
    </row>
    <row r="328" ht="15.75" customHeight="1">
      <c r="A328" s="7"/>
      <c r="B328" s="7"/>
      <c r="C328" s="7"/>
      <c r="D328" s="7"/>
      <c r="E328" s="7"/>
      <c r="F328" s="7"/>
    </row>
    <row r="329" ht="15.75" customHeight="1">
      <c r="A329" s="7"/>
      <c r="B329" s="7"/>
      <c r="C329" s="7"/>
      <c r="D329" s="7"/>
      <c r="E329" s="7"/>
      <c r="F329" s="7"/>
    </row>
    <row r="330" ht="15.75" customHeight="1">
      <c r="A330" s="7"/>
      <c r="B330" s="7"/>
      <c r="C330" s="7"/>
      <c r="D330" s="7"/>
      <c r="E330" s="7"/>
      <c r="F330" s="7"/>
    </row>
    <row r="331" ht="15.75" customHeight="1">
      <c r="A331" s="7"/>
      <c r="B331" s="7"/>
      <c r="C331" s="7"/>
      <c r="D331" s="7"/>
      <c r="E331" s="7"/>
      <c r="F331" s="7"/>
    </row>
    <row r="332" ht="15.75" customHeight="1">
      <c r="A332" s="7"/>
      <c r="B332" s="7"/>
      <c r="C332" s="7"/>
      <c r="D332" s="7"/>
      <c r="E332" s="7"/>
      <c r="F332" s="7"/>
    </row>
    <row r="333" ht="15.75" customHeight="1">
      <c r="A333" s="7"/>
      <c r="B333" s="7"/>
      <c r="C333" s="7"/>
      <c r="D333" s="7"/>
      <c r="E333" s="7"/>
      <c r="F333" s="7"/>
    </row>
    <row r="334" ht="15.75" customHeight="1">
      <c r="A334" s="7"/>
      <c r="B334" s="7"/>
      <c r="C334" s="7"/>
      <c r="D334" s="7"/>
      <c r="E334" s="7"/>
      <c r="F334" s="7"/>
    </row>
    <row r="335" ht="15.75" customHeight="1">
      <c r="A335" s="7"/>
      <c r="B335" s="7"/>
      <c r="C335" s="7"/>
      <c r="D335" s="7"/>
      <c r="E335" s="7"/>
      <c r="F335" s="7"/>
    </row>
    <row r="336" ht="15.75" customHeight="1">
      <c r="A336" s="7"/>
      <c r="B336" s="7"/>
      <c r="C336" s="7"/>
      <c r="D336" s="7"/>
      <c r="E336" s="7"/>
      <c r="F336" s="7"/>
    </row>
    <row r="337" ht="15.75" customHeight="1">
      <c r="A337" s="7"/>
      <c r="B337" s="7"/>
      <c r="C337" s="7"/>
      <c r="D337" s="7"/>
      <c r="E337" s="7"/>
      <c r="F337" s="7"/>
    </row>
    <row r="338" ht="15.75" customHeight="1">
      <c r="A338" s="7"/>
      <c r="B338" s="7"/>
      <c r="C338" s="7"/>
      <c r="D338" s="7"/>
      <c r="E338" s="7"/>
      <c r="F338" s="7"/>
    </row>
    <row r="339" ht="15.75" customHeight="1">
      <c r="A339" s="7"/>
      <c r="B339" s="7"/>
      <c r="C339" s="7"/>
      <c r="D339" s="7"/>
      <c r="E339" s="7"/>
      <c r="F339" s="7"/>
    </row>
    <row r="340" ht="15.75" customHeight="1">
      <c r="A340" s="7"/>
      <c r="B340" s="7"/>
      <c r="C340" s="7"/>
      <c r="D340" s="7"/>
      <c r="E340" s="7"/>
      <c r="F340" s="7"/>
    </row>
    <row r="341" ht="15.75" customHeight="1">
      <c r="A341" s="7"/>
      <c r="B341" s="7"/>
      <c r="C341" s="7"/>
      <c r="D341" s="7"/>
      <c r="E341" s="7"/>
      <c r="F341" s="7"/>
    </row>
    <row r="342" ht="15.75" customHeight="1">
      <c r="A342" s="7"/>
      <c r="B342" s="7"/>
      <c r="C342" s="7"/>
      <c r="D342" s="7"/>
      <c r="E342" s="7"/>
      <c r="F342" s="7"/>
    </row>
    <row r="343" ht="15.75" customHeight="1">
      <c r="A343" s="7"/>
      <c r="B343" s="7"/>
      <c r="C343" s="7"/>
      <c r="D343" s="7"/>
      <c r="E343" s="7"/>
      <c r="F343" s="7"/>
    </row>
    <row r="344" ht="15.75" customHeight="1">
      <c r="A344" s="7"/>
      <c r="B344" s="7"/>
      <c r="C344" s="7"/>
      <c r="D344" s="7"/>
      <c r="E344" s="7"/>
      <c r="F344" s="7"/>
    </row>
    <row r="345" ht="15.75" customHeight="1">
      <c r="A345" s="7"/>
      <c r="B345" s="7"/>
      <c r="C345" s="7"/>
      <c r="D345" s="7"/>
      <c r="E345" s="7"/>
      <c r="F345" s="7"/>
    </row>
    <row r="346" ht="15.75" customHeight="1">
      <c r="A346" s="7"/>
      <c r="B346" s="7"/>
      <c r="C346" s="7"/>
      <c r="D346" s="7"/>
      <c r="E346" s="7"/>
      <c r="F346" s="7"/>
    </row>
    <row r="347" ht="15.75" customHeight="1">
      <c r="A347" s="7"/>
      <c r="B347" s="7"/>
      <c r="C347" s="7"/>
      <c r="D347" s="7"/>
      <c r="E347" s="7"/>
      <c r="F347" s="7"/>
    </row>
    <row r="348" ht="15.75" customHeight="1">
      <c r="A348" s="7"/>
      <c r="B348" s="7"/>
      <c r="C348" s="7"/>
      <c r="D348" s="7"/>
      <c r="E348" s="7"/>
      <c r="F348" s="7"/>
    </row>
    <row r="349" ht="15.75" customHeight="1">
      <c r="A349" s="7"/>
      <c r="B349" s="7"/>
      <c r="C349" s="7"/>
      <c r="D349" s="7"/>
      <c r="E349" s="7"/>
      <c r="F349" s="7"/>
    </row>
    <row r="350" ht="15.75" customHeight="1">
      <c r="A350" s="7"/>
      <c r="B350" s="7"/>
      <c r="C350" s="7"/>
      <c r="D350" s="7"/>
      <c r="E350" s="7"/>
      <c r="F350" s="7"/>
    </row>
    <row r="351" ht="15.75" customHeight="1">
      <c r="A351" s="7"/>
      <c r="B351" s="7"/>
      <c r="C351" s="7"/>
      <c r="D351" s="7"/>
      <c r="E351" s="7"/>
      <c r="F351" s="7"/>
    </row>
    <row r="352" ht="15.75" customHeight="1">
      <c r="A352" s="7"/>
      <c r="B352" s="7"/>
      <c r="C352" s="7"/>
      <c r="D352" s="7"/>
      <c r="E352" s="7"/>
      <c r="F352" s="7"/>
    </row>
    <row r="353" ht="15.75" customHeight="1">
      <c r="A353" s="7"/>
      <c r="B353" s="7"/>
      <c r="C353" s="7"/>
      <c r="D353" s="7"/>
      <c r="E353" s="7"/>
      <c r="F353" s="7"/>
    </row>
    <row r="354" ht="15.75" customHeight="1">
      <c r="A354" s="7"/>
      <c r="B354" s="7"/>
      <c r="C354" s="7"/>
      <c r="D354" s="7"/>
      <c r="E354" s="7"/>
      <c r="F354" s="7"/>
    </row>
    <row r="355" ht="15.75" customHeight="1">
      <c r="A355" s="7"/>
      <c r="B355" s="7"/>
      <c r="C355" s="7"/>
      <c r="D355" s="7"/>
      <c r="E355" s="7"/>
      <c r="F355" s="7"/>
    </row>
    <row r="356" ht="15.75" customHeight="1">
      <c r="A356" s="7"/>
      <c r="B356" s="7"/>
      <c r="C356" s="7"/>
      <c r="D356" s="7"/>
      <c r="E356" s="7"/>
      <c r="F356" s="7"/>
    </row>
    <row r="357" ht="15.75" customHeight="1">
      <c r="A357" s="7"/>
      <c r="B357" s="7"/>
      <c r="C357" s="7"/>
      <c r="D357" s="7"/>
      <c r="E357" s="7"/>
      <c r="F357" s="7"/>
    </row>
    <row r="358" ht="15.75" customHeight="1">
      <c r="A358" s="7"/>
      <c r="B358" s="7"/>
      <c r="C358" s="7"/>
      <c r="D358" s="7"/>
      <c r="E358" s="7"/>
      <c r="F358" s="7"/>
    </row>
    <row r="359" ht="15.75" customHeight="1">
      <c r="A359" s="7"/>
      <c r="B359" s="7"/>
      <c r="C359" s="7"/>
      <c r="D359" s="7"/>
      <c r="E359" s="7"/>
      <c r="F359" s="7"/>
    </row>
    <row r="360" ht="15.75" customHeight="1">
      <c r="A360" s="7"/>
      <c r="B360" s="7"/>
      <c r="C360" s="7"/>
      <c r="D360" s="7"/>
      <c r="E360" s="7"/>
      <c r="F360" s="7"/>
    </row>
    <row r="361" ht="15.75" customHeight="1">
      <c r="A361" s="7"/>
      <c r="B361" s="7"/>
      <c r="C361" s="7"/>
      <c r="D361" s="7"/>
      <c r="E361" s="7"/>
      <c r="F361" s="7"/>
    </row>
    <row r="362" ht="15.75" customHeight="1">
      <c r="A362" s="7"/>
      <c r="B362" s="7"/>
      <c r="C362" s="7"/>
      <c r="D362" s="7"/>
      <c r="E362" s="7"/>
      <c r="F362" s="7"/>
    </row>
    <row r="363" ht="15.75" customHeight="1">
      <c r="A363" s="7"/>
      <c r="B363" s="7"/>
      <c r="C363" s="7"/>
      <c r="D363" s="7"/>
      <c r="E363" s="7"/>
      <c r="F363" s="7"/>
    </row>
    <row r="364" ht="15.75" customHeight="1">
      <c r="A364" s="7"/>
      <c r="B364" s="7"/>
      <c r="C364" s="7"/>
      <c r="D364" s="7"/>
      <c r="E364" s="7"/>
      <c r="F364" s="7"/>
    </row>
    <row r="365" ht="15.75" customHeight="1">
      <c r="A365" s="7"/>
      <c r="B365" s="7"/>
      <c r="C365" s="7"/>
      <c r="D365" s="7"/>
      <c r="E365" s="7"/>
      <c r="F365" s="7"/>
    </row>
    <row r="366" ht="15.75" customHeight="1">
      <c r="A366" s="7"/>
      <c r="B366" s="7"/>
      <c r="C366" s="7"/>
      <c r="D366" s="7"/>
      <c r="E366" s="7"/>
      <c r="F366" s="7"/>
    </row>
    <row r="367" ht="15.75" customHeight="1">
      <c r="A367" s="7"/>
      <c r="B367" s="7"/>
      <c r="C367" s="7"/>
      <c r="D367" s="7"/>
      <c r="E367" s="7"/>
      <c r="F367" s="7"/>
    </row>
    <row r="368" ht="15.75" customHeight="1">
      <c r="A368" s="7"/>
      <c r="B368" s="7"/>
      <c r="C368" s="7"/>
      <c r="D368" s="7"/>
      <c r="E368" s="7"/>
      <c r="F368" s="7"/>
    </row>
    <row r="369" ht="15.75" customHeight="1">
      <c r="A369" s="7"/>
      <c r="B369" s="7"/>
      <c r="C369" s="7"/>
      <c r="D369" s="7"/>
      <c r="E369" s="7"/>
      <c r="F369" s="7"/>
    </row>
    <row r="370" ht="15.75" customHeight="1">
      <c r="A370" s="7"/>
      <c r="B370" s="7"/>
      <c r="C370" s="7"/>
      <c r="D370" s="7"/>
      <c r="E370" s="7"/>
      <c r="F370" s="7"/>
    </row>
    <row r="371" ht="15.75" customHeight="1">
      <c r="A371" s="7"/>
      <c r="B371" s="7"/>
      <c r="C371" s="7"/>
      <c r="D371" s="7"/>
      <c r="E371" s="7"/>
      <c r="F371" s="7"/>
    </row>
    <row r="372" ht="15.75" customHeight="1">
      <c r="A372" s="7"/>
      <c r="B372" s="7"/>
      <c r="C372" s="7"/>
      <c r="D372" s="7"/>
      <c r="E372" s="7"/>
      <c r="F372" s="7"/>
    </row>
    <row r="373" ht="15.75" customHeight="1">
      <c r="A373" s="7"/>
      <c r="B373" s="7"/>
      <c r="C373" s="7"/>
      <c r="D373" s="7"/>
      <c r="E373" s="7"/>
      <c r="F373" s="7"/>
    </row>
    <row r="374" ht="15.75" customHeight="1">
      <c r="A374" s="7"/>
      <c r="B374" s="7"/>
      <c r="C374" s="7"/>
      <c r="D374" s="7"/>
      <c r="E374" s="7"/>
      <c r="F374" s="7"/>
    </row>
    <row r="375" ht="15.75" customHeight="1">
      <c r="A375" s="7"/>
      <c r="B375" s="7"/>
      <c r="C375" s="7"/>
      <c r="D375" s="7"/>
      <c r="E375" s="7"/>
      <c r="F375" s="7"/>
    </row>
    <row r="376" ht="15.75" customHeight="1">
      <c r="A376" s="7"/>
      <c r="B376" s="7"/>
      <c r="C376" s="7"/>
      <c r="D376" s="7"/>
      <c r="E376" s="7"/>
      <c r="F376" s="7"/>
    </row>
    <row r="377" ht="15.75" customHeight="1">
      <c r="A377" s="7"/>
      <c r="B377" s="7"/>
      <c r="C377" s="7"/>
      <c r="D377" s="7"/>
      <c r="E377" s="7"/>
      <c r="F377" s="7"/>
    </row>
    <row r="378" ht="15.75" customHeight="1">
      <c r="A378" s="7"/>
      <c r="B378" s="7"/>
      <c r="C378" s="7"/>
      <c r="D378" s="7"/>
      <c r="E378" s="7"/>
      <c r="F378" s="7"/>
    </row>
    <row r="379" ht="15.75" customHeight="1">
      <c r="A379" s="7"/>
      <c r="B379" s="7"/>
      <c r="C379" s="7"/>
      <c r="D379" s="7"/>
      <c r="E379" s="7"/>
      <c r="F379" s="7"/>
    </row>
    <row r="380" ht="15.75" customHeight="1">
      <c r="A380" s="7"/>
      <c r="B380" s="7"/>
      <c r="C380" s="7"/>
      <c r="D380" s="7"/>
      <c r="E380" s="7"/>
      <c r="F380" s="7"/>
    </row>
    <row r="381" ht="15.75" customHeight="1">
      <c r="A381" s="7"/>
      <c r="B381" s="7"/>
      <c r="C381" s="7"/>
      <c r="D381" s="7"/>
      <c r="E381" s="7"/>
      <c r="F381" s="7"/>
    </row>
    <row r="382" ht="15.75" customHeight="1">
      <c r="A382" s="7"/>
      <c r="B382" s="7"/>
      <c r="C382" s="7"/>
      <c r="D382" s="7"/>
      <c r="E382" s="7"/>
      <c r="F382" s="7"/>
    </row>
    <row r="383" ht="15.75" customHeight="1">
      <c r="A383" s="7"/>
      <c r="B383" s="7"/>
      <c r="C383" s="7"/>
      <c r="D383" s="7"/>
      <c r="E383" s="7"/>
      <c r="F383" s="7"/>
    </row>
    <row r="384" ht="15.75" customHeight="1">
      <c r="A384" s="7"/>
      <c r="B384" s="7"/>
      <c r="C384" s="7"/>
      <c r="D384" s="7"/>
      <c r="E384" s="7"/>
      <c r="F384" s="7"/>
    </row>
    <row r="385" ht="15.75" customHeight="1">
      <c r="A385" s="7"/>
      <c r="B385" s="7"/>
      <c r="C385" s="7"/>
      <c r="D385" s="7"/>
      <c r="E385" s="7"/>
      <c r="F385" s="7"/>
    </row>
    <row r="386" ht="15.75" customHeight="1">
      <c r="A386" s="7"/>
      <c r="B386" s="7"/>
      <c r="C386" s="7"/>
      <c r="D386" s="7"/>
      <c r="E386" s="7"/>
      <c r="F386" s="7"/>
    </row>
    <row r="387" ht="15.75" customHeight="1">
      <c r="A387" s="7"/>
      <c r="B387" s="7"/>
      <c r="C387" s="7"/>
      <c r="D387" s="7"/>
      <c r="E387" s="7"/>
      <c r="F387" s="7"/>
    </row>
    <row r="388" ht="15.75" customHeight="1">
      <c r="A388" s="7"/>
      <c r="B388" s="7"/>
      <c r="C388" s="7"/>
      <c r="D388" s="7"/>
      <c r="E388" s="7"/>
      <c r="F388" s="7"/>
    </row>
    <row r="389" ht="15.75" customHeight="1">
      <c r="A389" s="7"/>
      <c r="B389" s="7"/>
      <c r="C389" s="7"/>
      <c r="D389" s="7"/>
      <c r="E389" s="7"/>
      <c r="F389" s="7"/>
    </row>
    <row r="390" ht="15.75" customHeight="1">
      <c r="A390" s="7"/>
      <c r="B390" s="7"/>
      <c r="C390" s="7"/>
      <c r="D390" s="7"/>
      <c r="E390" s="7"/>
      <c r="F390" s="7"/>
    </row>
    <row r="391" ht="15.75" customHeight="1">
      <c r="A391" s="7"/>
      <c r="B391" s="7"/>
      <c r="C391" s="7"/>
      <c r="D391" s="7"/>
      <c r="E391" s="7"/>
      <c r="F391" s="7"/>
    </row>
    <row r="392" ht="15.75" customHeight="1">
      <c r="A392" s="7"/>
      <c r="B392" s="7"/>
      <c r="C392" s="7"/>
      <c r="D392" s="7"/>
      <c r="E392" s="7"/>
      <c r="F392" s="7"/>
    </row>
    <row r="393" ht="15.75" customHeight="1">
      <c r="A393" s="7"/>
      <c r="B393" s="7"/>
      <c r="C393" s="7"/>
      <c r="D393" s="7"/>
      <c r="E393" s="7"/>
      <c r="F393" s="7"/>
    </row>
    <row r="394" ht="15.75" customHeight="1">
      <c r="A394" s="7"/>
      <c r="B394" s="7"/>
      <c r="C394" s="7"/>
      <c r="D394" s="7"/>
      <c r="E394" s="7"/>
      <c r="F394" s="7"/>
    </row>
    <row r="395" ht="15.75" customHeight="1">
      <c r="A395" s="7"/>
      <c r="B395" s="7"/>
      <c r="C395" s="7"/>
      <c r="D395" s="7"/>
      <c r="E395" s="7"/>
      <c r="F395" s="7"/>
    </row>
    <row r="396" ht="15.75" customHeight="1">
      <c r="A396" s="7"/>
      <c r="B396" s="7"/>
      <c r="C396" s="7"/>
      <c r="D396" s="7"/>
      <c r="E396" s="7"/>
      <c r="F396" s="7"/>
    </row>
    <row r="397" ht="15.75" customHeight="1">
      <c r="A397" s="7"/>
      <c r="B397" s="7"/>
      <c r="C397" s="7"/>
      <c r="D397" s="7"/>
      <c r="E397" s="7"/>
      <c r="F397" s="7"/>
    </row>
    <row r="398" ht="15.75" customHeight="1">
      <c r="A398" s="7"/>
      <c r="B398" s="7"/>
      <c r="C398" s="7"/>
      <c r="D398" s="7"/>
      <c r="E398" s="7"/>
      <c r="F398" s="7"/>
    </row>
    <row r="399" ht="15.75" customHeight="1">
      <c r="A399" s="7"/>
      <c r="B399" s="7"/>
      <c r="C399" s="7"/>
      <c r="D399" s="7"/>
      <c r="E399" s="7"/>
      <c r="F399" s="7"/>
    </row>
    <row r="400" ht="15.75" customHeight="1">
      <c r="A400" s="7"/>
      <c r="B400" s="7"/>
      <c r="C400" s="7"/>
      <c r="D400" s="7"/>
      <c r="E400" s="7"/>
      <c r="F400" s="7"/>
    </row>
    <row r="401" ht="15.75" customHeight="1">
      <c r="A401" s="7"/>
      <c r="B401" s="7"/>
      <c r="C401" s="7"/>
      <c r="D401" s="7"/>
      <c r="E401" s="7"/>
      <c r="F401" s="7"/>
    </row>
    <row r="402" ht="15.75" customHeight="1">
      <c r="A402" s="7"/>
      <c r="B402" s="7"/>
      <c r="C402" s="7"/>
      <c r="D402" s="7"/>
      <c r="E402" s="7"/>
      <c r="F402" s="7"/>
    </row>
    <row r="403" ht="15.75" customHeight="1">
      <c r="A403" s="7"/>
      <c r="B403" s="7"/>
      <c r="C403" s="7"/>
      <c r="D403" s="7"/>
      <c r="E403" s="7"/>
      <c r="F403" s="7"/>
    </row>
    <row r="404" ht="15.75" customHeight="1">
      <c r="A404" s="7"/>
      <c r="B404" s="7"/>
      <c r="C404" s="7"/>
      <c r="D404" s="7"/>
      <c r="E404" s="7"/>
      <c r="F404" s="7"/>
    </row>
    <row r="405" ht="15.75" customHeight="1">
      <c r="A405" s="7"/>
      <c r="B405" s="7"/>
      <c r="C405" s="7"/>
      <c r="D405" s="7"/>
      <c r="E405" s="7"/>
      <c r="F405" s="7"/>
    </row>
    <row r="406" ht="15.75" customHeight="1">
      <c r="A406" s="7"/>
      <c r="B406" s="7"/>
      <c r="C406" s="7"/>
      <c r="D406" s="7"/>
      <c r="E406" s="7"/>
      <c r="F406" s="7"/>
    </row>
    <row r="407" ht="15.75" customHeight="1">
      <c r="A407" s="7"/>
      <c r="B407" s="7"/>
      <c r="C407" s="7"/>
      <c r="D407" s="7"/>
      <c r="E407" s="7"/>
      <c r="F407" s="7"/>
    </row>
    <row r="408" ht="15.75" customHeight="1">
      <c r="A408" s="7"/>
      <c r="B408" s="7"/>
      <c r="C408" s="7"/>
      <c r="D408" s="7"/>
      <c r="E408" s="7"/>
      <c r="F408" s="7"/>
    </row>
    <row r="409" ht="15.75" customHeight="1">
      <c r="A409" s="7"/>
      <c r="B409" s="7"/>
      <c r="C409" s="7"/>
      <c r="D409" s="7"/>
      <c r="E409" s="7"/>
      <c r="F409" s="7"/>
    </row>
    <row r="410" ht="15.75" customHeight="1">
      <c r="A410" s="7"/>
      <c r="B410" s="7"/>
      <c r="C410" s="7"/>
      <c r="D410" s="7"/>
      <c r="E410" s="7"/>
      <c r="F410" s="7"/>
    </row>
    <row r="411" ht="15.75" customHeight="1">
      <c r="A411" s="7"/>
      <c r="B411" s="7"/>
      <c r="C411" s="7"/>
      <c r="D411" s="7"/>
      <c r="E411" s="7"/>
      <c r="F411" s="7"/>
    </row>
    <row r="412" ht="15.75" customHeight="1">
      <c r="A412" s="7"/>
      <c r="B412" s="7"/>
      <c r="C412" s="7"/>
      <c r="D412" s="7"/>
      <c r="E412" s="7"/>
      <c r="F412" s="7"/>
    </row>
    <row r="413" ht="15.75" customHeight="1">
      <c r="A413" s="7"/>
      <c r="B413" s="7"/>
      <c r="C413" s="7"/>
      <c r="D413" s="7"/>
      <c r="E413" s="7"/>
      <c r="F413" s="7"/>
    </row>
    <row r="414" ht="15.75" customHeight="1">
      <c r="A414" s="7"/>
      <c r="B414" s="7"/>
      <c r="C414" s="7"/>
      <c r="D414" s="7"/>
      <c r="E414" s="7"/>
      <c r="F414" s="7"/>
    </row>
    <row r="415" ht="15.75" customHeight="1">
      <c r="A415" s="7"/>
      <c r="B415" s="7"/>
      <c r="C415" s="7"/>
      <c r="D415" s="7"/>
      <c r="E415" s="7"/>
      <c r="F415" s="7"/>
    </row>
    <row r="416" ht="15.75" customHeight="1">
      <c r="A416" s="7"/>
      <c r="B416" s="7"/>
      <c r="C416" s="7"/>
      <c r="D416" s="7"/>
      <c r="E416" s="7"/>
      <c r="F416" s="7"/>
    </row>
    <row r="417" ht="15.75" customHeight="1">
      <c r="A417" s="7"/>
      <c r="B417" s="7"/>
      <c r="C417" s="7"/>
      <c r="D417" s="7"/>
      <c r="E417" s="7"/>
      <c r="F417" s="7"/>
    </row>
    <row r="418" ht="15.75" customHeight="1">
      <c r="A418" s="7"/>
      <c r="B418" s="7"/>
      <c r="C418" s="7"/>
      <c r="D418" s="7"/>
      <c r="E418" s="7"/>
      <c r="F418" s="7"/>
    </row>
    <row r="419" ht="15.75" customHeight="1">
      <c r="A419" s="7"/>
      <c r="B419" s="7"/>
      <c r="C419" s="7"/>
      <c r="D419" s="7"/>
      <c r="E419" s="7"/>
      <c r="F419" s="7"/>
    </row>
    <row r="420" ht="15.75" customHeight="1">
      <c r="A420" s="7"/>
      <c r="B420" s="7"/>
      <c r="C420" s="7"/>
      <c r="D420" s="7"/>
      <c r="E420" s="7"/>
      <c r="F420" s="7"/>
    </row>
    <row r="421" ht="15.75" customHeight="1">
      <c r="A421" s="7"/>
      <c r="B421" s="7"/>
      <c r="C421" s="7"/>
      <c r="D421" s="7"/>
      <c r="E421" s="7"/>
      <c r="F421" s="7"/>
    </row>
    <row r="422" ht="15.75" customHeight="1">
      <c r="A422" s="7"/>
      <c r="B422" s="7"/>
      <c r="C422" s="7"/>
      <c r="D422" s="7"/>
      <c r="E422" s="7"/>
      <c r="F422" s="7"/>
    </row>
    <row r="423" ht="15.75" customHeight="1">
      <c r="A423" s="7"/>
      <c r="B423" s="7"/>
      <c r="C423" s="7"/>
      <c r="D423" s="7"/>
      <c r="E423" s="7"/>
      <c r="F423" s="7"/>
    </row>
    <row r="424" ht="15.75" customHeight="1">
      <c r="A424" s="7"/>
      <c r="B424" s="7"/>
      <c r="C424" s="7"/>
      <c r="D424" s="7"/>
      <c r="E424" s="7"/>
      <c r="F424" s="7"/>
    </row>
    <row r="425" ht="15.75" customHeight="1">
      <c r="A425" s="7"/>
      <c r="B425" s="7"/>
      <c r="C425" s="7"/>
      <c r="D425" s="7"/>
      <c r="E425" s="7"/>
      <c r="F425" s="7"/>
    </row>
    <row r="426" ht="15.75" customHeight="1">
      <c r="A426" s="7"/>
      <c r="B426" s="7"/>
      <c r="C426" s="7"/>
      <c r="D426" s="7"/>
      <c r="E426" s="7"/>
      <c r="F426" s="7"/>
    </row>
    <row r="427" ht="15.75" customHeight="1">
      <c r="A427" s="7"/>
      <c r="B427" s="7"/>
      <c r="C427" s="7"/>
      <c r="D427" s="7"/>
      <c r="E427" s="7"/>
      <c r="F427" s="7"/>
    </row>
    <row r="428" ht="15.75" customHeight="1">
      <c r="A428" s="7"/>
      <c r="B428" s="7"/>
      <c r="C428" s="7"/>
      <c r="D428" s="7"/>
      <c r="E428" s="7"/>
      <c r="F428" s="7"/>
    </row>
    <row r="429" ht="15.75" customHeight="1">
      <c r="A429" s="7"/>
      <c r="B429" s="7"/>
      <c r="C429" s="7"/>
      <c r="D429" s="7"/>
      <c r="E429" s="7"/>
      <c r="F429" s="7"/>
    </row>
    <row r="430" ht="15.75" customHeight="1">
      <c r="A430" s="7"/>
      <c r="B430" s="7"/>
      <c r="C430" s="7"/>
      <c r="D430" s="7"/>
      <c r="E430" s="7"/>
      <c r="F430" s="7"/>
    </row>
    <row r="431" ht="15.75" customHeight="1">
      <c r="A431" s="7"/>
      <c r="B431" s="7"/>
      <c r="C431" s="7"/>
      <c r="D431" s="7"/>
      <c r="E431" s="7"/>
      <c r="F431" s="7"/>
    </row>
    <row r="432" ht="15.75" customHeight="1">
      <c r="A432" s="7"/>
      <c r="B432" s="7"/>
      <c r="C432" s="7"/>
      <c r="D432" s="7"/>
      <c r="E432" s="7"/>
      <c r="F432" s="7"/>
    </row>
    <row r="433" ht="15.75" customHeight="1">
      <c r="A433" s="7"/>
      <c r="B433" s="7"/>
      <c r="C433" s="7"/>
      <c r="D433" s="7"/>
      <c r="E433" s="7"/>
      <c r="F433" s="7"/>
    </row>
    <row r="434" ht="15.75" customHeight="1">
      <c r="A434" s="7"/>
      <c r="B434" s="7"/>
      <c r="C434" s="7"/>
      <c r="D434" s="7"/>
      <c r="E434" s="7"/>
      <c r="F434" s="7"/>
    </row>
    <row r="435" ht="15.75" customHeight="1">
      <c r="A435" s="7"/>
      <c r="B435" s="7"/>
      <c r="C435" s="7"/>
      <c r="D435" s="7"/>
      <c r="E435" s="7"/>
      <c r="F435" s="7"/>
    </row>
    <row r="436" ht="15.75" customHeight="1">
      <c r="A436" s="7"/>
      <c r="B436" s="7"/>
      <c r="C436" s="7"/>
      <c r="D436" s="7"/>
      <c r="E436" s="7"/>
      <c r="F436" s="7"/>
    </row>
    <row r="437" ht="15.75" customHeight="1">
      <c r="A437" s="7"/>
      <c r="B437" s="7"/>
      <c r="C437" s="7"/>
      <c r="D437" s="7"/>
      <c r="E437" s="7"/>
      <c r="F437" s="7"/>
    </row>
    <row r="438" ht="15.75" customHeight="1">
      <c r="A438" s="7"/>
      <c r="B438" s="7"/>
      <c r="C438" s="7"/>
      <c r="D438" s="7"/>
      <c r="E438" s="7"/>
      <c r="F438" s="7"/>
    </row>
    <row r="439" ht="15.75" customHeight="1">
      <c r="A439" s="7"/>
      <c r="B439" s="7"/>
      <c r="C439" s="7"/>
      <c r="D439" s="7"/>
      <c r="E439" s="7"/>
      <c r="F439" s="7"/>
    </row>
    <row r="440" ht="15.75" customHeight="1">
      <c r="A440" s="7"/>
      <c r="B440" s="7"/>
      <c r="C440" s="7"/>
      <c r="D440" s="7"/>
      <c r="E440" s="7"/>
      <c r="F440" s="7"/>
    </row>
    <row r="441" ht="15.75" customHeight="1">
      <c r="A441" s="7"/>
      <c r="B441" s="7"/>
      <c r="C441" s="7"/>
      <c r="D441" s="7"/>
      <c r="E441" s="7"/>
      <c r="F441" s="7"/>
    </row>
    <row r="442" ht="15.75" customHeight="1">
      <c r="A442" s="7"/>
      <c r="B442" s="7"/>
      <c r="C442" s="7"/>
      <c r="D442" s="7"/>
      <c r="E442" s="7"/>
      <c r="F442" s="7"/>
    </row>
    <row r="443" ht="15.75" customHeight="1">
      <c r="A443" s="7"/>
      <c r="B443" s="7"/>
      <c r="C443" s="7"/>
      <c r="D443" s="7"/>
      <c r="E443" s="7"/>
      <c r="F443" s="7"/>
    </row>
    <row r="444" ht="15.75" customHeight="1">
      <c r="A444" s="7"/>
      <c r="B444" s="7"/>
      <c r="C444" s="7"/>
      <c r="D444" s="7"/>
      <c r="E444" s="7"/>
      <c r="F444" s="7"/>
    </row>
    <row r="445" ht="15.75" customHeight="1">
      <c r="A445" s="7"/>
      <c r="B445" s="7"/>
      <c r="C445" s="7"/>
      <c r="D445" s="7"/>
      <c r="E445" s="7"/>
      <c r="F445" s="7"/>
    </row>
    <row r="446" ht="15.75" customHeight="1">
      <c r="A446" s="7"/>
      <c r="B446" s="7"/>
      <c r="C446" s="7"/>
      <c r="D446" s="7"/>
      <c r="E446" s="7"/>
      <c r="F446" s="7"/>
    </row>
    <row r="447" ht="15.75" customHeight="1">
      <c r="A447" s="7"/>
      <c r="B447" s="7"/>
      <c r="C447" s="7"/>
      <c r="D447" s="7"/>
      <c r="E447" s="7"/>
      <c r="F447" s="7"/>
    </row>
    <row r="448" ht="15.75" customHeight="1">
      <c r="A448" s="7"/>
      <c r="B448" s="7"/>
      <c r="C448" s="7"/>
      <c r="D448" s="7"/>
      <c r="E448" s="7"/>
      <c r="F448" s="7"/>
    </row>
    <row r="449" ht="15.75" customHeight="1">
      <c r="A449" s="7"/>
      <c r="B449" s="7"/>
      <c r="C449" s="7"/>
      <c r="D449" s="7"/>
      <c r="E449" s="7"/>
      <c r="F449" s="7"/>
    </row>
    <row r="450" ht="15.75" customHeight="1">
      <c r="A450" s="7"/>
      <c r="B450" s="7"/>
      <c r="C450" s="7"/>
      <c r="D450" s="7"/>
      <c r="E450" s="7"/>
      <c r="F450" s="7"/>
    </row>
    <row r="451" ht="15.75" customHeight="1">
      <c r="A451" s="7"/>
      <c r="B451" s="7"/>
      <c r="C451" s="7"/>
      <c r="D451" s="7"/>
      <c r="E451" s="7"/>
      <c r="F451" s="7"/>
    </row>
    <row r="452" ht="15.75" customHeight="1">
      <c r="A452" s="7"/>
      <c r="B452" s="7"/>
      <c r="C452" s="7"/>
      <c r="D452" s="7"/>
      <c r="E452" s="7"/>
      <c r="F452" s="7"/>
    </row>
    <row r="453" ht="15.75" customHeight="1">
      <c r="A453" s="7"/>
      <c r="B453" s="7"/>
      <c r="C453" s="7"/>
      <c r="D453" s="7"/>
      <c r="E453" s="7"/>
      <c r="F453" s="7"/>
    </row>
    <row r="454" ht="15.75" customHeight="1">
      <c r="A454" s="7"/>
      <c r="B454" s="7"/>
      <c r="C454" s="7"/>
      <c r="D454" s="7"/>
      <c r="E454" s="7"/>
      <c r="F454" s="7"/>
    </row>
    <row r="455" ht="15.75" customHeight="1">
      <c r="A455" s="7"/>
      <c r="B455" s="7"/>
      <c r="C455" s="7"/>
      <c r="D455" s="7"/>
      <c r="E455" s="7"/>
      <c r="F455" s="7"/>
    </row>
    <row r="456" ht="15.75" customHeight="1">
      <c r="A456" s="7"/>
      <c r="B456" s="7"/>
      <c r="C456" s="7"/>
      <c r="D456" s="7"/>
      <c r="E456" s="7"/>
      <c r="F456" s="7"/>
    </row>
    <row r="457" ht="15.75" customHeight="1">
      <c r="A457" s="7"/>
      <c r="B457" s="7"/>
      <c r="C457" s="7"/>
      <c r="D457" s="7"/>
      <c r="E457" s="7"/>
      <c r="F457" s="7"/>
    </row>
    <row r="458" ht="15.75" customHeight="1">
      <c r="A458" s="7"/>
      <c r="B458" s="7"/>
      <c r="C458" s="7"/>
      <c r="D458" s="7"/>
      <c r="E458" s="7"/>
      <c r="F458" s="7"/>
    </row>
    <row r="459" ht="15.75" customHeight="1">
      <c r="A459" s="7"/>
      <c r="B459" s="7"/>
      <c r="C459" s="7"/>
      <c r="D459" s="7"/>
      <c r="E459" s="7"/>
      <c r="F459" s="7"/>
    </row>
    <row r="460" ht="15.75" customHeight="1">
      <c r="A460" s="7"/>
      <c r="B460" s="7"/>
      <c r="C460" s="7"/>
      <c r="D460" s="7"/>
      <c r="E460" s="7"/>
      <c r="F460" s="7"/>
    </row>
    <row r="461" ht="15.75" customHeight="1">
      <c r="A461" s="7"/>
      <c r="B461" s="7"/>
      <c r="C461" s="7"/>
      <c r="D461" s="7"/>
      <c r="E461" s="7"/>
      <c r="F461" s="7"/>
    </row>
    <row r="462" ht="15.75" customHeight="1">
      <c r="A462" s="7"/>
      <c r="B462" s="7"/>
      <c r="C462" s="7"/>
      <c r="D462" s="7"/>
      <c r="E462" s="7"/>
      <c r="F462" s="7"/>
    </row>
    <row r="463" ht="15.75" customHeight="1">
      <c r="A463" s="7"/>
      <c r="B463" s="7"/>
      <c r="C463" s="7"/>
      <c r="D463" s="7"/>
      <c r="E463" s="7"/>
      <c r="F463" s="7"/>
    </row>
    <row r="464" ht="15.75" customHeight="1">
      <c r="A464" s="7"/>
      <c r="B464" s="7"/>
      <c r="C464" s="7"/>
      <c r="D464" s="7"/>
      <c r="E464" s="7"/>
      <c r="F464" s="7"/>
    </row>
    <row r="465" ht="15.75" customHeight="1">
      <c r="A465" s="7"/>
      <c r="B465" s="7"/>
      <c r="C465" s="7"/>
      <c r="D465" s="7"/>
      <c r="E465" s="7"/>
      <c r="F465" s="7"/>
    </row>
    <row r="466" ht="15.75" customHeight="1">
      <c r="A466" s="7"/>
      <c r="B466" s="7"/>
      <c r="C466" s="7"/>
      <c r="D466" s="7"/>
      <c r="E466" s="7"/>
      <c r="F466" s="7"/>
    </row>
    <row r="467" ht="15.75" customHeight="1">
      <c r="A467" s="7"/>
      <c r="B467" s="7"/>
      <c r="C467" s="7"/>
      <c r="D467" s="7"/>
      <c r="E467" s="7"/>
      <c r="F467" s="7"/>
    </row>
    <row r="468" ht="15.75" customHeight="1">
      <c r="A468" s="7"/>
      <c r="B468" s="7"/>
      <c r="C468" s="7"/>
      <c r="D468" s="7"/>
      <c r="E468" s="7"/>
      <c r="F468" s="7"/>
    </row>
    <row r="469" ht="15.75" customHeight="1">
      <c r="A469" s="7"/>
      <c r="B469" s="7"/>
      <c r="C469" s="7"/>
      <c r="D469" s="7"/>
      <c r="E469" s="7"/>
      <c r="F469" s="7"/>
    </row>
    <row r="470" ht="15.75" customHeight="1">
      <c r="A470" s="7"/>
      <c r="B470" s="7"/>
      <c r="C470" s="7"/>
      <c r="D470" s="7"/>
      <c r="E470" s="7"/>
      <c r="F470" s="7"/>
    </row>
    <row r="471" ht="15.75" customHeight="1">
      <c r="A471" s="7"/>
      <c r="B471" s="7"/>
      <c r="C471" s="7"/>
      <c r="D471" s="7"/>
      <c r="E471" s="7"/>
      <c r="F471" s="7"/>
    </row>
    <row r="472" ht="15.75" customHeight="1">
      <c r="A472" s="7"/>
      <c r="B472" s="7"/>
      <c r="C472" s="7"/>
      <c r="D472" s="7"/>
      <c r="E472" s="7"/>
      <c r="F472" s="7"/>
    </row>
    <row r="473" ht="15.75" customHeight="1">
      <c r="A473" s="7"/>
      <c r="B473" s="7"/>
      <c r="C473" s="7"/>
      <c r="D473" s="7"/>
      <c r="E473" s="7"/>
      <c r="F473" s="7"/>
    </row>
    <row r="474" ht="15.75" customHeight="1">
      <c r="A474" s="7"/>
      <c r="B474" s="7"/>
      <c r="C474" s="7"/>
      <c r="D474" s="7"/>
      <c r="E474" s="7"/>
      <c r="F474" s="7"/>
    </row>
    <row r="475" ht="15.75" customHeight="1">
      <c r="A475" s="7"/>
      <c r="B475" s="7"/>
      <c r="C475" s="7"/>
      <c r="D475" s="7"/>
      <c r="E475" s="7"/>
      <c r="F475" s="7"/>
    </row>
    <row r="476" ht="15.75" customHeight="1">
      <c r="A476" s="7"/>
      <c r="B476" s="7"/>
      <c r="C476" s="7"/>
      <c r="D476" s="7"/>
      <c r="E476" s="7"/>
      <c r="F476" s="7"/>
    </row>
    <row r="477" ht="15.75" customHeight="1">
      <c r="A477" s="7"/>
      <c r="B477" s="7"/>
      <c r="C477" s="7"/>
      <c r="D477" s="7"/>
      <c r="E477" s="7"/>
      <c r="F477" s="7"/>
    </row>
    <row r="478" ht="15.75" customHeight="1">
      <c r="A478" s="7"/>
      <c r="B478" s="7"/>
      <c r="C478" s="7"/>
      <c r="D478" s="7"/>
      <c r="E478" s="7"/>
      <c r="F478" s="7"/>
    </row>
    <row r="479" ht="15.75" customHeight="1">
      <c r="A479" s="7"/>
      <c r="B479" s="7"/>
      <c r="C479" s="7"/>
      <c r="D479" s="7"/>
      <c r="E479" s="7"/>
      <c r="F479" s="7"/>
    </row>
    <row r="480" ht="15.75" customHeight="1">
      <c r="A480" s="7"/>
      <c r="B480" s="7"/>
      <c r="C480" s="7"/>
      <c r="D480" s="7"/>
      <c r="E480" s="7"/>
      <c r="F480" s="7"/>
    </row>
    <row r="481" ht="15.75" customHeight="1">
      <c r="A481" s="7"/>
      <c r="B481" s="7"/>
      <c r="C481" s="7"/>
      <c r="D481" s="7"/>
      <c r="E481" s="7"/>
      <c r="F481" s="7"/>
    </row>
    <row r="482" ht="15.75" customHeight="1">
      <c r="A482" s="7"/>
      <c r="B482" s="7"/>
      <c r="C482" s="7"/>
      <c r="D482" s="7"/>
      <c r="E482" s="7"/>
      <c r="F482" s="7"/>
    </row>
    <row r="483" ht="15.75" customHeight="1">
      <c r="A483" s="7"/>
      <c r="B483" s="7"/>
      <c r="C483" s="7"/>
      <c r="D483" s="7"/>
      <c r="E483" s="7"/>
      <c r="F483" s="7"/>
    </row>
    <row r="484" ht="15.75" customHeight="1">
      <c r="A484" s="7"/>
      <c r="B484" s="7"/>
      <c r="C484" s="7"/>
      <c r="D484" s="7"/>
      <c r="E484" s="7"/>
      <c r="F484" s="7"/>
    </row>
    <row r="485" ht="15.75" customHeight="1">
      <c r="A485" s="7"/>
      <c r="B485" s="7"/>
      <c r="C485" s="7"/>
      <c r="D485" s="7"/>
      <c r="E485" s="7"/>
      <c r="F485" s="7"/>
    </row>
    <row r="486" ht="15.75" customHeight="1">
      <c r="A486" s="7"/>
      <c r="B486" s="7"/>
      <c r="C486" s="7"/>
      <c r="D486" s="7"/>
      <c r="E486" s="7"/>
      <c r="F486" s="7"/>
    </row>
    <row r="487" ht="15.75" customHeight="1">
      <c r="A487" s="7"/>
      <c r="B487" s="7"/>
      <c r="C487" s="7"/>
      <c r="D487" s="7"/>
      <c r="E487" s="7"/>
      <c r="F487" s="7"/>
    </row>
    <row r="488" ht="15.75" customHeight="1">
      <c r="A488" s="7"/>
      <c r="B488" s="7"/>
      <c r="C488" s="7"/>
      <c r="D488" s="7"/>
      <c r="E488" s="7"/>
      <c r="F488" s="7"/>
    </row>
    <row r="489" ht="15.75" customHeight="1">
      <c r="A489" s="7"/>
      <c r="B489" s="7"/>
      <c r="C489" s="7"/>
      <c r="D489" s="7"/>
      <c r="E489" s="7"/>
      <c r="F489" s="7"/>
    </row>
    <row r="490" ht="15.75" customHeight="1">
      <c r="A490" s="7"/>
      <c r="B490" s="7"/>
      <c r="C490" s="7"/>
      <c r="D490" s="7"/>
      <c r="E490" s="7"/>
      <c r="F490" s="7"/>
    </row>
    <row r="491" ht="15.75" customHeight="1">
      <c r="A491" s="7"/>
      <c r="B491" s="7"/>
      <c r="C491" s="7"/>
      <c r="D491" s="7"/>
      <c r="E491" s="7"/>
      <c r="F491" s="7"/>
    </row>
    <row r="492" ht="15.75" customHeight="1">
      <c r="A492" s="7"/>
      <c r="B492" s="7"/>
      <c r="C492" s="7"/>
      <c r="D492" s="7"/>
      <c r="E492" s="7"/>
      <c r="F492" s="7"/>
    </row>
    <row r="493" ht="15.75" customHeight="1">
      <c r="A493" s="7"/>
      <c r="B493" s="7"/>
      <c r="C493" s="7"/>
      <c r="D493" s="7"/>
      <c r="E493" s="7"/>
      <c r="F493" s="7"/>
    </row>
    <row r="494" ht="15.75" customHeight="1">
      <c r="A494" s="7"/>
      <c r="B494" s="7"/>
      <c r="C494" s="7"/>
      <c r="D494" s="7"/>
      <c r="E494" s="7"/>
      <c r="F494" s="7"/>
    </row>
    <row r="495" ht="15.75" customHeight="1">
      <c r="A495" s="7"/>
      <c r="B495" s="7"/>
      <c r="C495" s="7"/>
      <c r="D495" s="7"/>
      <c r="E495" s="7"/>
      <c r="F495" s="7"/>
    </row>
    <row r="496" ht="15.75" customHeight="1">
      <c r="A496" s="7"/>
      <c r="B496" s="7"/>
      <c r="C496" s="7"/>
      <c r="D496" s="7"/>
      <c r="E496" s="7"/>
      <c r="F496" s="7"/>
    </row>
    <row r="497" ht="15.75" customHeight="1">
      <c r="A497" s="7"/>
      <c r="B497" s="7"/>
      <c r="C497" s="7"/>
      <c r="D497" s="7"/>
      <c r="E497" s="7"/>
      <c r="F497" s="7"/>
    </row>
    <row r="498" ht="15.75" customHeight="1">
      <c r="A498" s="7"/>
      <c r="B498" s="7"/>
      <c r="C498" s="7"/>
      <c r="D498" s="7"/>
      <c r="E498" s="7"/>
      <c r="F498" s="7"/>
    </row>
    <row r="499" ht="15.75" customHeight="1">
      <c r="A499" s="7"/>
      <c r="B499" s="7"/>
      <c r="C499" s="7"/>
      <c r="D499" s="7"/>
      <c r="E499" s="7"/>
      <c r="F499" s="7"/>
    </row>
    <row r="500" ht="15.75" customHeight="1">
      <c r="A500" s="7"/>
      <c r="B500" s="7"/>
      <c r="C500" s="7"/>
      <c r="D500" s="7"/>
      <c r="E500" s="7"/>
      <c r="F500" s="7"/>
    </row>
    <row r="501" ht="15.75" customHeight="1">
      <c r="A501" s="7"/>
      <c r="B501" s="7"/>
      <c r="C501" s="7"/>
      <c r="D501" s="7"/>
      <c r="E501" s="7"/>
      <c r="F501" s="7"/>
    </row>
    <row r="502" ht="15.75" customHeight="1">
      <c r="A502" s="7"/>
      <c r="B502" s="7"/>
      <c r="C502" s="7"/>
      <c r="D502" s="7"/>
      <c r="E502" s="7"/>
      <c r="F502" s="7"/>
    </row>
    <row r="503" ht="15.75" customHeight="1">
      <c r="A503" s="7"/>
      <c r="B503" s="7"/>
      <c r="C503" s="7"/>
      <c r="D503" s="7"/>
      <c r="E503" s="7"/>
      <c r="F503" s="7"/>
    </row>
    <row r="504" ht="15.75" customHeight="1">
      <c r="A504" s="7"/>
      <c r="B504" s="7"/>
      <c r="C504" s="7"/>
      <c r="D504" s="7"/>
      <c r="E504" s="7"/>
      <c r="F504" s="7"/>
    </row>
    <row r="505" ht="15.75" customHeight="1">
      <c r="A505" s="7"/>
      <c r="B505" s="7"/>
      <c r="C505" s="7"/>
      <c r="D505" s="7"/>
      <c r="E505" s="7"/>
      <c r="F505" s="7"/>
    </row>
    <row r="506" ht="15.75" customHeight="1">
      <c r="A506" s="7"/>
      <c r="B506" s="7"/>
      <c r="C506" s="7"/>
      <c r="D506" s="7"/>
      <c r="E506" s="7"/>
      <c r="F506" s="7"/>
    </row>
    <row r="507" ht="15.75" customHeight="1">
      <c r="A507" s="7"/>
      <c r="B507" s="7"/>
      <c r="C507" s="7"/>
      <c r="D507" s="7"/>
      <c r="E507" s="7"/>
      <c r="F507" s="7"/>
    </row>
    <row r="508" ht="15.75" customHeight="1">
      <c r="A508" s="7"/>
      <c r="B508" s="7"/>
      <c r="C508" s="7"/>
      <c r="D508" s="7"/>
      <c r="E508" s="7"/>
      <c r="F508" s="7"/>
    </row>
    <row r="509" ht="15.75" customHeight="1">
      <c r="A509" s="7"/>
      <c r="B509" s="7"/>
      <c r="C509" s="7"/>
      <c r="D509" s="7"/>
      <c r="E509" s="7"/>
      <c r="F509" s="7"/>
    </row>
    <row r="510" ht="15.75" customHeight="1">
      <c r="A510" s="7"/>
      <c r="B510" s="7"/>
      <c r="C510" s="7"/>
      <c r="D510" s="7"/>
      <c r="E510" s="7"/>
      <c r="F510" s="7"/>
    </row>
    <row r="511" ht="15.75" customHeight="1">
      <c r="A511" s="7"/>
      <c r="B511" s="7"/>
      <c r="C511" s="7"/>
      <c r="D511" s="7"/>
      <c r="E511" s="7"/>
      <c r="F511" s="7"/>
    </row>
    <row r="512" ht="15.75" customHeight="1">
      <c r="A512" s="7"/>
      <c r="B512" s="7"/>
      <c r="C512" s="7"/>
      <c r="D512" s="7"/>
      <c r="E512" s="7"/>
      <c r="F512" s="7"/>
    </row>
    <row r="513" ht="15.75" customHeight="1">
      <c r="A513" s="7"/>
      <c r="B513" s="7"/>
      <c r="C513" s="7"/>
      <c r="D513" s="7"/>
      <c r="E513" s="7"/>
      <c r="F513" s="7"/>
    </row>
    <row r="514" ht="15.75" customHeight="1">
      <c r="A514" s="7"/>
      <c r="B514" s="7"/>
      <c r="C514" s="7"/>
      <c r="D514" s="7"/>
      <c r="E514" s="7"/>
      <c r="F514" s="7"/>
    </row>
    <row r="515" ht="15.75" customHeight="1">
      <c r="A515" s="7"/>
      <c r="B515" s="7"/>
      <c r="C515" s="7"/>
      <c r="D515" s="7"/>
      <c r="E515" s="7"/>
      <c r="F515" s="7"/>
    </row>
    <row r="516" ht="15.75" customHeight="1">
      <c r="A516" s="7"/>
      <c r="B516" s="7"/>
      <c r="C516" s="7"/>
      <c r="D516" s="7"/>
      <c r="E516" s="7"/>
      <c r="F516" s="7"/>
    </row>
    <row r="517" ht="15.75" customHeight="1">
      <c r="A517" s="7"/>
      <c r="B517" s="7"/>
      <c r="C517" s="7"/>
      <c r="D517" s="7"/>
      <c r="E517" s="7"/>
      <c r="F517" s="7"/>
    </row>
    <row r="518" ht="15.75" customHeight="1">
      <c r="A518" s="7"/>
      <c r="B518" s="7"/>
      <c r="C518" s="7"/>
      <c r="D518" s="7"/>
      <c r="E518" s="7"/>
      <c r="F518" s="7"/>
    </row>
    <row r="519" ht="15.75" customHeight="1">
      <c r="A519" s="7"/>
      <c r="B519" s="7"/>
      <c r="C519" s="7"/>
      <c r="D519" s="7"/>
      <c r="E519" s="7"/>
      <c r="F519" s="7"/>
    </row>
    <row r="520" ht="15.75" customHeight="1">
      <c r="A520" s="7"/>
      <c r="B520" s="7"/>
      <c r="C520" s="7"/>
      <c r="D520" s="7"/>
      <c r="E520" s="7"/>
      <c r="F520" s="7"/>
    </row>
    <row r="521" ht="15.75" customHeight="1">
      <c r="A521" s="7"/>
      <c r="B521" s="7"/>
      <c r="C521" s="7"/>
      <c r="D521" s="7"/>
      <c r="E521" s="7"/>
      <c r="F521" s="7"/>
    </row>
    <row r="522" ht="15.75" customHeight="1">
      <c r="A522" s="7"/>
      <c r="B522" s="7"/>
      <c r="C522" s="7"/>
      <c r="D522" s="7"/>
      <c r="E522" s="7"/>
      <c r="F522" s="7"/>
    </row>
    <row r="523" ht="15.75" customHeight="1">
      <c r="A523" s="7"/>
      <c r="B523" s="7"/>
      <c r="C523" s="7"/>
      <c r="D523" s="7"/>
      <c r="E523" s="7"/>
      <c r="F523" s="7"/>
    </row>
    <row r="524" ht="15.75" customHeight="1">
      <c r="A524" s="7"/>
      <c r="B524" s="7"/>
      <c r="C524" s="7"/>
      <c r="D524" s="7"/>
      <c r="E524" s="7"/>
      <c r="F524" s="7"/>
    </row>
    <row r="525" ht="15.75" customHeight="1">
      <c r="A525" s="7"/>
      <c r="B525" s="7"/>
      <c r="C525" s="7"/>
      <c r="D525" s="7"/>
      <c r="E525" s="7"/>
      <c r="F525" s="7"/>
    </row>
    <row r="526" ht="15.75" customHeight="1">
      <c r="A526" s="7"/>
      <c r="B526" s="7"/>
      <c r="C526" s="7"/>
      <c r="D526" s="7"/>
      <c r="E526" s="7"/>
      <c r="F526" s="7"/>
    </row>
    <row r="527" ht="15.75" customHeight="1">
      <c r="A527" s="7"/>
      <c r="B527" s="7"/>
      <c r="C527" s="7"/>
      <c r="D527" s="7"/>
      <c r="E527" s="7"/>
      <c r="F527" s="7"/>
    </row>
    <row r="528" ht="15.75" customHeight="1">
      <c r="A528" s="7"/>
      <c r="B528" s="7"/>
      <c r="C528" s="7"/>
      <c r="D528" s="7"/>
      <c r="E528" s="7"/>
      <c r="F528" s="7"/>
    </row>
    <row r="529" ht="15.75" customHeight="1">
      <c r="A529" s="7"/>
      <c r="B529" s="7"/>
      <c r="C529" s="7"/>
      <c r="D529" s="7"/>
      <c r="E529" s="7"/>
      <c r="F529" s="7"/>
    </row>
    <row r="530" ht="15.75" customHeight="1">
      <c r="A530" s="7"/>
      <c r="B530" s="7"/>
      <c r="C530" s="7"/>
      <c r="D530" s="7"/>
      <c r="E530" s="7"/>
      <c r="F530" s="7"/>
    </row>
    <row r="531" ht="15.75" customHeight="1">
      <c r="A531" s="7"/>
      <c r="B531" s="7"/>
      <c r="C531" s="7"/>
      <c r="D531" s="7"/>
      <c r="E531" s="7"/>
      <c r="F531" s="7"/>
    </row>
    <row r="532" ht="15.75" customHeight="1">
      <c r="A532" s="7"/>
      <c r="B532" s="7"/>
      <c r="C532" s="7"/>
      <c r="D532" s="7"/>
      <c r="E532" s="7"/>
      <c r="F532" s="7"/>
    </row>
    <row r="533" ht="15.75" customHeight="1">
      <c r="A533" s="7"/>
      <c r="B533" s="7"/>
      <c r="C533" s="7"/>
      <c r="D533" s="7"/>
      <c r="E533" s="7"/>
      <c r="F533" s="7"/>
    </row>
    <row r="534" ht="15.75" customHeight="1">
      <c r="A534" s="7"/>
      <c r="B534" s="7"/>
      <c r="C534" s="7"/>
      <c r="D534" s="7"/>
      <c r="E534" s="7"/>
      <c r="F534" s="7"/>
    </row>
    <row r="535" ht="15.75" customHeight="1">
      <c r="A535" s="7"/>
      <c r="B535" s="7"/>
      <c r="C535" s="7"/>
      <c r="D535" s="7"/>
      <c r="E535" s="7"/>
      <c r="F535" s="7"/>
    </row>
    <row r="536" ht="15.75" customHeight="1">
      <c r="A536" s="7"/>
      <c r="B536" s="7"/>
      <c r="C536" s="7"/>
      <c r="D536" s="7"/>
      <c r="E536" s="7"/>
      <c r="F536" s="7"/>
    </row>
    <row r="537" ht="15.75" customHeight="1">
      <c r="A537" s="7"/>
      <c r="B537" s="7"/>
      <c r="C537" s="7"/>
      <c r="D537" s="7"/>
      <c r="E537" s="7"/>
      <c r="F537" s="7"/>
    </row>
    <row r="538" ht="15.75" customHeight="1">
      <c r="A538" s="7"/>
      <c r="B538" s="7"/>
      <c r="C538" s="7"/>
      <c r="D538" s="7"/>
      <c r="E538" s="7"/>
      <c r="F538" s="7"/>
    </row>
    <row r="539" ht="15.75" customHeight="1">
      <c r="A539" s="7"/>
      <c r="B539" s="7"/>
      <c r="C539" s="7"/>
      <c r="D539" s="7"/>
      <c r="E539" s="7"/>
      <c r="F539" s="7"/>
    </row>
    <row r="540" ht="15.75" customHeight="1">
      <c r="A540" s="7"/>
      <c r="B540" s="7"/>
      <c r="C540" s="7"/>
      <c r="D540" s="7"/>
      <c r="E540" s="7"/>
      <c r="F540" s="7"/>
    </row>
    <row r="541" ht="15.75" customHeight="1">
      <c r="A541" s="7"/>
      <c r="B541" s="7"/>
      <c r="C541" s="7"/>
      <c r="D541" s="7"/>
      <c r="E541" s="7"/>
      <c r="F541" s="7"/>
    </row>
    <row r="542" ht="15.75" customHeight="1">
      <c r="A542" s="7"/>
      <c r="B542" s="7"/>
      <c r="C542" s="7"/>
      <c r="D542" s="7"/>
      <c r="E542" s="7"/>
      <c r="F542" s="7"/>
    </row>
    <row r="543" ht="15.75" customHeight="1">
      <c r="A543" s="7"/>
      <c r="B543" s="7"/>
      <c r="C543" s="7"/>
      <c r="D543" s="7"/>
      <c r="E543" s="7"/>
      <c r="F543" s="7"/>
    </row>
    <row r="544" ht="15.75" customHeight="1">
      <c r="A544" s="7"/>
      <c r="B544" s="7"/>
      <c r="C544" s="7"/>
      <c r="D544" s="7"/>
      <c r="E544" s="7"/>
      <c r="F544" s="7"/>
    </row>
    <row r="545" ht="15.75" customHeight="1">
      <c r="A545" s="7"/>
      <c r="B545" s="7"/>
      <c r="C545" s="7"/>
      <c r="D545" s="7"/>
      <c r="E545" s="7"/>
      <c r="F545" s="7"/>
    </row>
    <row r="546" ht="15.75" customHeight="1">
      <c r="A546" s="7"/>
      <c r="B546" s="7"/>
      <c r="C546" s="7"/>
      <c r="D546" s="7"/>
      <c r="E546" s="7"/>
      <c r="F546" s="7"/>
    </row>
    <row r="547" ht="15.75" customHeight="1">
      <c r="A547" s="7"/>
      <c r="B547" s="7"/>
      <c r="C547" s="7"/>
      <c r="D547" s="7"/>
      <c r="E547" s="7"/>
      <c r="F547" s="7"/>
    </row>
    <row r="548" ht="15.75" customHeight="1">
      <c r="A548" s="7"/>
      <c r="B548" s="7"/>
      <c r="C548" s="7"/>
      <c r="D548" s="7"/>
      <c r="E548" s="7"/>
      <c r="F548" s="7"/>
    </row>
    <row r="549" ht="15.75" customHeight="1">
      <c r="A549" s="7"/>
      <c r="B549" s="7"/>
      <c r="C549" s="7"/>
      <c r="D549" s="7"/>
      <c r="E549" s="7"/>
      <c r="F549" s="7"/>
    </row>
    <row r="550" ht="15.75" customHeight="1">
      <c r="A550" s="7"/>
      <c r="B550" s="7"/>
      <c r="C550" s="7"/>
      <c r="D550" s="7"/>
      <c r="E550" s="7"/>
      <c r="F550" s="7"/>
    </row>
    <row r="551" ht="15.75" customHeight="1">
      <c r="A551" s="7"/>
      <c r="B551" s="7"/>
      <c r="C551" s="7"/>
      <c r="D551" s="7"/>
      <c r="E551" s="7"/>
      <c r="F551" s="7"/>
    </row>
    <row r="552" ht="15.75" customHeight="1">
      <c r="A552" s="7"/>
      <c r="B552" s="7"/>
      <c r="C552" s="7"/>
      <c r="D552" s="7"/>
      <c r="E552" s="7"/>
      <c r="F552" s="7"/>
    </row>
    <row r="553" ht="15.75" customHeight="1">
      <c r="A553" s="7"/>
      <c r="B553" s="7"/>
      <c r="C553" s="7"/>
      <c r="D553" s="7"/>
      <c r="E553" s="7"/>
      <c r="F553" s="7"/>
    </row>
    <row r="554" ht="15.75" customHeight="1">
      <c r="A554" s="7"/>
      <c r="B554" s="7"/>
      <c r="C554" s="7"/>
      <c r="D554" s="7"/>
      <c r="E554" s="7"/>
      <c r="F554" s="7"/>
    </row>
    <row r="555" ht="15.75" customHeight="1">
      <c r="A555" s="7"/>
      <c r="B555" s="7"/>
      <c r="C555" s="7"/>
      <c r="D555" s="7"/>
      <c r="E555" s="7"/>
      <c r="F555" s="7"/>
    </row>
    <row r="556" ht="15.75" customHeight="1">
      <c r="A556" s="7"/>
      <c r="B556" s="7"/>
      <c r="C556" s="7"/>
      <c r="D556" s="7"/>
      <c r="E556" s="7"/>
      <c r="F556" s="7"/>
    </row>
    <row r="557" ht="15.75" customHeight="1">
      <c r="A557" s="7"/>
      <c r="B557" s="7"/>
      <c r="C557" s="7"/>
      <c r="D557" s="7"/>
      <c r="E557" s="7"/>
      <c r="F557" s="7"/>
    </row>
    <row r="558" ht="15.75" customHeight="1">
      <c r="A558" s="7"/>
      <c r="B558" s="7"/>
      <c r="C558" s="7"/>
      <c r="D558" s="7"/>
      <c r="E558" s="7"/>
      <c r="F558" s="7"/>
    </row>
    <row r="559" ht="15.75" customHeight="1">
      <c r="A559" s="7"/>
      <c r="B559" s="7"/>
      <c r="C559" s="7"/>
      <c r="D559" s="7"/>
      <c r="E559" s="7"/>
      <c r="F559" s="7"/>
    </row>
    <row r="560" ht="15.75" customHeight="1">
      <c r="A560" s="7"/>
      <c r="B560" s="7"/>
      <c r="C560" s="7"/>
      <c r="D560" s="7"/>
      <c r="E560" s="7"/>
      <c r="F560" s="7"/>
    </row>
    <row r="561" ht="15.75" customHeight="1">
      <c r="A561" s="7"/>
      <c r="B561" s="7"/>
      <c r="C561" s="7"/>
      <c r="D561" s="7"/>
      <c r="E561" s="7"/>
      <c r="F561" s="7"/>
    </row>
    <row r="562" ht="15.75" customHeight="1">
      <c r="A562" s="7"/>
      <c r="B562" s="7"/>
      <c r="C562" s="7"/>
      <c r="D562" s="7"/>
      <c r="E562" s="7"/>
      <c r="F562" s="7"/>
    </row>
    <row r="563" ht="15.75" customHeight="1">
      <c r="A563" s="7"/>
      <c r="B563" s="7"/>
      <c r="C563" s="7"/>
      <c r="D563" s="7"/>
      <c r="E563" s="7"/>
      <c r="F563" s="7"/>
    </row>
    <row r="564" ht="15.75" customHeight="1">
      <c r="A564" s="7"/>
      <c r="B564" s="7"/>
      <c r="C564" s="7"/>
      <c r="D564" s="7"/>
      <c r="E564" s="7"/>
      <c r="F564" s="7"/>
    </row>
    <row r="565" ht="15.75" customHeight="1">
      <c r="A565" s="7"/>
      <c r="B565" s="7"/>
      <c r="C565" s="7"/>
      <c r="D565" s="7"/>
      <c r="E565" s="7"/>
      <c r="F565" s="7"/>
    </row>
    <row r="566" ht="15.75" customHeight="1">
      <c r="A566" s="7"/>
      <c r="B566" s="7"/>
      <c r="C566" s="7"/>
      <c r="D566" s="7"/>
      <c r="E566" s="7"/>
      <c r="F566" s="7"/>
    </row>
    <row r="567" ht="15.75" customHeight="1">
      <c r="A567" s="7"/>
      <c r="B567" s="7"/>
      <c r="C567" s="7"/>
      <c r="D567" s="7"/>
      <c r="E567" s="7"/>
      <c r="F567" s="7"/>
    </row>
    <row r="568" ht="15.75" customHeight="1">
      <c r="A568" s="7"/>
      <c r="B568" s="7"/>
      <c r="C568" s="7"/>
      <c r="D568" s="7"/>
      <c r="E568" s="7"/>
      <c r="F568" s="7"/>
    </row>
    <row r="569" ht="15.75" customHeight="1">
      <c r="A569" s="7"/>
      <c r="B569" s="7"/>
      <c r="C569" s="7"/>
      <c r="D569" s="7"/>
      <c r="E569" s="7"/>
      <c r="F569" s="7"/>
    </row>
    <row r="570" ht="15.75" customHeight="1">
      <c r="A570" s="7"/>
      <c r="B570" s="7"/>
      <c r="C570" s="7"/>
      <c r="D570" s="7"/>
      <c r="E570" s="7"/>
      <c r="F570" s="7"/>
    </row>
    <row r="571" ht="15.75" customHeight="1">
      <c r="A571" s="7"/>
      <c r="B571" s="7"/>
      <c r="C571" s="7"/>
      <c r="D571" s="7"/>
      <c r="E571" s="7"/>
      <c r="F571" s="7"/>
    </row>
    <row r="572" ht="15.75" customHeight="1">
      <c r="A572" s="7"/>
      <c r="B572" s="7"/>
      <c r="C572" s="7"/>
      <c r="D572" s="7"/>
      <c r="E572" s="7"/>
      <c r="F572" s="7"/>
    </row>
    <row r="573" ht="15.75" customHeight="1">
      <c r="A573" s="7"/>
      <c r="B573" s="7"/>
      <c r="C573" s="7"/>
      <c r="D573" s="7"/>
      <c r="E573" s="7"/>
      <c r="F573" s="7"/>
    </row>
    <row r="574" ht="15.75" customHeight="1">
      <c r="A574" s="7"/>
      <c r="B574" s="7"/>
      <c r="C574" s="7"/>
      <c r="D574" s="7"/>
      <c r="E574" s="7"/>
      <c r="F574" s="7"/>
    </row>
    <row r="575" ht="15.75" customHeight="1">
      <c r="A575" s="7"/>
      <c r="B575" s="7"/>
      <c r="C575" s="7"/>
      <c r="D575" s="7"/>
      <c r="E575" s="7"/>
      <c r="F575" s="7"/>
    </row>
    <row r="576" ht="15.75" customHeight="1">
      <c r="A576" s="7"/>
      <c r="B576" s="7"/>
      <c r="C576" s="7"/>
      <c r="D576" s="7"/>
      <c r="E576" s="7"/>
      <c r="F576" s="7"/>
    </row>
    <row r="577" ht="15.75" customHeight="1">
      <c r="A577" s="7"/>
      <c r="B577" s="7"/>
      <c r="C577" s="7"/>
      <c r="D577" s="7"/>
      <c r="E577" s="7"/>
      <c r="F577" s="7"/>
    </row>
    <row r="578" ht="15.75" customHeight="1">
      <c r="A578" s="7"/>
      <c r="B578" s="7"/>
      <c r="C578" s="7"/>
      <c r="D578" s="7"/>
      <c r="E578" s="7"/>
      <c r="F578" s="7"/>
    </row>
    <row r="579" ht="15.75" customHeight="1">
      <c r="A579" s="7"/>
      <c r="B579" s="7"/>
      <c r="C579" s="7"/>
      <c r="D579" s="7"/>
      <c r="E579" s="7"/>
      <c r="F579" s="7"/>
    </row>
    <row r="580" ht="15.75" customHeight="1">
      <c r="A580" s="7"/>
      <c r="B580" s="7"/>
      <c r="C580" s="7"/>
      <c r="D580" s="7"/>
      <c r="E580" s="7"/>
      <c r="F580" s="7"/>
    </row>
    <row r="581" ht="15.75" customHeight="1">
      <c r="A581" s="7"/>
      <c r="B581" s="7"/>
      <c r="C581" s="7"/>
      <c r="D581" s="7"/>
      <c r="E581" s="7"/>
      <c r="F581" s="7"/>
    </row>
    <row r="582" ht="15.75" customHeight="1">
      <c r="A582" s="7"/>
      <c r="B582" s="7"/>
      <c r="C582" s="7"/>
      <c r="D582" s="7"/>
      <c r="E582" s="7"/>
      <c r="F582" s="7"/>
    </row>
    <row r="583" ht="15.75" customHeight="1">
      <c r="A583" s="7"/>
      <c r="B583" s="7"/>
      <c r="C583" s="7"/>
      <c r="D583" s="7"/>
      <c r="E583" s="7"/>
      <c r="F583" s="7"/>
    </row>
    <row r="584" ht="15.75" customHeight="1">
      <c r="A584" s="7"/>
      <c r="B584" s="7"/>
      <c r="C584" s="7"/>
      <c r="D584" s="7"/>
      <c r="E584" s="7"/>
      <c r="F584" s="7"/>
    </row>
    <row r="585" ht="15.75" customHeight="1">
      <c r="A585" s="7"/>
      <c r="B585" s="7"/>
      <c r="C585" s="7"/>
      <c r="D585" s="7"/>
      <c r="E585" s="7"/>
      <c r="F585" s="7"/>
    </row>
    <row r="586" ht="15.75" customHeight="1">
      <c r="A586" s="7"/>
      <c r="B586" s="7"/>
      <c r="C586" s="7"/>
      <c r="D586" s="7"/>
      <c r="E586" s="7"/>
      <c r="F586" s="7"/>
    </row>
    <row r="587" ht="15.75" customHeight="1">
      <c r="A587" s="7"/>
      <c r="B587" s="7"/>
      <c r="C587" s="7"/>
      <c r="D587" s="7"/>
      <c r="E587" s="7"/>
      <c r="F587" s="7"/>
    </row>
    <row r="588" ht="15.75" customHeight="1">
      <c r="A588" s="7"/>
      <c r="B588" s="7"/>
      <c r="C588" s="7"/>
      <c r="D588" s="7"/>
      <c r="E588" s="7"/>
      <c r="F588" s="7"/>
    </row>
    <row r="589" ht="15.75" customHeight="1">
      <c r="A589" s="7"/>
      <c r="B589" s="7"/>
      <c r="C589" s="7"/>
      <c r="D589" s="7"/>
      <c r="E589" s="7"/>
      <c r="F589" s="7"/>
    </row>
    <row r="590" ht="15.75" customHeight="1">
      <c r="A590" s="7"/>
      <c r="B590" s="7"/>
      <c r="C590" s="7"/>
      <c r="D590" s="7"/>
      <c r="E590" s="7"/>
      <c r="F590" s="7"/>
    </row>
    <row r="591" ht="15.75" customHeight="1">
      <c r="A591" s="7"/>
      <c r="B591" s="7"/>
      <c r="C591" s="7"/>
      <c r="D591" s="7"/>
      <c r="E591" s="7"/>
      <c r="F591" s="7"/>
    </row>
    <row r="592" ht="15.75" customHeight="1">
      <c r="A592" s="7"/>
      <c r="B592" s="7"/>
      <c r="C592" s="7"/>
      <c r="D592" s="7"/>
      <c r="E592" s="7"/>
      <c r="F592" s="7"/>
    </row>
    <row r="593" ht="15.75" customHeight="1">
      <c r="A593" s="7"/>
      <c r="B593" s="7"/>
      <c r="C593" s="7"/>
      <c r="D593" s="7"/>
      <c r="E593" s="7"/>
      <c r="F593" s="7"/>
    </row>
    <row r="594" ht="15.75" customHeight="1">
      <c r="A594" s="7"/>
      <c r="B594" s="7"/>
      <c r="C594" s="7"/>
      <c r="D594" s="7"/>
      <c r="E594" s="7"/>
      <c r="F594" s="7"/>
    </row>
    <row r="595" ht="15.75" customHeight="1">
      <c r="A595" s="7"/>
      <c r="B595" s="7"/>
      <c r="C595" s="7"/>
      <c r="D595" s="7"/>
      <c r="E595" s="7"/>
      <c r="F595" s="7"/>
    </row>
    <row r="596" ht="15.75" customHeight="1">
      <c r="A596" s="7"/>
      <c r="B596" s="7"/>
      <c r="C596" s="7"/>
      <c r="D596" s="7"/>
      <c r="E596" s="7"/>
      <c r="F596" s="7"/>
    </row>
    <row r="597" ht="15.75" customHeight="1">
      <c r="A597" s="7"/>
      <c r="B597" s="7"/>
      <c r="C597" s="7"/>
      <c r="D597" s="7"/>
      <c r="E597" s="7"/>
      <c r="F597" s="7"/>
    </row>
    <row r="598" ht="15.75" customHeight="1">
      <c r="A598" s="7"/>
      <c r="B598" s="7"/>
      <c r="C598" s="7"/>
      <c r="D598" s="7"/>
      <c r="E598" s="7"/>
      <c r="F598" s="7"/>
    </row>
    <row r="599" ht="15.75" customHeight="1">
      <c r="A599" s="7"/>
      <c r="B599" s="7"/>
      <c r="C599" s="7"/>
      <c r="D599" s="7"/>
      <c r="E599" s="7"/>
      <c r="F599" s="7"/>
    </row>
    <row r="600" ht="15.75" customHeight="1">
      <c r="A600" s="7"/>
      <c r="B600" s="7"/>
      <c r="C600" s="7"/>
      <c r="D600" s="7"/>
      <c r="E600" s="7"/>
      <c r="F600" s="7"/>
    </row>
    <row r="601" ht="15.75" customHeight="1">
      <c r="A601" s="7"/>
      <c r="B601" s="7"/>
      <c r="C601" s="7"/>
      <c r="D601" s="7"/>
      <c r="E601" s="7"/>
      <c r="F601" s="7"/>
    </row>
    <row r="602" ht="15.75" customHeight="1">
      <c r="A602" s="7"/>
      <c r="B602" s="7"/>
      <c r="C602" s="7"/>
      <c r="D602" s="7"/>
      <c r="E602" s="7"/>
      <c r="F602" s="7"/>
    </row>
    <row r="603" ht="15.75" customHeight="1">
      <c r="A603" s="7"/>
      <c r="B603" s="7"/>
      <c r="C603" s="7"/>
      <c r="D603" s="7"/>
      <c r="E603" s="7"/>
      <c r="F603" s="7"/>
    </row>
    <row r="604" ht="15.75" customHeight="1">
      <c r="A604" s="7"/>
      <c r="B604" s="7"/>
      <c r="C604" s="7"/>
      <c r="D604" s="7"/>
      <c r="E604" s="7"/>
      <c r="F604" s="7"/>
    </row>
    <row r="605" ht="15.75" customHeight="1">
      <c r="A605" s="7"/>
      <c r="B605" s="7"/>
      <c r="C605" s="7"/>
      <c r="D605" s="7"/>
      <c r="E605" s="7"/>
      <c r="F605" s="7"/>
    </row>
    <row r="606" ht="15.75" customHeight="1">
      <c r="A606" s="7"/>
      <c r="B606" s="7"/>
      <c r="C606" s="7"/>
      <c r="D606" s="7"/>
      <c r="E606" s="7"/>
      <c r="F606" s="7"/>
    </row>
    <row r="607" ht="15.75" customHeight="1">
      <c r="A607" s="7"/>
      <c r="B607" s="7"/>
      <c r="C607" s="7"/>
      <c r="D607" s="7"/>
      <c r="E607" s="7"/>
      <c r="F607" s="7"/>
    </row>
    <row r="608" ht="15.75" customHeight="1">
      <c r="A608" s="7"/>
      <c r="B608" s="7"/>
      <c r="C608" s="7"/>
      <c r="D608" s="7"/>
      <c r="E608" s="7"/>
      <c r="F608" s="7"/>
    </row>
    <row r="609" ht="15.75" customHeight="1">
      <c r="A609" s="7"/>
      <c r="B609" s="7"/>
      <c r="C609" s="7"/>
      <c r="D609" s="7"/>
      <c r="E609" s="7"/>
      <c r="F609" s="7"/>
    </row>
    <row r="610" ht="15.75" customHeight="1">
      <c r="A610" s="7"/>
      <c r="B610" s="7"/>
      <c r="C610" s="7"/>
      <c r="D610" s="7"/>
      <c r="E610" s="7"/>
      <c r="F610" s="7"/>
    </row>
    <row r="611" ht="15.75" customHeight="1">
      <c r="A611" s="7"/>
      <c r="B611" s="7"/>
      <c r="C611" s="7"/>
      <c r="D611" s="7"/>
      <c r="E611" s="7"/>
      <c r="F611" s="7"/>
    </row>
    <row r="612" ht="15.75" customHeight="1">
      <c r="A612" s="7"/>
      <c r="B612" s="7"/>
      <c r="C612" s="7"/>
      <c r="D612" s="7"/>
      <c r="E612" s="7"/>
      <c r="F612" s="7"/>
    </row>
    <row r="613" ht="15.75" customHeight="1">
      <c r="A613" s="7"/>
      <c r="B613" s="7"/>
      <c r="C613" s="7"/>
      <c r="D613" s="7"/>
      <c r="E613" s="7"/>
      <c r="F613" s="7"/>
    </row>
    <row r="614" ht="15.75" customHeight="1">
      <c r="A614" s="7"/>
      <c r="B614" s="7"/>
      <c r="C614" s="7"/>
      <c r="D614" s="7"/>
      <c r="E614" s="7"/>
      <c r="F614" s="7"/>
    </row>
    <row r="615" ht="15.75" customHeight="1">
      <c r="A615" s="7"/>
      <c r="B615" s="7"/>
      <c r="C615" s="7"/>
      <c r="D615" s="7"/>
      <c r="E615" s="7"/>
      <c r="F615" s="7"/>
    </row>
    <row r="616" ht="15.75" customHeight="1">
      <c r="A616" s="7"/>
      <c r="B616" s="7"/>
      <c r="C616" s="7"/>
      <c r="D616" s="7"/>
      <c r="E616" s="7"/>
      <c r="F616" s="7"/>
    </row>
    <row r="617" ht="15.75" customHeight="1">
      <c r="A617" s="7"/>
      <c r="B617" s="7"/>
      <c r="C617" s="7"/>
      <c r="D617" s="7"/>
      <c r="E617" s="7"/>
      <c r="F617" s="7"/>
    </row>
    <row r="618" ht="15.75" customHeight="1">
      <c r="A618" s="7"/>
      <c r="B618" s="7"/>
      <c r="C618" s="7"/>
      <c r="D618" s="7"/>
      <c r="E618" s="7"/>
      <c r="F618" s="7"/>
    </row>
    <row r="619" ht="15.75" customHeight="1">
      <c r="A619" s="7"/>
      <c r="B619" s="7"/>
      <c r="C619" s="7"/>
      <c r="D619" s="7"/>
      <c r="E619" s="7"/>
      <c r="F619" s="7"/>
    </row>
    <row r="620" ht="15.75" customHeight="1">
      <c r="A620" s="7"/>
      <c r="B620" s="7"/>
      <c r="C620" s="7"/>
      <c r="D620" s="7"/>
      <c r="E620" s="7"/>
      <c r="F620" s="7"/>
    </row>
    <row r="621" ht="15.75" customHeight="1">
      <c r="A621" s="7"/>
      <c r="B621" s="7"/>
      <c r="C621" s="7"/>
      <c r="D621" s="7"/>
      <c r="E621" s="7"/>
      <c r="F621" s="7"/>
    </row>
    <row r="622" ht="15.75" customHeight="1">
      <c r="A622" s="7"/>
      <c r="B622" s="7"/>
      <c r="C622" s="7"/>
      <c r="D622" s="7"/>
      <c r="E622" s="7"/>
      <c r="F622" s="7"/>
    </row>
    <row r="623" ht="15.75" customHeight="1">
      <c r="A623" s="7"/>
      <c r="B623" s="7"/>
      <c r="C623" s="7"/>
      <c r="D623" s="7"/>
      <c r="E623" s="7"/>
      <c r="F623" s="7"/>
    </row>
    <row r="624" ht="15.75" customHeight="1">
      <c r="A624" s="7"/>
      <c r="B624" s="7"/>
      <c r="C624" s="7"/>
      <c r="D624" s="7"/>
      <c r="E624" s="7"/>
      <c r="F624" s="7"/>
    </row>
    <row r="625" ht="15.75" customHeight="1">
      <c r="A625" s="7"/>
      <c r="B625" s="7"/>
      <c r="C625" s="7"/>
      <c r="D625" s="7"/>
      <c r="E625" s="7"/>
      <c r="F625" s="7"/>
    </row>
    <row r="626" ht="15.75" customHeight="1">
      <c r="A626" s="7"/>
      <c r="B626" s="7"/>
      <c r="C626" s="7"/>
      <c r="D626" s="7"/>
      <c r="E626" s="7"/>
      <c r="F626" s="7"/>
    </row>
    <row r="627" ht="15.75" customHeight="1">
      <c r="A627" s="7"/>
      <c r="B627" s="7"/>
      <c r="C627" s="7"/>
      <c r="D627" s="7"/>
      <c r="E627" s="7"/>
      <c r="F627" s="7"/>
    </row>
    <row r="628" ht="15.75" customHeight="1">
      <c r="A628" s="7"/>
      <c r="B628" s="7"/>
      <c r="C628" s="7"/>
      <c r="D628" s="7"/>
      <c r="E628" s="7"/>
      <c r="F628" s="7"/>
    </row>
    <row r="629" ht="15.75" customHeight="1">
      <c r="A629" s="7"/>
      <c r="B629" s="7"/>
      <c r="C629" s="7"/>
      <c r="D629" s="7"/>
      <c r="E629" s="7"/>
      <c r="F629" s="7"/>
    </row>
    <row r="630" ht="15.75" customHeight="1">
      <c r="A630" s="7"/>
      <c r="B630" s="7"/>
      <c r="C630" s="7"/>
      <c r="D630" s="7"/>
      <c r="E630" s="7"/>
      <c r="F630" s="7"/>
    </row>
    <row r="631" ht="15.75" customHeight="1">
      <c r="A631" s="7"/>
      <c r="B631" s="7"/>
      <c r="C631" s="7"/>
      <c r="D631" s="7"/>
      <c r="E631" s="7"/>
      <c r="F631" s="7"/>
    </row>
    <row r="632" ht="15.75" customHeight="1">
      <c r="A632" s="7"/>
      <c r="B632" s="7"/>
      <c r="C632" s="7"/>
      <c r="D632" s="7"/>
      <c r="E632" s="7"/>
      <c r="F632" s="7"/>
    </row>
    <row r="633" ht="15.75" customHeight="1">
      <c r="A633" s="7"/>
      <c r="B633" s="7"/>
      <c r="C633" s="7"/>
      <c r="D633" s="7"/>
      <c r="E633" s="7"/>
      <c r="F633" s="7"/>
    </row>
    <row r="634" ht="15.75" customHeight="1">
      <c r="A634" s="7"/>
      <c r="B634" s="7"/>
      <c r="C634" s="7"/>
      <c r="D634" s="7"/>
      <c r="E634" s="7"/>
      <c r="F634" s="7"/>
    </row>
    <row r="635" ht="15.75" customHeight="1">
      <c r="A635" s="7"/>
      <c r="B635" s="7"/>
      <c r="C635" s="7"/>
      <c r="D635" s="7"/>
      <c r="E635" s="7"/>
      <c r="F635" s="7"/>
    </row>
    <row r="636" ht="15.75" customHeight="1">
      <c r="A636" s="7"/>
      <c r="B636" s="7"/>
      <c r="C636" s="7"/>
      <c r="D636" s="7"/>
      <c r="E636" s="7"/>
      <c r="F636" s="7"/>
    </row>
    <row r="637" ht="15.75" customHeight="1">
      <c r="A637" s="7"/>
      <c r="B637" s="7"/>
      <c r="C637" s="7"/>
      <c r="D637" s="7"/>
      <c r="E637" s="7"/>
      <c r="F637" s="7"/>
    </row>
    <row r="638" ht="15.75" customHeight="1">
      <c r="A638" s="7"/>
      <c r="B638" s="7"/>
      <c r="C638" s="7"/>
      <c r="D638" s="7"/>
      <c r="E638" s="7"/>
      <c r="F638" s="7"/>
    </row>
    <row r="639" ht="15.75" customHeight="1">
      <c r="A639" s="7"/>
      <c r="B639" s="7"/>
      <c r="C639" s="7"/>
      <c r="D639" s="7"/>
      <c r="E639" s="7"/>
      <c r="F639" s="7"/>
    </row>
    <row r="640" ht="15.75" customHeight="1">
      <c r="A640" s="7"/>
      <c r="B640" s="7"/>
      <c r="C640" s="7"/>
      <c r="D640" s="7"/>
      <c r="E640" s="7"/>
      <c r="F640" s="7"/>
    </row>
    <row r="641" ht="15.75" customHeight="1">
      <c r="A641" s="7"/>
      <c r="B641" s="7"/>
      <c r="C641" s="7"/>
      <c r="D641" s="7"/>
      <c r="E641" s="7"/>
      <c r="F641" s="7"/>
    </row>
    <row r="642" ht="15.75" customHeight="1">
      <c r="A642" s="7"/>
      <c r="B642" s="7"/>
      <c r="C642" s="7"/>
      <c r="D642" s="7"/>
      <c r="E642" s="7"/>
      <c r="F642" s="7"/>
    </row>
    <row r="643" ht="15.75" customHeight="1">
      <c r="A643" s="7"/>
      <c r="B643" s="7"/>
      <c r="C643" s="7"/>
      <c r="D643" s="7"/>
      <c r="E643" s="7"/>
      <c r="F643" s="7"/>
    </row>
    <row r="644" ht="15.75" customHeight="1">
      <c r="A644" s="7"/>
      <c r="B644" s="7"/>
      <c r="C644" s="7"/>
      <c r="D644" s="7"/>
      <c r="E644" s="7"/>
      <c r="F644" s="7"/>
    </row>
    <row r="645" ht="15.75" customHeight="1">
      <c r="A645" s="7"/>
      <c r="B645" s="7"/>
      <c r="C645" s="7"/>
      <c r="D645" s="7"/>
      <c r="E645" s="7"/>
      <c r="F645" s="7"/>
    </row>
    <row r="646" ht="15.75" customHeight="1">
      <c r="A646" s="7"/>
      <c r="B646" s="7"/>
      <c r="C646" s="7"/>
      <c r="D646" s="7"/>
      <c r="E646" s="7"/>
      <c r="F646" s="7"/>
    </row>
    <row r="647" ht="15.75" customHeight="1">
      <c r="A647" s="7"/>
      <c r="B647" s="7"/>
      <c r="C647" s="7"/>
      <c r="D647" s="7"/>
      <c r="E647" s="7"/>
      <c r="F647" s="7"/>
    </row>
    <row r="648" ht="15.75" customHeight="1">
      <c r="A648" s="7"/>
      <c r="B648" s="7"/>
      <c r="C648" s="7"/>
      <c r="D648" s="7"/>
      <c r="E648" s="7"/>
      <c r="F648" s="7"/>
    </row>
    <row r="649" ht="15.75" customHeight="1">
      <c r="A649" s="7"/>
      <c r="B649" s="7"/>
      <c r="C649" s="7"/>
      <c r="D649" s="7"/>
      <c r="E649" s="7"/>
      <c r="F649" s="7"/>
    </row>
    <row r="650" ht="15.75" customHeight="1">
      <c r="A650" s="7"/>
      <c r="B650" s="7"/>
      <c r="C650" s="7"/>
      <c r="D650" s="7"/>
      <c r="E650" s="7"/>
      <c r="F650" s="7"/>
    </row>
    <row r="651" ht="15.75" customHeight="1">
      <c r="A651" s="7"/>
      <c r="B651" s="7"/>
      <c r="C651" s="7"/>
      <c r="D651" s="7"/>
      <c r="E651" s="7"/>
      <c r="F651" s="7"/>
    </row>
    <row r="652" ht="15.75" customHeight="1">
      <c r="A652" s="7"/>
      <c r="B652" s="7"/>
      <c r="C652" s="7"/>
      <c r="D652" s="7"/>
      <c r="E652" s="7"/>
      <c r="F652" s="7"/>
    </row>
    <row r="653" ht="15.75" customHeight="1">
      <c r="A653" s="7"/>
      <c r="B653" s="7"/>
      <c r="C653" s="7"/>
      <c r="D653" s="7"/>
      <c r="E653" s="7"/>
      <c r="F653" s="7"/>
    </row>
    <row r="654" ht="15.75" customHeight="1">
      <c r="A654" s="7"/>
      <c r="B654" s="7"/>
      <c r="C654" s="7"/>
      <c r="D654" s="7"/>
      <c r="E654" s="7"/>
      <c r="F654" s="7"/>
    </row>
    <row r="655" ht="15.75" customHeight="1">
      <c r="A655" s="7"/>
      <c r="B655" s="7"/>
      <c r="C655" s="7"/>
      <c r="D655" s="7"/>
      <c r="E655" s="7"/>
      <c r="F655" s="7"/>
    </row>
    <row r="656" ht="15.75" customHeight="1">
      <c r="A656" s="7"/>
      <c r="B656" s="7"/>
      <c r="C656" s="7"/>
      <c r="D656" s="7"/>
      <c r="E656" s="7"/>
      <c r="F656" s="7"/>
    </row>
    <row r="657" ht="15.75" customHeight="1">
      <c r="A657" s="7"/>
      <c r="B657" s="7"/>
      <c r="C657" s="7"/>
      <c r="D657" s="7"/>
      <c r="E657" s="7"/>
      <c r="F657" s="7"/>
    </row>
    <row r="658" ht="15.75" customHeight="1">
      <c r="A658" s="7"/>
      <c r="B658" s="7"/>
      <c r="C658" s="7"/>
      <c r="D658" s="7"/>
      <c r="E658" s="7"/>
      <c r="F658" s="7"/>
    </row>
    <row r="659" ht="15.75" customHeight="1">
      <c r="A659" s="7"/>
      <c r="B659" s="7"/>
      <c r="C659" s="7"/>
      <c r="D659" s="7"/>
      <c r="E659" s="7"/>
      <c r="F659" s="7"/>
    </row>
    <row r="660" ht="15.75" customHeight="1">
      <c r="A660" s="7"/>
      <c r="B660" s="7"/>
      <c r="C660" s="7"/>
      <c r="D660" s="7"/>
      <c r="E660" s="7"/>
      <c r="F660" s="7"/>
    </row>
    <row r="661" ht="15.75" customHeight="1">
      <c r="A661" s="7"/>
      <c r="B661" s="7"/>
      <c r="C661" s="7"/>
      <c r="D661" s="7"/>
      <c r="E661" s="7"/>
      <c r="F661" s="7"/>
    </row>
    <row r="662" ht="15.75" customHeight="1">
      <c r="A662" s="7"/>
      <c r="B662" s="7"/>
      <c r="C662" s="7"/>
      <c r="D662" s="7"/>
      <c r="E662" s="7"/>
      <c r="F662" s="7"/>
    </row>
    <row r="663" ht="15.75" customHeight="1">
      <c r="A663" s="7"/>
      <c r="B663" s="7"/>
      <c r="C663" s="7"/>
      <c r="D663" s="7"/>
      <c r="E663" s="7"/>
      <c r="F663" s="7"/>
    </row>
    <row r="664" ht="15.75" customHeight="1">
      <c r="A664" s="7"/>
      <c r="B664" s="7"/>
      <c r="C664" s="7"/>
      <c r="D664" s="7"/>
      <c r="E664" s="7"/>
      <c r="F664" s="7"/>
    </row>
    <row r="665" ht="15.75" customHeight="1">
      <c r="A665" s="7"/>
      <c r="B665" s="7"/>
      <c r="C665" s="7"/>
      <c r="D665" s="7"/>
      <c r="E665" s="7"/>
      <c r="F665" s="7"/>
    </row>
    <row r="666" ht="15.75" customHeight="1">
      <c r="A666" s="7"/>
      <c r="B666" s="7"/>
      <c r="C666" s="7"/>
      <c r="D666" s="7"/>
      <c r="E666" s="7"/>
      <c r="F666" s="7"/>
    </row>
    <row r="667" ht="15.75" customHeight="1">
      <c r="A667" s="7"/>
      <c r="B667" s="7"/>
      <c r="C667" s="7"/>
      <c r="D667" s="7"/>
      <c r="E667" s="7"/>
      <c r="F667" s="7"/>
    </row>
    <row r="668" ht="15.75" customHeight="1">
      <c r="A668" s="7"/>
      <c r="B668" s="7"/>
      <c r="C668" s="7"/>
      <c r="D668" s="7"/>
      <c r="E668" s="7"/>
      <c r="F668" s="7"/>
    </row>
    <row r="669" ht="15.75" customHeight="1">
      <c r="A669" s="7"/>
      <c r="B669" s="7"/>
      <c r="C669" s="7"/>
      <c r="D669" s="7"/>
      <c r="E669" s="7"/>
      <c r="F669" s="7"/>
    </row>
    <row r="670" ht="15.75" customHeight="1">
      <c r="A670" s="7"/>
      <c r="B670" s="7"/>
      <c r="C670" s="7"/>
      <c r="D670" s="7"/>
      <c r="E670" s="7"/>
      <c r="F670" s="7"/>
    </row>
    <row r="671" ht="15.75" customHeight="1">
      <c r="A671" s="7"/>
      <c r="B671" s="7"/>
      <c r="C671" s="7"/>
      <c r="D671" s="7"/>
      <c r="E671" s="7"/>
      <c r="F671" s="7"/>
    </row>
    <row r="672" ht="15.75" customHeight="1">
      <c r="A672" s="7"/>
      <c r="B672" s="7"/>
      <c r="C672" s="7"/>
      <c r="D672" s="7"/>
      <c r="E672" s="7"/>
      <c r="F672" s="7"/>
    </row>
    <row r="673" ht="15.75" customHeight="1">
      <c r="A673" s="7"/>
      <c r="B673" s="7"/>
      <c r="C673" s="7"/>
      <c r="D673" s="7"/>
      <c r="E673" s="7"/>
      <c r="F673" s="7"/>
    </row>
    <row r="674" ht="15.75" customHeight="1">
      <c r="A674" s="7"/>
      <c r="B674" s="7"/>
      <c r="C674" s="7"/>
      <c r="D674" s="7"/>
      <c r="E674" s="7"/>
      <c r="F674" s="7"/>
    </row>
    <row r="675" ht="15.75" customHeight="1">
      <c r="A675" s="7"/>
      <c r="B675" s="7"/>
      <c r="C675" s="7"/>
      <c r="D675" s="7"/>
      <c r="E675" s="7"/>
      <c r="F675" s="7"/>
    </row>
    <row r="676" ht="15.75" customHeight="1">
      <c r="A676" s="7"/>
      <c r="B676" s="7"/>
      <c r="C676" s="7"/>
      <c r="D676" s="7"/>
      <c r="E676" s="7"/>
      <c r="F676" s="7"/>
    </row>
    <row r="677" ht="15.75" customHeight="1">
      <c r="A677" s="7"/>
      <c r="B677" s="7"/>
      <c r="C677" s="7"/>
      <c r="D677" s="7"/>
      <c r="E677" s="7"/>
      <c r="F677" s="7"/>
    </row>
    <row r="678" ht="15.75" customHeight="1">
      <c r="A678" s="7"/>
      <c r="B678" s="7"/>
      <c r="C678" s="7"/>
      <c r="D678" s="7"/>
      <c r="E678" s="7"/>
      <c r="F678" s="7"/>
    </row>
    <row r="679" ht="15.75" customHeight="1">
      <c r="A679" s="7"/>
      <c r="B679" s="7"/>
      <c r="C679" s="7"/>
      <c r="D679" s="7"/>
      <c r="E679" s="7"/>
      <c r="F679" s="7"/>
    </row>
    <row r="680" ht="15.75" customHeight="1">
      <c r="A680" s="7"/>
      <c r="B680" s="7"/>
      <c r="C680" s="7"/>
      <c r="D680" s="7"/>
      <c r="E680" s="7"/>
      <c r="F680" s="7"/>
    </row>
    <row r="681" ht="15.75" customHeight="1">
      <c r="A681" s="7"/>
      <c r="B681" s="7"/>
      <c r="C681" s="7"/>
      <c r="D681" s="7"/>
      <c r="E681" s="7"/>
      <c r="F681" s="7"/>
    </row>
    <row r="682" ht="15.75" customHeight="1">
      <c r="A682" s="7"/>
      <c r="B682" s="7"/>
      <c r="C682" s="7"/>
      <c r="D682" s="7"/>
      <c r="E682" s="7"/>
      <c r="F682" s="7"/>
    </row>
    <row r="683" ht="15.75" customHeight="1">
      <c r="A683" s="7"/>
      <c r="B683" s="7"/>
      <c r="C683" s="7"/>
      <c r="D683" s="7"/>
      <c r="E683" s="7"/>
      <c r="F683" s="7"/>
    </row>
    <row r="684" ht="15.75" customHeight="1">
      <c r="A684" s="7"/>
      <c r="B684" s="7"/>
      <c r="C684" s="7"/>
      <c r="D684" s="7"/>
      <c r="E684" s="7"/>
      <c r="F684" s="7"/>
    </row>
    <row r="685" ht="15.75" customHeight="1">
      <c r="A685" s="7"/>
      <c r="B685" s="7"/>
      <c r="C685" s="7"/>
      <c r="D685" s="7"/>
      <c r="E685" s="7"/>
      <c r="F685" s="7"/>
    </row>
    <row r="686" ht="15.75" customHeight="1">
      <c r="A686" s="7"/>
      <c r="B686" s="7"/>
      <c r="C686" s="7"/>
      <c r="D686" s="7"/>
      <c r="E686" s="7"/>
      <c r="F686" s="7"/>
    </row>
    <row r="687" ht="15.75" customHeight="1">
      <c r="A687" s="7"/>
      <c r="B687" s="7"/>
      <c r="C687" s="7"/>
      <c r="D687" s="7"/>
      <c r="E687" s="7"/>
      <c r="F687" s="7"/>
    </row>
    <row r="688" ht="15.75" customHeight="1">
      <c r="A688" s="7"/>
      <c r="B688" s="7"/>
      <c r="C688" s="7"/>
      <c r="D688" s="7"/>
      <c r="E688" s="7"/>
      <c r="F688" s="7"/>
    </row>
    <row r="689" ht="15.75" customHeight="1">
      <c r="A689" s="7"/>
      <c r="B689" s="7"/>
      <c r="C689" s="7"/>
      <c r="D689" s="7"/>
      <c r="E689" s="7"/>
      <c r="F689" s="7"/>
    </row>
    <row r="690" ht="15.75" customHeight="1">
      <c r="A690" s="7"/>
      <c r="B690" s="7"/>
      <c r="C690" s="7"/>
      <c r="D690" s="7"/>
      <c r="E690" s="7"/>
      <c r="F690" s="7"/>
    </row>
    <row r="691" ht="15.75" customHeight="1">
      <c r="A691" s="7"/>
      <c r="B691" s="7"/>
      <c r="C691" s="7"/>
      <c r="D691" s="7"/>
      <c r="E691" s="7"/>
      <c r="F691" s="7"/>
    </row>
    <row r="692" ht="15.75" customHeight="1">
      <c r="A692" s="7"/>
      <c r="B692" s="7"/>
      <c r="C692" s="7"/>
      <c r="D692" s="7"/>
      <c r="E692" s="7"/>
      <c r="F692" s="7"/>
    </row>
    <row r="693" ht="15.75" customHeight="1">
      <c r="A693" s="7"/>
      <c r="B693" s="7"/>
      <c r="C693" s="7"/>
      <c r="D693" s="7"/>
      <c r="E693" s="7"/>
      <c r="F693" s="7"/>
    </row>
    <row r="694" ht="15.75" customHeight="1">
      <c r="A694" s="7"/>
      <c r="B694" s="7"/>
      <c r="C694" s="7"/>
      <c r="D694" s="7"/>
      <c r="E694" s="7"/>
      <c r="F694" s="7"/>
    </row>
    <row r="695" ht="15.75" customHeight="1">
      <c r="A695" s="7"/>
      <c r="B695" s="7"/>
      <c r="C695" s="7"/>
      <c r="D695" s="7"/>
      <c r="E695" s="7"/>
      <c r="F695" s="7"/>
    </row>
    <row r="696" ht="15.75" customHeight="1">
      <c r="A696" s="7"/>
      <c r="B696" s="7"/>
      <c r="C696" s="7"/>
      <c r="D696" s="7"/>
      <c r="E696" s="7"/>
      <c r="F696" s="7"/>
    </row>
    <row r="697" ht="15.75" customHeight="1">
      <c r="A697" s="7"/>
      <c r="B697" s="7"/>
      <c r="C697" s="7"/>
      <c r="D697" s="7"/>
      <c r="E697" s="7"/>
      <c r="F697" s="7"/>
    </row>
    <row r="698" ht="15.75" customHeight="1">
      <c r="A698" s="7"/>
      <c r="B698" s="7"/>
      <c r="C698" s="7"/>
      <c r="D698" s="7"/>
      <c r="E698" s="7"/>
      <c r="F698" s="7"/>
    </row>
    <row r="699" ht="15.75" customHeight="1">
      <c r="A699" s="7"/>
      <c r="B699" s="7"/>
      <c r="C699" s="7"/>
      <c r="D699" s="7"/>
      <c r="E699" s="7"/>
      <c r="F699" s="7"/>
    </row>
    <row r="700" ht="15.75" customHeight="1">
      <c r="A700" s="7"/>
      <c r="B700" s="7"/>
      <c r="C700" s="7"/>
      <c r="D700" s="7"/>
      <c r="E700" s="7"/>
      <c r="F700" s="7"/>
    </row>
    <row r="701" ht="15.75" customHeight="1">
      <c r="A701" s="7"/>
      <c r="B701" s="7"/>
      <c r="C701" s="7"/>
      <c r="D701" s="7"/>
      <c r="E701" s="7"/>
      <c r="F701" s="7"/>
    </row>
    <row r="702" ht="15.75" customHeight="1">
      <c r="A702" s="7"/>
      <c r="B702" s="7"/>
      <c r="C702" s="7"/>
      <c r="D702" s="7"/>
      <c r="E702" s="7"/>
      <c r="F702" s="7"/>
    </row>
    <row r="703" ht="15.75" customHeight="1">
      <c r="A703" s="7"/>
      <c r="B703" s="7"/>
      <c r="C703" s="7"/>
      <c r="D703" s="7"/>
      <c r="E703" s="7"/>
      <c r="F703" s="7"/>
    </row>
    <row r="704" ht="15.75" customHeight="1">
      <c r="A704" s="7"/>
      <c r="B704" s="7"/>
      <c r="C704" s="7"/>
      <c r="D704" s="7"/>
      <c r="E704" s="7"/>
      <c r="F704" s="7"/>
    </row>
    <row r="705" ht="15.75" customHeight="1">
      <c r="A705" s="7"/>
      <c r="B705" s="7"/>
      <c r="C705" s="7"/>
      <c r="D705" s="7"/>
      <c r="E705" s="7"/>
      <c r="F705" s="7"/>
    </row>
    <row r="706" ht="15.75" customHeight="1">
      <c r="A706" s="7"/>
      <c r="B706" s="7"/>
      <c r="C706" s="7"/>
      <c r="D706" s="7"/>
      <c r="E706" s="7"/>
      <c r="F706" s="7"/>
    </row>
    <row r="707" ht="15.75" customHeight="1">
      <c r="A707" s="7"/>
      <c r="B707" s="7"/>
      <c r="C707" s="7"/>
      <c r="D707" s="7"/>
      <c r="E707" s="7"/>
      <c r="F707" s="7"/>
    </row>
    <row r="708" ht="15.75" customHeight="1">
      <c r="A708" s="7"/>
      <c r="B708" s="7"/>
      <c r="C708" s="7"/>
      <c r="D708" s="7"/>
      <c r="E708" s="7"/>
      <c r="F708" s="7"/>
    </row>
    <row r="709" ht="15.75" customHeight="1">
      <c r="A709" s="7"/>
      <c r="B709" s="7"/>
      <c r="C709" s="7"/>
      <c r="D709" s="7"/>
      <c r="E709" s="7"/>
      <c r="F709" s="7"/>
    </row>
    <row r="710" ht="15.75" customHeight="1">
      <c r="A710" s="7"/>
      <c r="B710" s="7"/>
      <c r="C710" s="7"/>
      <c r="D710" s="7"/>
      <c r="E710" s="7"/>
      <c r="F710" s="7"/>
    </row>
    <row r="711" ht="15.75" customHeight="1">
      <c r="A711" s="7"/>
      <c r="B711" s="7"/>
      <c r="C711" s="7"/>
      <c r="D711" s="7"/>
      <c r="E711" s="7"/>
      <c r="F711" s="7"/>
    </row>
    <row r="712" ht="15.75" customHeight="1">
      <c r="A712" s="7"/>
      <c r="B712" s="7"/>
      <c r="C712" s="7"/>
      <c r="D712" s="7"/>
      <c r="E712" s="7"/>
      <c r="F712" s="7"/>
    </row>
    <row r="713" ht="15.75" customHeight="1">
      <c r="A713" s="7"/>
      <c r="B713" s="7"/>
      <c r="C713" s="7"/>
      <c r="D713" s="7"/>
      <c r="E713" s="7"/>
      <c r="F713" s="7"/>
    </row>
    <row r="714" ht="15.75" customHeight="1">
      <c r="A714" s="7"/>
      <c r="B714" s="7"/>
      <c r="C714" s="7"/>
      <c r="D714" s="7"/>
      <c r="E714" s="7"/>
      <c r="F714" s="7"/>
    </row>
    <row r="715" ht="15.75" customHeight="1">
      <c r="A715" s="7"/>
      <c r="B715" s="7"/>
      <c r="C715" s="7"/>
      <c r="D715" s="7"/>
      <c r="E715" s="7"/>
      <c r="F715" s="7"/>
    </row>
    <row r="716" ht="15.75" customHeight="1">
      <c r="A716" s="7"/>
      <c r="B716" s="7"/>
      <c r="C716" s="7"/>
      <c r="D716" s="7"/>
      <c r="E716" s="7"/>
      <c r="F716" s="7"/>
    </row>
    <row r="717" ht="15.75" customHeight="1">
      <c r="A717" s="7"/>
      <c r="B717" s="7"/>
      <c r="C717" s="7"/>
      <c r="D717" s="7"/>
      <c r="E717" s="7"/>
      <c r="F717" s="7"/>
    </row>
    <row r="718" ht="15.75" customHeight="1">
      <c r="A718" s="7"/>
      <c r="B718" s="7"/>
      <c r="C718" s="7"/>
      <c r="D718" s="7"/>
      <c r="E718" s="7"/>
      <c r="F718" s="7"/>
    </row>
    <row r="719" ht="15.75" customHeight="1">
      <c r="A719" s="7"/>
      <c r="B719" s="7"/>
      <c r="C719" s="7"/>
      <c r="D719" s="7"/>
      <c r="E719" s="7"/>
      <c r="F719" s="7"/>
    </row>
    <row r="720" ht="15.75" customHeight="1">
      <c r="A720" s="7"/>
      <c r="B720" s="7"/>
      <c r="C720" s="7"/>
      <c r="D720" s="7"/>
      <c r="E720" s="7"/>
      <c r="F720" s="7"/>
    </row>
    <row r="721" ht="15.75" customHeight="1">
      <c r="A721" s="7"/>
      <c r="B721" s="7"/>
      <c r="C721" s="7"/>
      <c r="D721" s="7"/>
      <c r="E721" s="7"/>
      <c r="F721" s="7"/>
    </row>
    <row r="722" ht="15.75" customHeight="1">
      <c r="A722" s="7"/>
      <c r="B722" s="7"/>
      <c r="C722" s="7"/>
      <c r="D722" s="7"/>
      <c r="E722" s="7"/>
      <c r="F722" s="7"/>
    </row>
    <row r="723" ht="15.75" customHeight="1">
      <c r="A723" s="7"/>
      <c r="B723" s="7"/>
      <c r="C723" s="7"/>
      <c r="D723" s="7"/>
      <c r="E723" s="7"/>
      <c r="F723" s="7"/>
    </row>
    <row r="724" ht="15.75" customHeight="1">
      <c r="A724" s="7"/>
      <c r="B724" s="7"/>
      <c r="C724" s="7"/>
      <c r="D724" s="7"/>
      <c r="E724" s="7"/>
      <c r="F724" s="7"/>
    </row>
    <row r="725" ht="15.75" customHeight="1">
      <c r="A725" s="7"/>
      <c r="B725" s="7"/>
      <c r="C725" s="7"/>
      <c r="D725" s="7"/>
      <c r="E725" s="7"/>
      <c r="F725" s="7"/>
    </row>
    <row r="726" ht="15.75" customHeight="1">
      <c r="A726" s="7"/>
      <c r="B726" s="7"/>
      <c r="C726" s="7"/>
      <c r="D726" s="7"/>
      <c r="E726" s="7"/>
      <c r="F726" s="7"/>
    </row>
    <row r="727" ht="15.75" customHeight="1">
      <c r="A727" s="7"/>
      <c r="B727" s="7"/>
      <c r="C727" s="7"/>
      <c r="D727" s="7"/>
      <c r="E727" s="7"/>
      <c r="F727" s="7"/>
    </row>
    <row r="728" ht="15.75" customHeight="1">
      <c r="A728" s="7"/>
      <c r="B728" s="7"/>
      <c r="C728" s="7"/>
      <c r="D728" s="7"/>
      <c r="E728" s="7"/>
      <c r="F728" s="7"/>
    </row>
    <row r="729" ht="15.75" customHeight="1">
      <c r="A729" s="7"/>
      <c r="B729" s="7"/>
      <c r="C729" s="7"/>
      <c r="D729" s="7"/>
      <c r="E729" s="7"/>
      <c r="F729" s="7"/>
    </row>
    <row r="730" ht="15.75" customHeight="1">
      <c r="A730" s="7"/>
      <c r="B730" s="7"/>
      <c r="C730" s="7"/>
      <c r="D730" s="7"/>
      <c r="E730" s="7"/>
      <c r="F730" s="7"/>
    </row>
    <row r="731" ht="15.75" customHeight="1">
      <c r="A731" s="7"/>
      <c r="B731" s="7"/>
      <c r="C731" s="7"/>
      <c r="D731" s="7"/>
      <c r="E731" s="7"/>
      <c r="F731" s="7"/>
    </row>
    <row r="732" ht="15.75" customHeight="1">
      <c r="A732" s="7"/>
      <c r="B732" s="7"/>
      <c r="C732" s="7"/>
      <c r="D732" s="7"/>
      <c r="E732" s="7"/>
      <c r="F732" s="7"/>
    </row>
    <row r="733" ht="15.75" customHeight="1">
      <c r="A733" s="7"/>
      <c r="B733" s="7"/>
      <c r="C733" s="7"/>
      <c r="D733" s="7"/>
      <c r="E733" s="7"/>
      <c r="F733" s="7"/>
    </row>
    <row r="734" ht="15.75" customHeight="1">
      <c r="A734" s="7"/>
      <c r="B734" s="7"/>
      <c r="C734" s="7"/>
      <c r="D734" s="7"/>
      <c r="E734" s="7"/>
      <c r="F734" s="7"/>
    </row>
    <row r="735" ht="15.75" customHeight="1">
      <c r="A735" s="7"/>
      <c r="B735" s="7"/>
      <c r="C735" s="7"/>
      <c r="D735" s="7"/>
      <c r="E735" s="7"/>
      <c r="F735" s="7"/>
    </row>
    <row r="736" ht="15.75" customHeight="1">
      <c r="A736" s="7"/>
      <c r="B736" s="7"/>
      <c r="C736" s="7"/>
      <c r="D736" s="7"/>
      <c r="E736" s="7"/>
      <c r="F736" s="7"/>
    </row>
    <row r="737" ht="15.75" customHeight="1">
      <c r="A737" s="7"/>
      <c r="B737" s="7"/>
      <c r="C737" s="7"/>
      <c r="D737" s="7"/>
      <c r="E737" s="7"/>
      <c r="F737" s="7"/>
    </row>
    <row r="738" ht="15.75" customHeight="1">
      <c r="A738" s="7"/>
      <c r="B738" s="7"/>
      <c r="C738" s="7"/>
      <c r="D738" s="7"/>
      <c r="E738" s="7"/>
      <c r="F738" s="7"/>
    </row>
    <row r="739" ht="15.75" customHeight="1">
      <c r="A739" s="7"/>
      <c r="B739" s="7"/>
      <c r="C739" s="7"/>
      <c r="D739" s="7"/>
      <c r="E739" s="7"/>
      <c r="F739" s="7"/>
    </row>
    <row r="740" ht="15.75" customHeight="1">
      <c r="A740" s="7"/>
      <c r="B740" s="7"/>
      <c r="C740" s="7"/>
      <c r="D740" s="7"/>
      <c r="E740" s="7"/>
      <c r="F740" s="7"/>
    </row>
    <row r="741" ht="15.75" customHeight="1">
      <c r="A741" s="7"/>
      <c r="B741" s="7"/>
      <c r="C741" s="7"/>
      <c r="D741" s="7"/>
      <c r="E741" s="7"/>
      <c r="F741" s="7"/>
    </row>
    <row r="742" ht="15.75" customHeight="1">
      <c r="A742" s="7"/>
      <c r="B742" s="7"/>
      <c r="C742" s="7"/>
      <c r="D742" s="7"/>
      <c r="E742" s="7"/>
      <c r="F742" s="7"/>
    </row>
    <row r="743" ht="15.75" customHeight="1">
      <c r="A743" s="7"/>
      <c r="B743" s="7"/>
      <c r="C743" s="7"/>
      <c r="D743" s="7"/>
      <c r="E743" s="7"/>
      <c r="F743" s="7"/>
    </row>
    <row r="744" ht="15.75" customHeight="1">
      <c r="A744" s="7"/>
      <c r="B744" s="7"/>
      <c r="C744" s="7"/>
      <c r="D744" s="7"/>
      <c r="E744" s="7"/>
      <c r="F744" s="7"/>
    </row>
    <row r="745" ht="15.75" customHeight="1">
      <c r="A745" s="7"/>
      <c r="B745" s="7"/>
      <c r="C745" s="7"/>
      <c r="D745" s="7"/>
      <c r="E745" s="7"/>
      <c r="F745" s="7"/>
    </row>
    <row r="746" ht="15.75" customHeight="1">
      <c r="A746" s="7"/>
      <c r="B746" s="7"/>
      <c r="C746" s="7"/>
      <c r="D746" s="7"/>
      <c r="E746" s="7"/>
      <c r="F746" s="7"/>
    </row>
    <row r="747" ht="15.75" customHeight="1">
      <c r="A747" s="7"/>
      <c r="B747" s="7"/>
      <c r="C747" s="7"/>
      <c r="D747" s="7"/>
      <c r="E747" s="7"/>
      <c r="F747" s="7"/>
    </row>
    <row r="748" ht="15.75" customHeight="1">
      <c r="A748" s="7"/>
      <c r="B748" s="7"/>
      <c r="C748" s="7"/>
      <c r="D748" s="7"/>
      <c r="E748" s="7"/>
      <c r="F748" s="7"/>
    </row>
    <row r="749" ht="15.75" customHeight="1">
      <c r="A749" s="7"/>
      <c r="B749" s="7"/>
      <c r="C749" s="7"/>
      <c r="D749" s="7"/>
      <c r="E749" s="7"/>
      <c r="F749" s="7"/>
    </row>
    <row r="750" ht="15.75" customHeight="1">
      <c r="A750" s="7"/>
      <c r="B750" s="7"/>
      <c r="C750" s="7"/>
      <c r="D750" s="7"/>
      <c r="E750" s="7"/>
      <c r="F750" s="7"/>
    </row>
    <row r="751" ht="15.75" customHeight="1">
      <c r="A751" s="7"/>
      <c r="B751" s="7"/>
      <c r="C751" s="7"/>
      <c r="D751" s="7"/>
      <c r="E751" s="7"/>
      <c r="F751" s="7"/>
    </row>
    <row r="752" ht="15.75" customHeight="1">
      <c r="A752" s="7"/>
      <c r="B752" s="7"/>
      <c r="C752" s="7"/>
      <c r="D752" s="7"/>
      <c r="E752" s="7"/>
      <c r="F752" s="7"/>
    </row>
    <row r="753" ht="15.75" customHeight="1">
      <c r="A753" s="7"/>
      <c r="B753" s="7"/>
      <c r="C753" s="7"/>
      <c r="D753" s="7"/>
      <c r="E753" s="7"/>
      <c r="F753" s="7"/>
    </row>
    <row r="754" ht="15.75" customHeight="1">
      <c r="A754" s="7"/>
      <c r="B754" s="7"/>
      <c r="C754" s="7"/>
      <c r="D754" s="7"/>
      <c r="E754" s="7"/>
      <c r="F754" s="7"/>
    </row>
    <row r="755" ht="15.75" customHeight="1">
      <c r="A755" s="7"/>
      <c r="B755" s="7"/>
      <c r="C755" s="7"/>
      <c r="D755" s="7"/>
      <c r="E755" s="7"/>
      <c r="F755" s="7"/>
    </row>
    <row r="756" ht="15.75" customHeight="1">
      <c r="A756" s="7"/>
      <c r="B756" s="7"/>
      <c r="C756" s="7"/>
      <c r="D756" s="7"/>
      <c r="E756" s="7"/>
      <c r="F756" s="7"/>
    </row>
    <row r="757" ht="15.75" customHeight="1">
      <c r="A757" s="7"/>
      <c r="B757" s="7"/>
      <c r="C757" s="7"/>
      <c r="D757" s="7"/>
      <c r="E757" s="7"/>
      <c r="F757" s="7"/>
    </row>
    <row r="758" ht="15.75" customHeight="1">
      <c r="A758" s="7"/>
      <c r="B758" s="7"/>
      <c r="C758" s="7"/>
      <c r="D758" s="7"/>
      <c r="E758" s="7"/>
      <c r="F758" s="7"/>
    </row>
    <row r="759" ht="15.75" customHeight="1">
      <c r="A759" s="7"/>
      <c r="B759" s="7"/>
      <c r="C759" s="7"/>
      <c r="D759" s="7"/>
      <c r="E759" s="7"/>
      <c r="F759" s="7"/>
    </row>
    <row r="760" ht="15.75" customHeight="1">
      <c r="A760" s="7"/>
      <c r="B760" s="7"/>
      <c r="C760" s="7"/>
      <c r="D760" s="7"/>
      <c r="E760" s="7"/>
      <c r="F760" s="7"/>
    </row>
    <row r="761" ht="15.75" customHeight="1">
      <c r="A761" s="7"/>
      <c r="B761" s="7"/>
      <c r="C761" s="7"/>
      <c r="D761" s="7"/>
      <c r="E761" s="7"/>
      <c r="F761" s="7"/>
    </row>
    <row r="762" ht="15.75" customHeight="1">
      <c r="A762" s="7"/>
      <c r="B762" s="7"/>
      <c r="C762" s="7"/>
      <c r="D762" s="7"/>
      <c r="E762" s="7"/>
      <c r="F762" s="7"/>
    </row>
    <row r="763" ht="15.75" customHeight="1">
      <c r="A763" s="7"/>
      <c r="B763" s="7"/>
      <c r="C763" s="7"/>
      <c r="D763" s="7"/>
      <c r="E763" s="7"/>
      <c r="F763" s="7"/>
    </row>
    <row r="764" ht="15.75" customHeight="1">
      <c r="A764" s="7"/>
      <c r="B764" s="7"/>
      <c r="C764" s="7"/>
      <c r="D764" s="7"/>
      <c r="E764" s="7"/>
      <c r="F764" s="7"/>
    </row>
    <row r="765" ht="15.75" customHeight="1">
      <c r="A765" s="7"/>
      <c r="B765" s="7"/>
      <c r="C765" s="7"/>
      <c r="D765" s="7"/>
      <c r="E765" s="7"/>
      <c r="F765" s="7"/>
    </row>
    <row r="766" ht="15.75" customHeight="1">
      <c r="A766" s="7"/>
      <c r="B766" s="7"/>
      <c r="C766" s="7"/>
      <c r="D766" s="7"/>
      <c r="E766" s="7"/>
      <c r="F766" s="7"/>
    </row>
    <row r="767" ht="15.75" customHeight="1">
      <c r="A767" s="7"/>
      <c r="B767" s="7"/>
      <c r="C767" s="7"/>
      <c r="D767" s="7"/>
      <c r="E767" s="7"/>
      <c r="F767" s="7"/>
    </row>
    <row r="768" ht="15.75" customHeight="1">
      <c r="A768" s="7"/>
      <c r="B768" s="7"/>
      <c r="C768" s="7"/>
      <c r="D768" s="7"/>
      <c r="E768" s="7"/>
      <c r="F768" s="7"/>
    </row>
    <row r="769" ht="15.75" customHeight="1">
      <c r="A769" s="7"/>
      <c r="B769" s="7"/>
      <c r="C769" s="7"/>
      <c r="D769" s="7"/>
      <c r="E769" s="7"/>
      <c r="F769" s="7"/>
    </row>
    <row r="770" ht="15.75" customHeight="1">
      <c r="A770" s="7"/>
      <c r="B770" s="7"/>
      <c r="C770" s="7"/>
      <c r="D770" s="7"/>
      <c r="E770" s="7"/>
      <c r="F770" s="7"/>
    </row>
    <row r="771" ht="15.75" customHeight="1">
      <c r="A771" s="7"/>
      <c r="B771" s="7"/>
      <c r="C771" s="7"/>
      <c r="D771" s="7"/>
      <c r="E771" s="7"/>
      <c r="F771" s="7"/>
    </row>
    <row r="772" ht="15.75" customHeight="1">
      <c r="A772" s="7"/>
      <c r="B772" s="7"/>
      <c r="C772" s="7"/>
      <c r="D772" s="7"/>
      <c r="E772" s="7"/>
      <c r="F772" s="7"/>
    </row>
    <row r="773" ht="15.75" customHeight="1">
      <c r="A773" s="7"/>
      <c r="B773" s="7"/>
      <c r="C773" s="7"/>
      <c r="D773" s="7"/>
      <c r="E773" s="7"/>
      <c r="F773" s="7"/>
    </row>
    <row r="774" ht="15.75" customHeight="1">
      <c r="A774" s="7"/>
      <c r="B774" s="7"/>
      <c r="C774" s="7"/>
      <c r="D774" s="7"/>
      <c r="E774" s="7"/>
      <c r="F774" s="7"/>
    </row>
    <row r="775" ht="15.75" customHeight="1">
      <c r="A775" s="7"/>
      <c r="B775" s="7"/>
      <c r="C775" s="7"/>
      <c r="D775" s="7"/>
      <c r="E775" s="7"/>
      <c r="F775" s="7"/>
    </row>
    <row r="776" ht="15.75" customHeight="1">
      <c r="A776" s="7"/>
      <c r="B776" s="7"/>
      <c r="C776" s="7"/>
      <c r="D776" s="7"/>
      <c r="E776" s="7"/>
      <c r="F776" s="7"/>
    </row>
    <row r="777" ht="15.75" customHeight="1">
      <c r="A777" s="7"/>
      <c r="B777" s="7"/>
      <c r="C777" s="7"/>
      <c r="D777" s="7"/>
      <c r="E777" s="7"/>
      <c r="F777" s="7"/>
    </row>
    <row r="778" ht="15.75" customHeight="1">
      <c r="A778" s="7"/>
      <c r="B778" s="7"/>
      <c r="C778" s="7"/>
      <c r="D778" s="7"/>
      <c r="E778" s="7"/>
      <c r="F778" s="7"/>
    </row>
    <row r="779" ht="15.75" customHeight="1">
      <c r="A779" s="7"/>
      <c r="B779" s="7"/>
      <c r="C779" s="7"/>
      <c r="D779" s="7"/>
      <c r="E779" s="7"/>
      <c r="F779" s="7"/>
    </row>
    <row r="780" ht="15.75" customHeight="1">
      <c r="A780" s="7"/>
      <c r="B780" s="7"/>
      <c r="C780" s="7"/>
      <c r="D780" s="7"/>
      <c r="E780" s="7"/>
      <c r="F780" s="7"/>
    </row>
    <row r="781" ht="15.75" customHeight="1">
      <c r="A781" s="7"/>
      <c r="B781" s="7"/>
      <c r="C781" s="7"/>
      <c r="D781" s="7"/>
      <c r="E781" s="7"/>
      <c r="F781" s="7"/>
    </row>
    <row r="782" ht="15.75" customHeight="1">
      <c r="A782" s="7"/>
      <c r="B782" s="7"/>
      <c r="C782" s="7"/>
      <c r="D782" s="7"/>
      <c r="E782" s="7"/>
      <c r="F782" s="7"/>
    </row>
    <row r="783" ht="15.75" customHeight="1">
      <c r="A783" s="7"/>
      <c r="B783" s="7"/>
      <c r="C783" s="7"/>
      <c r="D783" s="7"/>
      <c r="E783" s="7"/>
      <c r="F783" s="7"/>
    </row>
    <row r="784" ht="15.75" customHeight="1">
      <c r="A784" s="7"/>
      <c r="B784" s="7"/>
      <c r="C784" s="7"/>
      <c r="D784" s="7"/>
      <c r="E784" s="7"/>
      <c r="F784" s="7"/>
    </row>
    <row r="785" ht="15.75" customHeight="1">
      <c r="A785" s="7"/>
      <c r="B785" s="7"/>
      <c r="C785" s="7"/>
      <c r="D785" s="7"/>
      <c r="E785" s="7"/>
      <c r="F785" s="7"/>
    </row>
    <row r="786" ht="15.75" customHeight="1">
      <c r="A786" s="7"/>
      <c r="B786" s="7"/>
      <c r="C786" s="7"/>
      <c r="D786" s="7"/>
      <c r="E786" s="7"/>
      <c r="F786" s="7"/>
    </row>
    <row r="787" ht="15.75" customHeight="1">
      <c r="A787" s="7"/>
      <c r="B787" s="7"/>
      <c r="C787" s="7"/>
      <c r="D787" s="7"/>
      <c r="E787" s="7"/>
      <c r="F787" s="7"/>
    </row>
    <row r="788" ht="15.75" customHeight="1">
      <c r="A788" s="7"/>
      <c r="B788" s="7"/>
      <c r="C788" s="7"/>
      <c r="D788" s="7"/>
      <c r="E788" s="7"/>
      <c r="F788" s="7"/>
    </row>
    <row r="789" ht="15.75" customHeight="1">
      <c r="A789" s="7"/>
      <c r="B789" s="7"/>
      <c r="C789" s="7"/>
      <c r="D789" s="7"/>
      <c r="E789" s="7"/>
      <c r="F789" s="7"/>
    </row>
    <row r="790" ht="15.75" customHeight="1">
      <c r="A790" s="7"/>
      <c r="B790" s="7"/>
      <c r="C790" s="7"/>
      <c r="D790" s="7"/>
      <c r="E790" s="7"/>
      <c r="F790" s="7"/>
    </row>
    <row r="791" ht="15.75" customHeight="1">
      <c r="A791" s="7"/>
      <c r="B791" s="7"/>
      <c r="C791" s="7"/>
      <c r="D791" s="7"/>
      <c r="E791" s="7"/>
      <c r="F791" s="7"/>
    </row>
    <row r="792" ht="15.75" customHeight="1">
      <c r="A792" s="7"/>
      <c r="B792" s="7"/>
      <c r="C792" s="7"/>
      <c r="D792" s="7"/>
      <c r="E792" s="7"/>
      <c r="F792" s="7"/>
    </row>
    <row r="793" ht="15.75" customHeight="1">
      <c r="A793" s="7"/>
      <c r="B793" s="7"/>
      <c r="C793" s="7"/>
      <c r="D793" s="7"/>
      <c r="E793" s="7"/>
      <c r="F793" s="7"/>
    </row>
    <row r="794" ht="15.75" customHeight="1">
      <c r="A794" s="7"/>
      <c r="B794" s="7"/>
      <c r="C794" s="7"/>
      <c r="D794" s="7"/>
      <c r="E794" s="7"/>
      <c r="F794" s="7"/>
    </row>
    <row r="795" ht="15.75" customHeight="1">
      <c r="A795" s="7"/>
      <c r="B795" s="7"/>
      <c r="C795" s="7"/>
      <c r="D795" s="7"/>
      <c r="E795" s="7"/>
      <c r="F795" s="7"/>
    </row>
    <row r="796" ht="15.75" customHeight="1">
      <c r="A796" s="7"/>
      <c r="B796" s="7"/>
      <c r="C796" s="7"/>
      <c r="D796" s="7"/>
      <c r="E796" s="7"/>
      <c r="F796" s="7"/>
    </row>
    <row r="797" ht="15.75" customHeight="1">
      <c r="A797" s="7"/>
      <c r="B797" s="7"/>
      <c r="C797" s="7"/>
      <c r="D797" s="7"/>
      <c r="E797" s="7"/>
      <c r="F797" s="7"/>
    </row>
    <row r="798" ht="15.75" customHeight="1">
      <c r="A798" s="7"/>
      <c r="B798" s="7"/>
      <c r="C798" s="7"/>
      <c r="D798" s="7"/>
      <c r="E798" s="7"/>
      <c r="F798" s="7"/>
    </row>
    <row r="799" ht="15.75" customHeight="1">
      <c r="A799" s="7"/>
      <c r="B799" s="7"/>
      <c r="C799" s="7"/>
      <c r="D799" s="7"/>
      <c r="E799" s="7"/>
      <c r="F799" s="7"/>
    </row>
    <row r="800" ht="15.75" customHeight="1">
      <c r="A800" s="7"/>
      <c r="B800" s="7"/>
      <c r="C800" s="7"/>
      <c r="D800" s="7"/>
      <c r="E800" s="7"/>
      <c r="F800" s="7"/>
    </row>
    <row r="801" ht="15.75" customHeight="1">
      <c r="A801" s="7"/>
      <c r="B801" s="7"/>
      <c r="C801" s="7"/>
      <c r="D801" s="7"/>
      <c r="E801" s="7"/>
      <c r="F801" s="7"/>
    </row>
    <row r="802" ht="15.75" customHeight="1">
      <c r="A802" s="7"/>
      <c r="B802" s="7"/>
      <c r="C802" s="7"/>
      <c r="D802" s="7"/>
      <c r="E802" s="7"/>
      <c r="F802" s="7"/>
    </row>
    <row r="803" ht="15.75" customHeight="1">
      <c r="A803" s="7"/>
      <c r="B803" s="7"/>
      <c r="C803" s="7"/>
      <c r="D803" s="7"/>
      <c r="E803" s="7"/>
      <c r="F803" s="7"/>
    </row>
    <row r="804" ht="15.75" customHeight="1">
      <c r="A804" s="7"/>
      <c r="B804" s="7"/>
      <c r="C804" s="7"/>
      <c r="D804" s="7"/>
      <c r="E804" s="7"/>
      <c r="F804" s="7"/>
    </row>
    <row r="805" ht="15.75" customHeight="1">
      <c r="A805" s="7"/>
      <c r="B805" s="7"/>
      <c r="C805" s="7"/>
      <c r="D805" s="7"/>
      <c r="E805" s="7"/>
      <c r="F805" s="7"/>
    </row>
    <row r="806" ht="15.75" customHeight="1">
      <c r="A806" s="7"/>
      <c r="B806" s="7"/>
      <c r="C806" s="7"/>
      <c r="D806" s="7"/>
      <c r="E806" s="7"/>
      <c r="F806" s="7"/>
    </row>
    <row r="807" ht="15.75" customHeight="1">
      <c r="A807" s="7"/>
      <c r="B807" s="7"/>
      <c r="C807" s="7"/>
      <c r="D807" s="7"/>
      <c r="E807" s="7"/>
      <c r="F807" s="7"/>
    </row>
    <row r="808" ht="15.75" customHeight="1">
      <c r="A808" s="7"/>
      <c r="B808" s="7"/>
      <c r="C808" s="7"/>
      <c r="D808" s="7"/>
      <c r="E808" s="7"/>
      <c r="F808" s="7"/>
    </row>
    <row r="809" ht="15.75" customHeight="1">
      <c r="A809" s="7"/>
      <c r="B809" s="7"/>
      <c r="C809" s="7"/>
      <c r="D809" s="7"/>
      <c r="E809" s="7"/>
      <c r="F809" s="7"/>
    </row>
    <row r="810" ht="15.75" customHeight="1">
      <c r="A810" s="7"/>
      <c r="B810" s="7"/>
      <c r="C810" s="7"/>
      <c r="D810" s="7"/>
      <c r="E810" s="7"/>
      <c r="F810" s="7"/>
    </row>
    <row r="811" ht="15.75" customHeight="1">
      <c r="A811" s="7"/>
      <c r="B811" s="7"/>
      <c r="C811" s="7"/>
      <c r="D811" s="7"/>
      <c r="E811" s="7"/>
      <c r="F811" s="7"/>
    </row>
    <row r="812" ht="15.75" customHeight="1">
      <c r="A812" s="7"/>
      <c r="B812" s="7"/>
      <c r="C812" s="7"/>
      <c r="D812" s="7"/>
      <c r="E812" s="7"/>
      <c r="F812" s="7"/>
    </row>
    <row r="813" ht="15.75" customHeight="1">
      <c r="A813" s="7"/>
      <c r="B813" s="7"/>
      <c r="C813" s="7"/>
      <c r="D813" s="7"/>
      <c r="E813" s="7"/>
      <c r="F813" s="7"/>
    </row>
    <row r="814" ht="15.75" customHeight="1">
      <c r="A814" s="7"/>
      <c r="B814" s="7"/>
      <c r="C814" s="7"/>
      <c r="D814" s="7"/>
      <c r="E814" s="7"/>
      <c r="F814" s="7"/>
    </row>
    <row r="815" ht="15.75" customHeight="1">
      <c r="A815" s="7"/>
      <c r="B815" s="7"/>
      <c r="C815" s="7"/>
      <c r="D815" s="7"/>
      <c r="E815" s="7"/>
      <c r="F815" s="7"/>
    </row>
    <row r="816" ht="15.75" customHeight="1">
      <c r="A816" s="7"/>
      <c r="B816" s="7"/>
      <c r="C816" s="7"/>
      <c r="D816" s="7"/>
      <c r="E816" s="7"/>
      <c r="F816" s="7"/>
    </row>
    <row r="817" ht="15.75" customHeight="1">
      <c r="A817" s="7"/>
      <c r="B817" s="7"/>
      <c r="C817" s="7"/>
      <c r="D817" s="7"/>
      <c r="E817" s="7"/>
      <c r="F817" s="7"/>
    </row>
    <row r="818" ht="15.75" customHeight="1">
      <c r="A818" s="7"/>
      <c r="B818" s="7"/>
      <c r="C818" s="7"/>
      <c r="D818" s="7"/>
      <c r="E818" s="7"/>
      <c r="F818" s="7"/>
    </row>
    <row r="819" ht="15.75" customHeight="1">
      <c r="A819" s="7"/>
      <c r="B819" s="7"/>
      <c r="C819" s="7"/>
      <c r="D819" s="7"/>
      <c r="E819" s="7"/>
      <c r="F819" s="7"/>
    </row>
    <row r="820" ht="15.75" customHeight="1">
      <c r="A820" s="7"/>
      <c r="B820" s="7"/>
      <c r="C820" s="7"/>
      <c r="D820" s="7"/>
      <c r="E820" s="7"/>
      <c r="F820" s="7"/>
    </row>
    <row r="821" ht="15.75" customHeight="1">
      <c r="A821" s="7"/>
      <c r="B821" s="7"/>
      <c r="C821" s="7"/>
      <c r="D821" s="7"/>
      <c r="E821" s="7"/>
      <c r="F821" s="7"/>
    </row>
    <row r="822" ht="15.75" customHeight="1">
      <c r="A822" s="7"/>
      <c r="B822" s="7"/>
      <c r="C822" s="7"/>
      <c r="D822" s="7"/>
      <c r="E822" s="7"/>
      <c r="F822" s="7"/>
    </row>
    <row r="823" ht="15.75" customHeight="1">
      <c r="A823" s="7"/>
      <c r="B823" s="7"/>
      <c r="C823" s="7"/>
      <c r="D823" s="7"/>
      <c r="E823" s="7"/>
      <c r="F823" s="7"/>
    </row>
    <row r="824" ht="15.75" customHeight="1">
      <c r="A824" s="7"/>
      <c r="B824" s="7"/>
      <c r="C824" s="7"/>
      <c r="D824" s="7"/>
      <c r="E824" s="7"/>
      <c r="F824" s="7"/>
    </row>
    <row r="825" ht="15.75" customHeight="1">
      <c r="A825" s="7"/>
      <c r="B825" s="7"/>
      <c r="C825" s="7"/>
      <c r="D825" s="7"/>
      <c r="E825" s="7"/>
      <c r="F825" s="7"/>
    </row>
    <row r="826" ht="15.75" customHeight="1">
      <c r="A826" s="7"/>
      <c r="B826" s="7"/>
      <c r="C826" s="7"/>
      <c r="D826" s="7"/>
      <c r="E826" s="7"/>
      <c r="F826" s="7"/>
    </row>
    <row r="827" ht="15.75" customHeight="1">
      <c r="A827" s="7"/>
      <c r="B827" s="7"/>
      <c r="C827" s="7"/>
      <c r="D827" s="7"/>
      <c r="E827" s="7"/>
      <c r="F827" s="7"/>
    </row>
    <row r="828" ht="15.75" customHeight="1">
      <c r="A828" s="7"/>
      <c r="B828" s="7"/>
      <c r="C828" s="7"/>
      <c r="D828" s="7"/>
      <c r="E828" s="7"/>
      <c r="F828" s="7"/>
    </row>
    <row r="829" ht="15.75" customHeight="1">
      <c r="A829" s="7"/>
      <c r="B829" s="7"/>
      <c r="C829" s="7"/>
      <c r="D829" s="7"/>
      <c r="E829" s="7"/>
      <c r="F829" s="7"/>
    </row>
    <row r="830" ht="15.75" customHeight="1">
      <c r="A830" s="7"/>
      <c r="B830" s="7"/>
      <c r="C830" s="7"/>
      <c r="D830" s="7"/>
      <c r="E830" s="7"/>
      <c r="F830" s="7"/>
    </row>
    <row r="831" ht="15.75" customHeight="1">
      <c r="A831" s="7"/>
      <c r="B831" s="7"/>
      <c r="C831" s="7"/>
      <c r="D831" s="7"/>
      <c r="E831" s="7"/>
      <c r="F831" s="7"/>
    </row>
    <row r="832" ht="15.75" customHeight="1">
      <c r="A832" s="7"/>
      <c r="B832" s="7"/>
      <c r="C832" s="7"/>
      <c r="D832" s="7"/>
      <c r="E832" s="7"/>
      <c r="F832" s="7"/>
    </row>
    <row r="833" ht="15.75" customHeight="1">
      <c r="A833" s="7"/>
      <c r="B833" s="7"/>
      <c r="C833" s="7"/>
      <c r="D833" s="7"/>
      <c r="E833" s="7"/>
      <c r="F833" s="7"/>
    </row>
    <row r="834" ht="15.75" customHeight="1">
      <c r="A834" s="7"/>
      <c r="B834" s="7"/>
      <c r="C834" s="7"/>
      <c r="D834" s="7"/>
      <c r="E834" s="7"/>
      <c r="F834" s="7"/>
    </row>
    <row r="835" ht="15.75" customHeight="1">
      <c r="A835" s="7"/>
      <c r="B835" s="7"/>
      <c r="C835" s="7"/>
      <c r="D835" s="7"/>
      <c r="E835" s="7"/>
      <c r="F835" s="7"/>
    </row>
    <row r="836" ht="15.75" customHeight="1">
      <c r="A836" s="7"/>
      <c r="B836" s="7"/>
      <c r="C836" s="7"/>
      <c r="D836" s="7"/>
      <c r="E836" s="7"/>
      <c r="F836" s="7"/>
    </row>
    <row r="837" ht="15.75" customHeight="1">
      <c r="A837" s="7"/>
      <c r="B837" s="7"/>
      <c r="C837" s="7"/>
      <c r="D837" s="7"/>
      <c r="E837" s="7"/>
      <c r="F837" s="7"/>
    </row>
    <row r="838" ht="15.75" customHeight="1">
      <c r="A838" s="7"/>
      <c r="B838" s="7"/>
      <c r="C838" s="7"/>
      <c r="D838" s="7"/>
      <c r="E838" s="7"/>
      <c r="F838" s="7"/>
    </row>
    <row r="839" ht="15.75" customHeight="1">
      <c r="A839" s="7"/>
      <c r="B839" s="7"/>
      <c r="C839" s="7"/>
      <c r="D839" s="7"/>
      <c r="E839" s="7"/>
      <c r="F839" s="7"/>
    </row>
    <row r="840" ht="15.75" customHeight="1">
      <c r="A840" s="7"/>
      <c r="B840" s="7"/>
      <c r="C840" s="7"/>
      <c r="D840" s="7"/>
      <c r="E840" s="7"/>
      <c r="F840" s="7"/>
    </row>
    <row r="841" ht="15.75" customHeight="1">
      <c r="A841" s="7"/>
      <c r="B841" s="7"/>
      <c r="C841" s="7"/>
      <c r="D841" s="7"/>
      <c r="E841" s="7"/>
      <c r="F841" s="7"/>
    </row>
    <row r="842" ht="15.75" customHeight="1">
      <c r="A842" s="7"/>
      <c r="B842" s="7"/>
      <c r="C842" s="7"/>
      <c r="D842" s="7"/>
      <c r="E842" s="7"/>
      <c r="F842" s="7"/>
    </row>
    <row r="843" ht="15.75" customHeight="1">
      <c r="A843" s="7"/>
      <c r="B843" s="7"/>
      <c r="C843" s="7"/>
      <c r="D843" s="7"/>
      <c r="E843" s="7"/>
      <c r="F843" s="7"/>
    </row>
    <row r="844" ht="15.75" customHeight="1">
      <c r="A844" s="7"/>
      <c r="B844" s="7"/>
      <c r="C844" s="7"/>
      <c r="D844" s="7"/>
      <c r="E844" s="7"/>
      <c r="F844" s="7"/>
    </row>
    <row r="845" ht="15.75" customHeight="1">
      <c r="A845" s="7"/>
      <c r="B845" s="7"/>
      <c r="C845" s="7"/>
      <c r="D845" s="7"/>
      <c r="E845" s="7"/>
      <c r="F845" s="7"/>
    </row>
    <row r="846" ht="15.75" customHeight="1">
      <c r="A846" s="7"/>
      <c r="B846" s="7"/>
      <c r="C846" s="7"/>
      <c r="D846" s="7"/>
      <c r="E846" s="7"/>
      <c r="F846" s="7"/>
    </row>
    <row r="847" ht="15.75" customHeight="1">
      <c r="A847" s="7"/>
      <c r="B847" s="7"/>
      <c r="C847" s="7"/>
      <c r="D847" s="7"/>
      <c r="E847" s="7"/>
      <c r="F847" s="7"/>
    </row>
    <row r="848" ht="15.75" customHeight="1">
      <c r="A848" s="7"/>
      <c r="B848" s="7"/>
      <c r="C848" s="7"/>
      <c r="D848" s="7"/>
      <c r="E848" s="7"/>
      <c r="F848" s="7"/>
    </row>
    <row r="849" ht="15.75" customHeight="1">
      <c r="A849" s="7"/>
      <c r="B849" s="7"/>
      <c r="C849" s="7"/>
      <c r="D849" s="7"/>
      <c r="E849" s="7"/>
      <c r="F849" s="7"/>
    </row>
    <row r="850" ht="15.75" customHeight="1">
      <c r="A850" s="7"/>
      <c r="B850" s="7"/>
      <c r="C850" s="7"/>
      <c r="D850" s="7"/>
      <c r="E850" s="7"/>
      <c r="F850" s="7"/>
    </row>
    <row r="851" ht="15.75" customHeight="1">
      <c r="A851" s="7"/>
      <c r="B851" s="7"/>
      <c r="C851" s="7"/>
      <c r="D851" s="7"/>
      <c r="E851" s="7"/>
      <c r="F851" s="7"/>
    </row>
    <row r="852" ht="15.75" customHeight="1">
      <c r="A852" s="7"/>
      <c r="B852" s="7"/>
      <c r="C852" s="7"/>
      <c r="D852" s="7"/>
      <c r="E852" s="7"/>
      <c r="F852" s="7"/>
    </row>
    <row r="853" ht="15.75" customHeight="1">
      <c r="A853" s="7"/>
      <c r="B853" s="7"/>
      <c r="C853" s="7"/>
      <c r="D853" s="7"/>
      <c r="E853" s="7"/>
      <c r="F853" s="7"/>
    </row>
    <row r="854" ht="15.75" customHeight="1">
      <c r="A854" s="7"/>
      <c r="B854" s="7"/>
      <c r="C854" s="7"/>
      <c r="D854" s="7"/>
      <c r="E854" s="7"/>
      <c r="F854" s="7"/>
    </row>
    <row r="855" ht="15.75" customHeight="1">
      <c r="A855" s="7"/>
      <c r="B855" s="7"/>
      <c r="C855" s="7"/>
      <c r="D855" s="7"/>
      <c r="E855" s="7"/>
      <c r="F855" s="7"/>
    </row>
    <row r="856" ht="15.75" customHeight="1">
      <c r="A856" s="7"/>
      <c r="B856" s="7"/>
      <c r="C856" s="7"/>
      <c r="D856" s="7"/>
      <c r="E856" s="7"/>
      <c r="F856" s="7"/>
    </row>
    <row r="857" ht="15.75" customHeight="1">
      <c r="A857" s="7"/>
      <c r="B857" s="7"/>
      <c r="C857" s="7"/>
      <c r="D857" s="7"/>
      <c r="E857" s="7"/>
      <c r="F857" s="7"/>
    </row>
    <row r="858" ht="15.75" customHeight="1">
      <c r="A858" s="7"/>
      <c r="B858" s="7"/>
      <c r="C858" s="7"/>
      <c r="D858" s="7"/>
      <c r="E858" s="7"/>
      <c r="F858" s="7"/>
    </row>
    <row r="859" ht="15.75" customHeight="1">
      <c r="A859" s="7"/>
      <c r="B859" s="7"/>
      <c r="C859" s="7"/>
      <c r="D859" s="7"/>
      <c r="E859" s="7"/>
      <c r="F859" s="7"/>
    </row>
    <row r="860" ht="15.75" customHeight="1">
      <c r="A860" s="7"/>
      <c r="B860" s="7"/>
      <c r="C860" s="7"/>
      <c r="D860" s="7"/>
      <c r="E860" s="7"/>
      <c r="F860" s="7"/>
    </row>
    <row r="861" ht="15.75" customHeight="1">
      <c r="A861" s="7"/>
      <c r="B861" s="7"/>
      <c r="C861" s="7"/>
      <c r="D861" s="7"/>
      <c r="E861" s="7"/>
      <c r="F861" s="7"/>
    </row>
    <row r="862" ht="15.75" customHeight="1">
      <c r="A862" s="7"/>
      <c r="B862" s="7"/>
      <c r="C862" s="7"/>
      <c r="D862" s="7"/>
      <c r="E862" s="7"/>
      <c r="F862" s="7"/>
    </row>
    <row r="863" ht="15.75" customHeight="1">
      <c r="A863" s="7"/>
      <c r="B863" s="7"/>
      <c r="C863" s="7"/>
      <c r="D863" s="7"/>
      <c r="E863" s="7"/>
      <c r="F863" s="7"/>
    </row>
    <row r="864" ht="15.75" customHeight="1">
      <c r="A864" s="7"/>
      <c r="B864" s="7"/>
      <c r="C864" s="7"/>
      <c r="D864" s="7"/>
      <c r="E864" s="7"/>
      <c r="F864" s="7"/>
    </row>
    <row r="865" ht="15.75" customHeight="1">
      <c r="A865" s="7"/>
      <c r="B865" s="7"/>
      <c r="C865" s="7"/>
      <c r="D865" s="7"/>
      <c r="E865" s="7"/>
      <c r="F865" s="7"/>
    </row>
    <row r="866" ht="15.75" customHeight="1">
      <c r="A866" s="7"/>
      <c r="B866" s="7"/>
      <c r="C866" s="7"/>
      <c r="D866" s="7"/>
      <c r="E866" s="7"/>
      <c r="F866" s="7"/>
    </row>
    <row r="867" ht="15.75" customHeight="1">
      <c r="A867" s="7"/>
      <c r="B867" s="7"/>
      <c r="C867" s="7"/>
      <c r="D867" s="7"/>
      <c r="E867" s="7"/>
      <c r="F867" s="7"/>
    </row>
    <row r="868" ht="15.75" customHeight="1">
      <c r="A868" s="7"/>
      <c r="B868" s="7"/>
      <c r="C868" s="7"/>
      <c r="D868" s="7"/>
      <c r="E868" s="7"/>
      <c r="F868" s="7"/>
    </row>
    <row r="869" ht="15.75" customHeight="1">
      <c r="A869" s="7"/>
      <c r="B869" s="7"/>
      <c r="C869" s="7"/>
      <c r="D869" s="7"/>
      <c r="E869" s="7"/>
      <c r="F869" s="7"/>
    </row>
    <row r="870" ht="15.75" customHeight="1">
      <c r="A870" s="7"/>
      <c r="B870" s="7"/>
      <c r="C870" s="7"/>
      <c r="D870" s="7"/>
      <c r="E870" s="7"/>
      <c r="F870" s="7"/>
    </row>
    <row r="871" ht="15.75" customHeight="1">
      <c r="A871" s="7"/>
      <c r="B871" s="7"/>
      <c r="C871" s="7"/>
      <c r="D871" s="7"/>
      <c r="E871" s="7"/>
      <c r="F871" s="7"/>
    </row>
    <row r="872" ht="15.75" customHeight="1">
      <c r="A872" s="7"/>
      <c r="B872" s="7"/>
      <c r="C872" s="7"/>
      <c r="D872" s="7"/>
      <c r="E872" s="7"/>
      <c r="F872" s="7"/>
    </row>
    <row r="873" ht="15.75" customHeight="1">
      <c r="A873" s="7"/>
      <c r="B873" s="7"/>
      <c r="C873" s="7"/>
      <c r="D873" s="7"/>
      <c r="E873" s="7"/>
      <c r="F873" s="7"/>
    </row>
    <row r="874" ht="15.75" customHeight="1">
      <c r="A874" s="7"/>
      <c r="B874" s="7"/>
      <c r="C874" s="7"/>
      <c r="D874" s="7"/>
      <c r="E874" s="7"/>
      <c r="F874" s="7"/>
    </row>
    <row r="875" ht="15.75" customHeight="1">
      <c r="A875" s="7"/>
      <c r="B875" s="7"/>
      <c r="C875" s="7"/>
      <c r="D875" s="7"/>
      <c r="E875" s="7"/>
      <c r="F875" s="7"/>
    </row>
    <row r="876" ht="15.75" customHeight="1">
      <c r="A876" s="7"/>
      <c r="B876" s="7"/>
      <c r="C876" s="7"/>
      <c r="D876" s="7"/>
      <c r="E876" s="7"/>
      <c r="F876" s="7"/>
    </row>
    <row r="877" ht="15.75" customHeight="1">
      <c r="A877" s="7"/>
      <c r="B877" s="7"/>
      <c r="C877" s="7"/>
      <c r="D877" s="7"/>
      <c r="E877" s="7"/>
      <c r="F877" s="7"/>
    </row>
    <row r="878" ht="15.75" customHeight="1">
      <c r="A878" s="7"/>
      <c r="B878" s="7"/>
      <c r="C878" s="7"/>
      <c r="D878" s="7"/>
      <c r="E878" s="7"/>
      <c r="F878" s="7"/>
    </row>
    <row r="879" ht="15.75" customHeight="1">
      <c r="A879" s="7"/>
      <c r="B879" s="7"/>
      <c r="C879" s="7"/>
      <c r="D879" s="7"/>
      <c r="E879" s="7"/>
      <c r="F879" s="7"/>
    </row>
    <row r="880" ht="15.75" customHeight="1">
      <c r="A880" s="7"/>
      <c r="B880" s="7"/>
      <c r="C880" s="7"/>
      <c r="D880" s="7"/>
      <c r="E880" s="7"/>
      <c r="F880" s="7"/>
    </row>
    <row r="881" ht="15.75" customHeight="1">
      <c r="A881" s="7"/>
      <c r="B881" s="7"/>
      <c r="C881" s="7"/>
      <c r="D881" s="7"/>
      <c r="E881" s="7"/>
      <c r="F881" s="7"/>
    </row>
    <row r="882" ht="15.75" customHeight="1">
      <c r="A882" s="7"/>
      <c r="B882" s="7"/>
      <c r="C882" s="7"/>
      <c r="D882" s="7"/>
      <c r="E882" s="7"/>
      <c r="F882" s="7"/>
    </row>
    <row r="883" ht="15.75" customHeight="1">
      <c r="A883" s="7"/>
      <c r="B883" s="7"/>
      <c r="C883" s="7"/>
      <c r="D883" s="7"/>
      <c r="E883" s="7"/>
      <c r="F883" s="7"/>
    </row>
    <row r="884" ht="15.75" customHeight="1">
      <c r="A884" s="7"/>
      <c r="B884" s="7"/>
      <c r="C884" s="7"/>
      <c r="D884" s="7"/>
      <c r="E884" s="7"/>
      <c r="F884" s="7"/>
    </row>
    <row r="885" ht="15.75" customHeight="1">
      <c r="A885" s="7"/>
      <c r="B885" s="7"/>
      <c r="C885" s="7"/>
      <c r="D885" s="7"/>
      <c r="E885" s="7"/>
      <c r="F885" s="7"/>
    </row>
    <row r="886" ht="15.75" customHeight="1">
      <c r="A886" s="7"/>
      <c r="B886" s="7"/>
      <c r="C886" s="7"/>
      <c r="D886" s="7"/>
      <c r="E886" s="7"/>
      <c r="F886" s="7"/>
    </row>
    <row r="887" ht="15.75" customHeight="1">
      <c r="A887" s="7"/>
      <c r="B887" s="7"/>
      <c r="C887" s="7"/>
      <c r="D887" s="7"/>
      <c r="E887" s="7"/>
      <c r="F887" s="7"/>
    </row>
    <row r="888" ht="15.75" customHeight="1">
      <c r="A888" s="7"/>
      <c r="B888" s="7"/>
      <c r="C888" s="7"/>
      <c r="D888" s="7"/>
      <c r="E888" s="7"/>
      <c r="F888" s="7"/>
    </row>
    <row r="889" ht="15.75" customHeight="1">
      <c r="A889" s="7"/>
      <c r="B889" s="7"/>
      <c r="C889" s="7"/>
      <c r="D889" s="7"/>
      <c r="E889" s="7"/>
      <c r="F889" s="7"/>
    </row>
    <row r="890" ht="15.75" customHeight="1">
      <c r="A890" s="7"/>
      <c r="B890" s="7"/>
      <c r="C890" s="7"/>
      <c r="D890" s="7"/>
      <c r="E890" s="7"/>
      <c r="F890" s="7"/>
    </row>
    <row r="891" ht="15.75" customHeight="1">
      <c r="A891" s="7"/>
      <c r="B891" s="7"/>
      <c r="C891" s="7"/>
      <c r="D891" s="7"/>
      <c r="E891" s="7"/>
      <c r="F891" s="7"/>
    </row>
    <row r="892" ht="15.75" customHeight="1">
      <c r="A892" s="7"/>
      <c r="B892" s="7"/>
      <c r="C892" s="7"/>
      <c r="D892" s="7"/>
      <c r="E892" s="7"/>
      <c r="F892" s="7"/>
    </row>
    <row r="893" ht="15.75" customHeight="1">
      <c r="A893" s="7"/>
      <c r="B893" s="7"/>
      <c r="C893" s="7"/>
      <c r="D893" s="7"/>
      <c r="E893" s="7"/>
      <c r="F893" s="7"/>
    </row>
    <row r="894" ht="15.75" customHeight="1">
      <c r="A894" s="7"/>
      <c r="B894" s="7"/>
      <c r="C894" s="7"/>
      <c r="D894" s="7"/>
      <c r="E894" s="7"/>
      <c r="F894" s="7"/>
    </row>
    <row r="895" ht="15.75" customHeight="1">
      <c r="A895" s="7"/>
      <c r="B895" s="7"/>
      <c r="C895" s="7"/>
      <c r="D895" s="7"/>
      <c r="E895" s="7"/>
      <c r="F895" s="7"/>
    </row>
    <row r="896" ht="15.75" customHeight="1">
      <c r="A896" s="7"/>
      <c r="B896" s="7"/>
      <c r="C896" s="7"/>
      <c r="D896" s="7"/>
      <c r="E896" s="7"/>
      <c r="F896" s="7"/>
    </row>
    <row r="897" ht="15.75" customHeight="1">
      <c r="A897" s="7"/>
      <c r="B897" s="7"/>
      <c r="C897" s="7"/>
      <c r="D897" s="7"/>
      <c r="E897" s="7"/>
      <c r="F897" s="7"/>
    </row>
    <row r="898" ht="15.75" customHeight="1">
      <c r="A898" s="7"/>
      <c r="B898" s="7"/>
      <c r="C898" s="7"/>
      <c r="D898" s="7"/>
      <c r="E898" s="7"/>
      <c r="F898" s="7"/>
    </row>
    <row r="899" ht="15.75" customHeight="1">
      <c r="A899" s="7"/>
      <c r="B899" s="7"/>
      <c r="C899" s="7"/>
      <c r="D899" s="7"/>
      <c r="E899" s="7"/>
      <c r="F899" s="7"/>
    </row>
    <row r="900" ht="15.75" customHeight="1">
      <c r="A900" s="7"/>
      <c r="B900" s="7"/>
      <c r="C900" s="7"/>
      <c r="D900" s="7"/>
      <c r="E900" s="7"/>
      <c r="F900" s="7"/>
    </row>
    <row r="901" ht="15.75" customHeight="1">
      <c r="A901" s="7"/>
      <c r="B901" s="7"/>
      <c r="C901" s="7"/>
      <c r="D901" s="7"/>
      <c r="E901" s="7"/>
      <c r="F901" s="7"/>
    </row>
    <row r="902" ht="15.75" customHeight="1">
      <c r="A902" s="7"/>
      <c r="B902" s="7"/>
      <c r="C902" s="7"/>
      <c r="D902" s="7"/>
      <c r="E902" s="7"/>
      <c r="F902" s="7"/>
    </row>
    <row r="903" ht="15.75" customHeight="1">
      <c r="A903" s="7"/>
      <c r="B903" s="7"/>
      <c r="C903" s="7"/>
      <c r="D903" s="7"/>
      <c r="E903" s="7"/>
      <c r="F903" s="7"/>
    </row>
    <row r="904" ht="15.75" customHeight="1">
      <c r="A904" s="7"/>
      <c r="B904" s="7"/>
      <c r="C904" s="7"/>
      <c r="D904" s="7"/>
      <c r="E904" s="7"/>
      <c r="F904" s="7"/>
    </row>
    <row r="905" ht="15.75" customHeight="1">
      <c r="A905" s="7"/>
      <c r="B905" s="7"/>
      <c r="C905" s="7"/>
      <c r="D905" s="7"/>
      <c r="E905" s="7"/>
      <c r="F905" s="7"/>
    </row>
    <row r="906" ht="15.75" customHeight="1">
      <c r="A906" s="7"/>
      <c r="B906" s="7"/>
      <c r="C906" s="7"/>
      <c r="D906" s="7"/>
      <c r="E906" s="7"/>
      <c r="F906" s="7"/>
    </row>
    <row r="907" ht="15.75" customHeight="1">
      <c r="A907" s="7"/>
      <c r="B907" s="7"/>
      <c r="C907" s="7"/>
      <c r="D907" s="7"/>
      <c r="E907" s="7"/>
      <c r="F907" s="7"/>
    </row>
    <row r="908" ht="15.75" customHeight="1">
      <c r="A908" s="7"/>
      <c r="B908" s="7"/>
      <c r="C908" s="7"/>
      <c r="D908" s="7"/>
      <c r="E908" s="7"/>
      <c r="F908" s="7"/>
    </row>
    <row r="909" ht="15.75" customHeight="1">
      <c r="A909" s="7"/>
      <c r="B909" s="7"/>
      <c r="C909" s="7"/>
      <c r="D909" s="7"/>
      <c r="E909" s="7"/>
      <c r="F909" s="7"/>
    </row>
    <row r="910" ht="15.75" customHeight="1">
      <c r="A910" s="7"/>
      <c r="B910" s="7"/>
      <c r="C910" s="7"/>
      <c r="D910" s="7"/>
      <c r="E910" s="7"/>
      <c r="F910" s="7"/>
    </row>
    <row r="911" ht="15.75" customHeight="1">
      <c r="A911" s="7"/>
      <c r="B911" s="7"/>
      <c r="C911" s="7"/>
      <c r="D911" s="7"/>
      <c r="E911" s="7"/>
      <c r="F911" s="7"/>
    </row>
    <row r="912" ht="15.75" customHeight="1">
      <c r="A912" s="7"/>
      <c r="B912" s="7"/>
      <c r="C912" s="7"/>
      <c r="D912" s="7"/>
      <c r="E912" s="7"/>
      <c r="F912" s="7"/>
    </row>
    <row r="913" ht="15.75" customHeight="1">
      <c r="A913" s="7"/>
      <c r="B913" s="7"/>
      <c r="C913" s="7"/>
      <c r="D913" s="7"/>
      <c r="E913" s="7"/>
      <c r="F913" s="7"/>
    </row>
    <row r="914" ht="15.75" customHeight="1">
      <c r="A914" s="7"/>
      <c r="B914" s="7"/>
      <c r="C914" s="7"/>
      <c r="D914" s="7"/>
      <c r="E914" s="7"/>
      <c r="F914" s="7"/>
    </row>
    <row r="915" ht="15.75" customHeight="1">
      <c r="A915" s="7"/>
      <c r="B915" s="7"/>
      <c r="C915" s="7"/>
      <c r="D915" s="7"/>
      <c r="E915" s="7"/>
      <c r="F915" s="7"/>
    </row>
    <row r="916" ht="15.75" customHeight="1">
      <c r="A916" s="7"/>
      <c r="B916" s="7"/>
      <c r="C916" s="7"/>
      <c r="D916" s="7"/>
      <c r="E916" s="7"/>
      <c r="F916" s="7"/>
    </row>
    <row r="917" ht="15.75" customHeight="1">
      <c r="A917" s="7"/>
      <c r="B917" s="7"/>
      <c r="C917" s="7"/>
      <c r="D917" s="7"/>
      <c r="E917" s="7"/>
      <c r="F917" s="7"/>
    </row>
    <row r="918" ht="15.75" customHeight="1">
      <c r="A918" s="7"/>
      <c r="B918" s="7"/>
      <c r="C918" s="7"/>
      <c r="D918" s="7"/>
      <c r="E918" s="7"/>
      <c r="F918" s="7"/>
    </row>
    <row r="919" ht="15.75" customHeight="1">
      <c r="A919" s="7"/>
      <c r="B919" s="7"/>
      <c r="C919" s="7"/>
      <c r="D919" s="7"/>
      <c r="E919" s="7"/>
      <c r="F919" s="7"/>
    </row>
    <row r="920" ht="15.75" customHeight="1">
      <c r="A920" s="7"/>
      <c r="B920" s="7"/>
      <c r="C920" s="7"/>
      <c r="D920" s="7"/>
      <c r="E920" s="7"/>
      <c r="F920" s="7"/>
    </row>
    <row r="921" ht="15.75" customHeight="1">
      <c r="A921" s="7"/>
      <c r="B921" s="7"/>
      <c r="C921" s="7"/>
      <c r="D921" s="7"/>
      <c r="E921" s="7"/>
      <c r="F921" s="7"/>
    </row>
    <row r="922" ht="15.75" customHeight="1">
      <c r="A922" s="7"/>
      <c r="B922" s="7"/>
      <c r="C922" s="7"/>
      <c r="D922" s="7"/>
      <c r="E922" s="7"/>
      <c r="F922" s="7"/>
    </row>
    <row r="923" ht="15.75" customHeight="1">
      <c r="A923" s="7"/>
      <c r="B923" s="7"/>
      <c r="C923" s="7"/>
      <c r="D923" s="7"/>
      <c r="E923" s="7"/>
      <c r="F923" s="7"/>
    </row>
    <row r="924" ht="15.75" customHeight="1">
      <c r="A924" s="7"/>
      <c r="B924" s="7"/>
      <c r="C924" s="7"/>
      <c r="D924" s="7"/>
      <c r="E924" s="7"/>
      <c r="F924" s="7"/>
    </row>
    <row r="925" ht="15.75" customHeight="1">
      <c r="A925" s="7"/>
      <c r="B925" s="7"/>
      <c r="C925" s="7"/>
      <c r="D925" s="7"/>
      <c r="E925" s="7"/>
      <c r="F925" s="7"/>
    </row>
    <row r="926" ht="15.75" customHeight="1">
      <c r="A926" s="7"/>
      <c r="B926" s="7"/>
      <c r="C926" s="7"/>
      <c r="D926" s="7"/>
      <c r="E926" s="7"/>
      <c r="F926" s="7"/>
    </row>
    <row r="927" ht="15.75" customHeight="1">
      <c r="A927" s="7"/>
      <c r="B927" s="7"/>
      <c r="C927" s="7"/>
      <c r="D927" s="7"/>
      <c r="E927" s="7"/>
      <c r="F927" s="7"/>
    </row>
    <row r="928" ht="15.75" customHeight="1">
      <c r="A928" s="7"/>
      <c r="B928" s="7"/>
      <c r="C928" s="7"/>
      <c r="D928" s="7"/>
      <c r="E928" s="7"/>
      <c r="F928" s="7"/>
    </row>
    <row r="929" ht="15.75" customHeight="1">
      <c r="A929" s="7"/>
      <c r="B929" s="7"/>
      <c r="C929" s="7"/>
      <c r="D929" s="7"/>
      <c r="E929" s="7"/>
      <c r="F929" s="7"/>
    </row>
    <row r="930" ht="15.75" customHeight="1">
      <c r="A930" s="7"/>
      <c r="B930" s="7"/>
      <c r="C930" s="7"/>
      <c r="D930" s="7"/>
      <c r="E930" s="7"/>
      <c r="F930" s="7"/>
    </row>
    <row r="931" ht="15.75" customHeight="1">
      <c r="A931" s="7"/>
      <c r="B931" s="7"/>
      <c r="C931" s="7"/>
      <c r="D931" s="7"/>
      <c r="E931" s="7"/>
      <c r="F931" s="7"/>
    </row>
    <row r="932" ht="15.75" customHeight="1">
      <c r="A932" s="7"/>
      <c r="B932" s="7"/>
      <c r="C932" s="7"/>
      <c r="D932" s="7"/>
      <c r="E932" s="7"/>
      <c r="F932" s="7"/>
    </row>
    <row r="933" ht="15.75" customHeight="1">
      <c r="A933" s="7"/>
      <c r="B933" s="7"/>
      <c r="C933" s="7"/>
      <c r="D933" s="7"/>
      <c r="E933" s="7"/>
      <c r="F933" s="7"/>
    </row>
    <row r="934" ht="15.75" customHeight="1">
      <c r="A934" s="7"/>
      <c r="B934" s="7"/>
      <c r="C934" s="7"/>
      <c r="D934" s="7"/>
      <c r="E934" s="7"/>
      <c r="F934" s="7"/>
    </row>
    <row r="935" ht="15.75" customHeight="1">
      <c r="A935" s="7"/>
      <c r="B935" s="7"/>
      <c r="C935" s="7"/>
      <c r="D935" s="7"/>
      <c r="E935" s="7"/>
      <c r="F935" s="7"/>
    </row>
    <row r="936" ht="15.75" customHeight="1">
      <c r="A936" s="7"/>
      <c r="B936" s="7"/>
      <c r="C936" s="7"/>
      <c r="D936" s="7"/>
      <c r="E936" s="7"/>
      <c r="F936" s="7"/>
    </row>
    <row r="937" ht="15.75" customHeight="1">
      <c r="A937" s="7"/>
      <c r="B937" s="7"/>
      <c r="C937" s="7"/>
      <c r="D937" s="7"/>
      <c r="E937" s="7"/>
      <c r="F937" s="7"/>
    </row>
    <row r="938" ht="15.75" customHeight="1">
      <c r="A938" s="7"/>
      <c r="B938" s="7"/>
      <c r="C938" s="7"/>
      <c r="D938" s="7"/>
      <c r="E938" s="7"/>
      <c r="F938" s="7"/>
    </row>
    <row r="939" ht="15.75" customHeight="1">
      <c r="A939" s="7"/>
      <c r="B939" s="7"/>
      <c r="C939" s="7"/>
      <c r="D939" s="7"/>
      <c r="E939" s="7"/>
      <c r="F939" s="7"/>
    </row>
    <row r="940" ht="15.75" customHeight="1">
      <c r="A940" s="7"/>
      <c r="B940" s="7"/>
      <c r="C940" s="7"/>
      <c r="D940" s="7"/>
      <c r="E940" s="7"/>
      <c r="F940" s="7"/>
    </row>
    <row r="941" ht="15.75" customHeight="1">
      <c r="A941" s="7"/>
      <c r="B941" s="7"/>
      <c r="C941" s="7"/>
      <c r="D941" s="7"/>
      <c r="E941" s="7"/>
      <c r="F941" s="7"/>
    </row>
    <row r="942" ht="15.75" customHeight="1">
      <c r="A942" s="7"/>
      <c r="B942" s="7"/>
      <c r="C942" s="7"/>
      <c r="D942" s="7"/>
      <c r="E942" s="7"/>
      <c r="F942" s="7"/>
    </row>
    <row r="943" ht="15.75" customHeight="1">
      <c r="A943" s="7"/>
      <c r="B943" s="7"/>
      <c r="C943" s="7"/>
      <c r="D943" s="7"/>
      <c r="E943" s="7"/>
      <c r="F943" s="7"/>
    </row>
    <row r="944" ht="15.75" customHeight="1">
      <c r="A944" s="7"/>
      <c r="B944" s="7"/>
      <c r="C944" s="7"/>
      <c r="D944" s="7"/>
      <c r="E944" s="7"/>
      <c r="F944" s="7"/>
    </row>
    <row r="945" ht="15.75" customHeight="1">
      <c r="A945" s="7"/>
      <c r="B945" s="7"/>
      <c r="C945" s="7"/>
      <c r="D945" s="7"/>
      <c r="E945" s="7"/>
      <c r="F945" s="7"/>
    </row>
    <row r="946" ht="15.75" customHeight="1">
      <c r="A946" s="7"/>
      <c r="B946" s="7"/>
      <c r="C946" s="7"/>
      <c r="D946" s="7"/>
      <c r="E946" s="7"/>
      <c r="F946" s="7"/>
    </row>
    <row r="947" ht="15.75" customHeight="1">
      <c r="A947" s="7"/>
      <c r="B947" s="7"/>
      <c r="C947" s="7"/>
      <c r="D947" s="7"/>
      <c r="E947" s="7"/>
      <c r="F947" s="7"/>
    </row>
    <row r="948" ht="15.75" customHeight="1">
      <c r="A948" s="7"/>
      <c r="B948" s="7"/>
      <c r="C948" s="7"/>
      <c r="D948" s="7"/>
      <c r="E948" s="7"/>
      <c r="F948" s="7"/>
    </row>
    <row r="949" ht="15.75" customHeight="1">
      <c r="A949" s="7"/>
      <c r="B949" s="7"/>
      <c r="C949" s="7"/>
      <c r="D949" s="7"/>
      <c r="E949" s="7"/>
      <c r="F949" s="7"/>
    </row>
    <row r="950" ht="15.75" customHeight="1">
      <c r="A950" s="7"/>
      <c r="B950" s="7"/>
      <c r="C950" s="7"/>
      <c r="D950" s="7"/>
      <c r="E950" s="7"/>
      <c r="F950" s="7"/>
    </row>
    <row r="951" ht="15.75" customHeight="1">
      <c r="A951" s="7"/>
      <c r="B951" s="7"/>
      <c r="C951" s="7"/>
      <c r="D951" s="7"/>
      <c r="E951" s="7"/>
      <c r="F951" s="7"/>
    </row>
    <row r="952" ht="15.75" customHeight="1">
      <c r="A952" s="7"/>
      <c r="B952" s="7"/>
      <c r="C952" s="7"/>
      <c r="D952" s="7"/>
      <c r="E952" s="7"/>
      <c r="F952" s="7"/>
    </row>
    <row r="953" ht="15.75" customHeight="1">
      <c r="A953" s="7"/>
      <c r="B953" s="7"/>
      <c r="C953" s="7"/>
      <c r="D953" s="7"/>
      <c r="E953" s="7"/>
      <c r="F953" s="7"/>
    </row>
    <row r="954" ht="15.75" customHeight="1">
      <c r="A954" s="7"/>
      <c r="B954" s="7"/>
      <c r="C954" s="7"/>
      <c r="D954" s="7"/>
      <c r="E954" s="7"/>
      <c r="F954" s="7"/>
    </row>
    <row r="955" ht="15.75" customHeight="1">
      <c r="A955" s="7"/>
      <c r="B955" s="7"/>
      <c r="C955" s="7"/>
      <c r="D955" s="7"/>
      <c r="E955" s="7"/>
      <c r="F955" s="7"/>
    </row>
    <row r="956" ht="15.75" customHeight="1">
      <c r="A956" s="7"/>
      <c r="B956" s="7"/>
      <c r="C956" s="7"/>
      <c r="D956" s="7"/>
      <c r="E956" s="7"/>
      <c r="F956" s="7"/>
    </row>
    <row r="957" ht="15.75" customHeight="1">
      <c r="A957" s="7"/>
      <c r="B957" s="7"/>
      <c r="C957" s="7"/>
      <c r="D957" s="7"/>
      <c r="E957" s="7"/>
      <c r="F957" s="7"/>
    </row>
    <row r="958" ht="15.75" customHeight="1">
      <c r="A958" s="7"/>
      <c r="B958" s="7"/>
      <c r="C958" s="7"/>
      <c r="D958" s="7"/>
      <c r="E958" s="7"/>
      <c r="F958" s="7"/>
    </row>
    <row r="959" ht="15.75" customHeight="1">
      <c r="A959" s="7"/>
      <c r="B959" s="7"/>
      <c r="C959" s="7"/>
      <c r="D959" s="7"/>
      <c r="E959" s="7"/>
      <c r="F959" s="7"/>
    </row>
    <row r="960" ht="15.75" customHeight="1">
      <c r="A960" s="7"/>
      <c r="B960" s="7"/>
      <c r="C960" s="7"/>
      <c r="D960" s="7"/>
      <c r="E960" s="7"/>
      <c r="F960" s="7"/>
    </row>
    <row r="961" ht="15.75" customHeight="1">
      <c r="A961" s="7"/>
      <c r="B961" s="7"/>
      <c r="C961" s="7"/>
      <c r="D961" s="7"/>
      <c r="E961" s="7"/>
      <c r="F961" s="7"/>
    </row>
    <row r="962" ht="15.75" customHeight="1">
      <c r="A962" s="7"/>
      <c r="B962" s="7"/>
      <c r="C962" s="7"/>
      <c r="D962" s="7"/>
      <c r="E962" s="7"/>
      <c r="F962" s="7"/>
    </row>
    <row r="963" ht="15.75" customHeight="1">
      <c r="A963" s="7"/>
      <c r="B963" s="7"/>
      <c r="C963" s="7"/>
      <c r="D963" s="7"/>
      <c r="E963" s="7"/>
      <c r="F963" s="7"/>
    </row>
    <row r="964" ht="15.75" customHeight="1">
      <c r="A964" s="7"/>
      <c r="B964" s="7"/>
      <c r="C964" s="7"/>
      <c r="D964" s="7"/>
      <c r="E964" s="7"/>
      <c r="F964" s="7"/>
    </row>
    <row r="965" ht="15.75" customHeight="1">
      <c r="A965" s="7"/>
      <c r="B965" s="7"/>
      <c r="C965" s="7"/>
      <c r="D965" s="7"/>
      <c r="E965" s="7"/>
      <c r="F965" s="7"/>
    </row>
    <row r="966" ht="15.75" customHeight="1">
      <c r="A966" s="7"/>
      <c r="B966" s="7"/>
      <c r="C966" s="7"/>
      <c r="D966" s="7"/>
      <c r="E966" s="7"/>
      <c r="F966" s="7"/>
    </row>
    <row r="967" ht="15.75" customHeight="1">
      <c r="A967" s="7"/>
      <c r="B967" s="7"/>
      <c r="C967" s="7"/>
      <c r="D967" s="7"/>
      <c r="E967" s="7"/>
      <c r="F967" s="7"/>
    </row>
    <row r="968" ht="15.75" customHeight="1">
      <c r="A968" s="7"/>
      <c r="B968" s="7"/>
      <c r="C968" s="7"/>
      <c r="D968" s="7"/>
      <c r="E968" s="7"/>
      <c r="F968" s="7"/>
    </row>
    <row r="969" ht="15.75" customHeight="1">
      <c r="A969" s="7"/>
      <c r="B969" s="7"/>
      <c r="C969" s="7"/>
      <c r="D969" s="7"/>
      <c r="E969" s="7"/>
      <c r="F969" s="7"/>
    </row>
    <row r="970" ht="15.75" customHeight="1">
      <c r="A970" s="7"/>
      <c r="B970" s="7"/>
      <c r="C970" s="7"/>
      <c r="D970" s="7"/>
      <c r="E970" s="7"/>
      <c r="F970" s="7"/>
    </row>
    <row r="971" ht="15.75" customHeight="1">
      <c r="A971" s="7"/>
      <c r="B971" s="7"/>
      <c r="C971" s="7"/>
      <c r="D971" s="7"/>
      <c r="E971" s="7"/>
      <c r="F971" s="7"/>
    </row>
    <row r="972" ht="15.75" customHeight="1">
      <c r="A972" s="7"/>
      <c r="B972" s="7"/>
      <c r="C972" s="7"/>
      <c r="D972" s="7"/>
      <c r="E972" s="7"/>
      <c r="F972" s="7"/>
    </row>
    <row r="973" ht="15.75" customHeight="1">
      <c r="A973" s="7"/>
      <c r="B973" s="7"/>
      <c r="C973" s="7"/>
      <c r="D973" s="7"/>
      <c r="E973" s="7"/>
      <c r="F973" s="7"/>
    </row>
    <row r="974" ht="15.75" customHeight="1">
      <c r="A974" s="7"/>
      <c r="B974" s="7"/>
      <c r="C974" s="7"/>
      <c r="D974" s="7"/>
      <c r="E974" s="7"/>
      <c r="F974" s="7"/>
    </row>
    <row r="975" ht="15.75" customHeight="1">
      <c r="A975" s="7"/>
      <c r="B975" s="7"/>
      <c r="C975" s="7"/>
      <c r="D975" s="7"/>
      <c r="E975" s="7"/>
      <c r="F975" s="7"/>
    </row>
    <row r="976" ht="15.75" customHeight="1">
      <c r="A976" s="7"/>
      <c r="B976" s="7"/>
      <c r="C976" s="7"/>
      <c r="D976" s="7"/>
      <c r="E976" s="7"/>
      <c r="F976" s="7"/>
    </row>
    <row r="977" ht="15.75" customHeight="1">
      <c r="A977" s="7"/>
      <c r="B977" s="7"/>
      <c r="C977" s="7"/>
      <c r="D977" s="7"/>
      <c r="E977" s="7"/>
      <c r="F977" s="7"/>
    </row>
    <row r="978" ht="15.75" customHeight="1">
      <c r="A978" s="7"/>
      <c r="B978" s="7"/>
      <c r="C978" s="7"/>
      <c r="D978" s="7"/>
      <c r="E978" s="7"/>
      <c r="F978" s="7"/>
    </row>
    <row r="979" ht="15.75" customHeight="1">
      <c r="A979" s="7"/>
      <c r="B979" s="7"/>
      <c r="C979" s="7"/>
      <c r="D979" s="7"/>
      <c r="E979" s="7"/>
      <c r="F979" s="7"/>
    </row>
    <row r="980" ht="15.75" customHeight="1">
      <c r="A980" s="7"/>
      <c r="B980" s="7"/>
      <c r="C980" s="7"/>
      <c r="D980" s="7"/>
      <c r="E980" s="7"/>
      <c r="F980" s="7"/>
    </row>
    <row r="981" ht="15.75" customHeight="1">
      <c r="A981" s="7"/>
      <c r="B981" s="7"/>
      <c r="C981" s="7"/>
      <c r="D981" s="7"/>
      <c r="E981" s="7"/>
      <c r="F981" s="7"/>
    </row>
    <row r="982" ht="15.75" customHeight="1">
      <c r="A982" s="7"/>
      <c r="B982" s="7"/>
      <c r="C982" s="7"/>
      <c r="D982" s="7"/>
      <c r="E982" s="7"/>
      <c r="F982" s="7"/>
    </row>
    <row r="983" ht="15.75" customHeight="1">
      <c r="A983" s="7"/>
      <c r="B983" s="7"/>
      <c r="C983" s="7"/>
      <c r="D983" s="7"/>
      <c r="E983" s="7"/>
      <c r="F983" s="7"/>
    </row>
    <row r="984" ht="15.75" customHeight="1">
      <c r="A984" s="7"/>
      <c r="B984" s="7"/>
      <c r="C984" s="7"/>
      <c r="D984" s="7"/>
      <c r="E984" s="7"/>
      <c r="F984" s="7"/>
    </row>
    <row r="985" ht="15.75" customHeight="1">
      <c r="A985" s="7"/>
      <c r="B985" s="7"/>
      <c r="C985" s="7"/>
      <c r="D985" s="7"/>
      <c r="E985" s="7"/>
      <c r="F985" s="7"/>
    </row>
    <row r="986" ht="15.75" customHeight="1">
      <c r="A986" s="7"/>
      <c r="B986" s="7"/>
      <c r="C986" s="7"/>
      <c r="D986" s="7"/>
      <c r="E986" s="7"/>
      <c r="F986" s="7"/>
    </row>
    <row r="987" ht="15.75" customHeight="1">
      <c r="A987" s="7"/>
      <c r="B987" s="7"/>
      <c r="C987" s="7"/>
      <c r="D987" s="7"/>
      <c r="E987" s="7"/>
      <c r="F987" s="7"/>
    </row>
    <row r="988" ht="15.75" customHeight="1">
      <c r="A988" s="7"/>
      <c r="B988" s="7"/>
      <c r="C988" s="7"/>
      <c r="D988" s="7"/>
      <c r="E988" s="7"/>
      <c r="F988" s="7"/>
    </row>
    <row r="989" ht="15.75" customHeight="1">
      <c r="A989" s="7"/>
      <c r="B989" s="7"/>
      <c r="C989" s="7"/>
      <c r="D989" s="7"/>
      <c r="E989" s="7"/>
      <c r="F989" s="7"/>
    </row>
    <row r="990" ht="15.75" customHeight="1">
      <c r="A990" s="7"/>
      <c r="B990" s="7"/>
      <c r="C990" s="7"/>
      <c r="D990" s="7"/>
      <c r="E990" s="7"/>
      <c r="F990" s="7"/>
    </row>
    <row r="991" ht="15.75" customHeight="1">
      <c r="A991" s="7"/>
      <c r="B991" s="7"/>
      <c r="C991" s="7"/>
      <c r="D991" s="7"/>
      <c r="E991" s="7"/>
      <c r="F991" s="7"/>
    </row>
    <row r="992" ht="15.75" customHeight="1">
      <c r="A992" s="7"/>
      <c r="B992" s="7"/>
      <c r="C992" s="7"/>
      <c r="D992" s="7"/>
      <c r="E992" s="7"/>
      <c r="F992" s="7"/>
    </row>
    <row r="993" ht="15.75" customHeight="1">
      <c r="A993" s="7"/>
      <c r="B993" s="7"/>
      <c r="C993" s="7"/>
      <c r="D993" s="7"/>
      <c r="E993" s="7"/>
      <c r="F993" s="7"/>
    </row>
    <row r="994" ht="15.75" customHeight="1">
      <c r="A994" s="7"/>
      <c r="B994" s="7"/>
      <c r="C994" s="7"/>
      <c r="D994" s="7"/>
      <c r="E994" s="7"/>
      <c r="F994" s="7"/>
    </row>
    <row r="995" ht="15.75" customHeight="1">
      <c r="A995" s="7"/>
      <c r="B995" s="7"/>
      <c r="C995" s="7"/>
      <c r="D995" s="7"/>
      <c r="E995" s="7"/>
      <c r="F995" s="7"/>
    </row>
    <row r="996" ht="15.75" customHeight="1">
      <c r="A996" s="7"/>
      <c r="B996" s="7"/>
      <c r="C996" s="7"/>
      <c r="D996" s="7"/>
      <c r="E996" s="7"/>
      <c r="F996" s="7"/>
    </row>
    <row r="997" ht="15.75" customHeight="1">
      <c r="A997" s="7"/>
      <c r="B997" s="7"/>
      <c r="C997" s="7"/>
      <c r="D997" s="7"/>
      <c r="E997" s="7"/>
      <c r="F997" s="7"/>
    </row>
    <row r="998" ht="15.75" customHeight="1">
      <c r="A998" s="7"/>
      <c r="B998" s="7"/>
      <c r="C998" s="7"/>
      <c r="D998" s="7"/>
      <c r="E998" s="7"/>
      <c r="F998" s="7"/>
    </row>
    <row r="999" ht="15.75" customHeight="1">
      <c r="A999" s="7"/>
      <c r="B999" s="7"/>
      <c r="C999" s="7"/>
      <c r="D999" s="7"/>
      <c r="E999" s="7"/>
      <c r="F999" s="7"/>
    </row>
    <row r="1000" ht="15.75" customHeight="1">
      <c r="A1000" s="7"/>
      <c r="B1000" s="7"/>
      <c r="C1000" s="7"/>
      <c r="D1000" s="7"/>
      <c r="E1000" s="7"/>
      <c r="F1000" s="7"/>
    </row>
  </sheetData>
  <mergeCells count="7">
    <mergeCell ref="A1:E1"/>
    <mergeCell ref="A2:E2"/>
    <mergeCell ref="A4:E4"/>
    <mergeCell ref="A13:E13"/>
    <mergeCell ref="A21:E21"/>
    <mergeCell ref="A27:E27"/>
    <mergeCell ref="A36:E36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30.0"/>
    <col customWidth="1" min="3" max="3" width="16.0"/>
    <col customWidth="1" min="4" max="7" width="14.0"/>
    <col customWidth="1" min="8" max="8" width="12.0"/>
    <col customWidth="1" min="9" max="9" width="16.0"/>
  </cols>
  <sheetData>
    <row r="1" ht="27.75" customHeight="1">
      <c r="A1" s="116" t="s">
        <v>161</v>
      </c>
      <c r="B1" s="117"/>
      <c r="C1" s="117"/>
      <c r="D1" s="117"/>
      <c r="E1" s="117"/>
      <c r="F1" s="117"/>
      <c r="G1" s="117"/>
      <c r="H1" s="117"/>
      <c r="I1" s="118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0" customHeight="1">
      <c r="A2" s="119" t="str">
        <f>"Mes: "&amp;'Configuración'!C19&amp;" "&amp;'Configuración'!C20</f>
        <v>Mes:  Abril</v>
      </c>
      <c r="B2" s="117"/>
      <c r="C2" s="117"/>
      <c r="D2" s="117"/>
      <c r="E2" s="117"/>
      <c r="F2" s="117"/>
      <c r="G2" s="117"/>
      <c r="H2" s="117"/>
      <c r="I2" s="118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3.5" customHeight="1">
      <c r="A3" s="120" t="s">
        <v>162</v>
      </c>
      <c r="B3" s="117"/>
      <c r="C3" s="117"/>
      <c r="D3" s="117"/>
      <c r="E3" s="117"/>
      <c r="F3" s="117"/>
      <c r="G3" s="117"/>
      <c r="H3" s="117"/>
      <c r="I3" s="118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1.75" customHeight="1">
      <c r="A5" s="121" t="s">
        <v>163</v>
      </c>
      <c r="B5" s="117"/>
      <c r="C5" s="117"/>
      <c r="D5" s="117"/>
      <c r="E5" s="117"/>
      <c r="F5" s="117"/>
      <c r="G5" s="117"/>
      <c r="H5" s="117"/>
      <c r="I5" s="11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1.5" customHeight="1">
      <c r="A6" s="122" t="s">
        <v>74</v>
      </c>
      <c r="B6" s="123" t="s">
        <v>76</v>
      </c>
      <c r="C6" s="123" t="s">
        <v>77</v>
      </c>
      <c r="D6" s="122" t="s">
        <v>164</v>
      </c>
      <c r="E6" s="122" t="s">
        <v>83</v>
      </c>
      <c r="F6" s="122" t="s">
        <v>165</v>
      </c>
      <c r="G6" s="122" t="s">
        <v>85</v>
      </c>
      <c r="H6" s="122" t="s">
        <v>166</v>
      </c>
      <c r="I6" s="122" t="s">
        <v>167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61">
        <f>IF('Catálogo Productos'!B4&lt;&gt;"",COUNTA('Catálogo Productos'!$B$4:$B4),"")</f>
        <v>1</v>
      </c>
      <c r="B7" s="124" t="str">
        <f>IF('Catálogo Productos'!B4&lt;&gt;"",'Catálogo Productos'!B4,"")</f>
        <v>Cuerdas Alice Clasica A106</v>
      </c>
      <c r="C7" s="124" t="str">
        <f>IF('Catálogo Productos'!B4&lt;&gt;"",'Catálogo Productos'!C4,"")</f>
        <v>Guitarra Clasica</v>
      </c>
      <c r="D7" s="125">
        <f>IF('Catálogo Productos'!B4&lt;&gt;"",COUNTIF('Febrero 2026 - Ventas'!$C$5:$C$63,'Catálogo Productos'!B4)+COUNTIF('Marzo 2026 - Ventas'!$C$5:$C$63,'Catálogo Productos'!B4)+COUNTIF('Abril 2026 - Ventas'!$C$5:$C$166,'Catálogo Productos'!B4),"")</f>
        <v>32</v>
      </c>
      <c r="E7" s="126">
        <f>IF('Catálogo Productos'!B4&lt;&gt;"",SUMIF('Febrero 2026 - Ventas'!$C$5:$C$63,'Catálogo Productos'!B4,'Febrero 2026 - Ventas'!$J$5:$J$63)+SUMIF('Marzo 2026 - Ventas'!$C$5:$C$63,'Catálogo Productos'!B4,'Marzo 2026 - Ventas'!$J$5:$J$63)+SUMIF('Abril 2026 - Ventas'!$C$5:$C$166,'Catálogo Productos'!B4,'Abril 2026 - Ventas'!$J$5:$J$166),"")</f>
        <v>36.4</v>
      </c>
      <c r="F7" s="126">
        <f>IF('Catálogo Productos'!B4&lt;&gt;"",SUMIF('Febrero 2026 - Ventas'!$C$5:$C$63,'Catálogo Productos'!B4,'Febrero 2026 - Ventas'!$K$5:$K$63)+SUMIF('Marzo 2026 - Ventas'!$C$5:$C$63,'Catálogo Productos'!B4,'Marzo 2026 - Ventas'!$K$5:$K$63)+SUMIF('Abril 2026 - Ventas'!$C$5:$C$166,'Catálogo Productos'!B4,'Abril 2026 - Ventas'!$K$5:$K$166),"")</f>
        <v>135.663</v>
      </c>
      <c r="G7" s="127">
        <f>IF(OR(NOT('Catálogo Productos'!B4&lt;&gt;""),E7="",E7=0),"",F7/E7)</f>
        <v>3.727005495</v>
      </c>
      <c r="H7" s="128">
        <f>IF('Catálogo Productos'!B4&lt;&gt;"",'Catálogo Productos'!H59,"")</f>
        <v>125</v>
      </c>
      <c r="I7" s="129" t="str">
        <f>IF('Catálogo Productos'!B4&lt;&gt;"",'Catálogo Productos'!L59,"")</f>
        <v>🟢 OK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61">
        <f>IF('Catálogo Productos'!B5&lt;&gt;"",COUNTA('Catálogo Productos'!$B$4:$B5),"")</f>
        <v>2</v>
      </c>
      <c r="B8" s="124" t="str">
        <f>IF('Catálogo Productos'!B5&lt;&gt;"",'Catálogo Productos'!B5,"")</f>
        <v>Cuerdas Alice Electrica SL</v>
      </c>
      <c r="C8" s="124" t="str">
        <f>IF('Catálogo Productos'!B5&lt;&gt;"",'Catálogo Productos'!C5,"")</f>
        <v>Guitarra Electrica</v>
      </c>
      <c r="D8" s="125">
        <f>IF('Catálogo Productos'!B5&lt;&gt;"",COUNTIF('Febrero 2026 - Ventas'!$C$5:$C$63,'Catálogo Productos'!B5)+COUNTIF('Marzo 2026 - Ventas'!$C$5:$C$63,'Catálogo Productos'!B5)+COUNTIF('Abril 2026 - Ventas'!$C$5:$C$166,'Catálogo Productos'!B5),"")</f>
        <v>29</v>
      </c>
      <c r="E8" s="126">
        <f>IF('Catálogo Productos'!B5&lt;&gt;"",SUMIF('Febrero 2026 - Ventas'!$C$5:$C$63,'Catálogo Productos'!B5,'Febrero 2026 - Ventas'!$J$5:$J$63)+SUMIF('Marzo 2026 - Ventas'!$C$5:$C$63,'Catálogo Productos'!B5,'Marzo 2026 - Ventas'!$J$5:$J$63)+SUMIF('Abril 2026 - Ventas'!$C$5:$C$166,'Catálogo Productos'!B5,'Abril 2026 - Ventas'!$J$5:$J$166),"")</f>
        <v>26</v>
      </c>
      <c r="F8" s="126">
        <f>IF('Catálogo Productos'!B5&lt;&gt;"",SUMIF('Febrero 2026 - Ventas'!$C$5:$C$63,'Catálogo Productos'!B5,'Febrero 2026 - Ventas'!$K$5:$K$63)+SUMIF('Marzo 2026 - Ventas'!$C$5:$C$63,'Catálogo Productos'!B5,'Marzo 2026 - Ventas'!$K$5:$K$63)+SUMIF('Abril 2026 - Ventas'!$C$5:$C$166,'Catálogo Productos'!B5,'Abril 2026 - Ventas'!$K$5:$K$166),"")</f>
        <v>118.7164</v>
      </c>
      <c r="G8" s="127">
        <f>IF(OR(NOT('Catálogo Productos'!B5&lt;&gt;""),E8="",E8=0),"",F8/E8)</f>
        <v>4.566015385</v>
      </c>
      <c r="H8" s="128">
        <f>IF('Catálogo Productos'!B5&lt;&gt;"",'Catálogo Productos'!H60,"")</f>
        <v>73</v>
      </c>
      <c r="I8" s="129" t="str">
        <f>IF('Catálogo Productos'!B5&lt;&gt;"",'Catálogo Productos'!L60,"")</f>
        <v>🟢 OK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61">
        <f>IF('Catálogo Productos'!B6&lt;&gt;"",COUNTA('Catálogo Productos'!$B$4:$B6),"")</f>
        <v>3</v>
      </c>
      <c r="B9" s="124" t="str">
        <f>IF('Catálogo Productos'!B6&lt;&gt;"",'Catálogo Productos'!B6,"")</f>
        <v>Cuerdas Alice Electrica L</v>
      </c>
      <c r="C9" s="124" t="str">
        <f>IF('Catálogo Productos'!B6&lt;&gt;"",'Catálogo Productos'!C6,"")</f>
        <v>Guitarra Electrica</v>
      </c>
      <c r="D9" s="125">
        <f>IF('Catálogo Productos'!B6&lt;&gt;"",COUNTIF('Febrero 2026 - Ventas'!$C$5:$C$63,'Catálogo Productos'!B6)+COUNTIF('Marzo 2026 - Ventas'!$C$5:$C$63,'Catálogo Productos'!B6)+COUNTIF('Abril 2026 - Ventas'!$C$5:$C$166,'Catálogo Productos'!B6),"")</f>
        <v>19</v>
      </c>
      <c r="E9" s="126">
        <f>IF('Catálogo Productos'!B6&lt;&gt;"",SUMIF('Febrero 2026 - Ventas'!$C$5:$C$63,'Catálogo Productos'!B6,'Febrero 2026 - Ventas'!$J$5:$J$63)+SUMIF('Marzo 2026 - Ventas'!$C$5:$C$63,'Catálogo Productos'!B6,'Marzo 2026 - Ventas'!$J$5:$J$63)+SUMIF('Abril 2026 - Ventas'!$C$5:$C$166,'Catálogo Productos'!B6,'Abril 2026 - Ventas'!$J$5:$J$166),"")</f>
        <v>18.2</v>
      </c>
      <c r="F9" s="126">
        <f>IF('Catálogo Productos'!B6&lt;&gt;"",SUMIF('Febrero 2026 - Ventas'!$C$5:$C$63,'Catálogo Productos'!B6,'Febrero 2026 - Ventas'!$K$5:$K$63)+SUMIF('Marzo 2026 - Ventas'!$C$5:$C$63,'Catálogo Productos'!B6,'Marzo 2026 - Ventas'!$K$5:$K$63)+SUMIF('Abril 2026 - Ventas'!$C$5:$C$166,'Catálogo Productos'!B6,'Abril 2026 - Ventas'!$K$5:$K$166),"")</f>
        <v>111.5515</v>
      </c>
      <c r="G9" s="127">
        <f>IF(OR(NOT('Catálogo Productos'!B6&lt;&gt;""),E9="",E9=0),"",F9/E9)</f>
        <v>6.129203297</v>
      </c>
      <c r="H9" s="128">
        <f>IF('Catálogo Productos'!B6&lt;&gt;"",'Catálogo Productos'!H61,"")</f>
        <v>72</v>
      </c>
      <c r="I9" s="129" t="str">
        <f>IF('Catálogo Productos'!B6&lt;&gt;"",'Catálogo Productos'!L61,"")</f>
        <v>🟢 OK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61">
        <f>IF('Catálogo Productos'!B7&lt;&gt;"",COUNTA('Catálogo Productos'!$B$4:$B7),"")</f>
        <v>4</v>
      </c>
      <c r="B10" s="124" t="str">
        <f>IF('Catálogo Productos'!B7&lt;&gt;"",'Catálogo Productos'!B7,"")</f>
        <v>Cuerdas Alice Folk 11-52</v>
      </c>
      <c r="C10" s="124" t="str">
        <f>IF('Catálogo Productos'!B7&lt;&gt;"",'Catálogo Productos'!C7,"")</f>
        <v>Guitarra Acustica</v>
      </c>
      <c r="D10" s="125">
        <f>IF('Catálogo Productos'!B7&lt;&gt;"",COUNTIF('Febrero 2026 - Ventas'!$C$5:$C$63,'Catálogo Productos'!B7)+COUNTIF('Marzo 2026 - Ventas'!$C$5:$C$63,'Catálogo Productos'!B7)+COUNTIF('Abril 2026 - Ventas'!$C$5:$C$166,'Catálogo Productos'!B7),"")</f>
        <v>9</v>
      </c>
      <c r="E10" s="126">
        <f>IF('Catálogo Productos'!B7&lt;&gt;"",SUMIF('Febrero 2026 - Ventas'!$C$5:$C$63,'Catálogo Productos'!B7,'Febrero 2026 - Ventas'!$J$5:$J$63)+SUMIF('Marzo 2026 - Ventas'!$C$5:$C$63,'Catálogo Productos'!B7,'Marzo 2026 - Ventas'!$J$5:$J$63)+SUMIF('Abril 2026 - Ventas'!$C$5:$C$166,'Catálogo Productos'!B7,'Abril 2026 - Ventas'!$J$5:$J$166),"")</f>
        <v>9.1</v>
      </c>
      <c r="F10" s="126">
        <f>IF('Catálogo Productos'!B7&lt;&gt;"",SUMIF('Febrero 2026 - Ventas'!$C$5:$C$63,'Catálogo Productos'!B7,'Febrero 2026 - Ventas'!$K$5:$K$63)+SUMIF('Marzo 2026 - Ventas'!$C$5:$C$63,'Catálogo Productos'!B7,'Marzo 2026 - Ventas'!$K$5:$K$63)+SUMIF('Abril 2026 - Ventas'!$C$5:$C$166,'Catálogo Productos'!B7,'Abril 2026 - Ventas'!$K$5:$K$166),"")</f>
        <v>35.4788</v>
      </c>
      <c r="G10" s="127">
        <f>IF(OR(NOT('Catálogo Productos'!B7&lt;&gt;""),E10="",E10=0),"",F10/E10)</f>
        <v>3.898769231</v>
      </c>
      <c r="H10" s="128">
        <f>IF('Catálogo Productos'!B7&lt;&gt;"",'Catálogo Productos'!H62,"")</f>
        <v>59</v>
      </c>
      <c r="I10" s="129" t="str">
        <f>IF('Catálogo Productos'!B7&lt;&gt;"",'Catálogo Productos'!L62,"")</f>
        <v>🟢 OK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61">
        <f>IF('Catálogo Productos'!B8&lt;&gt;"",COUNTA('Catálogo Productos'!$B$4:$B8),"")</f>
        <v>5</v>
      </c>
      <c r="B11" s="124" t="str">
        <f>IF('Catálogo Productos'!B8&lt;&gt;"",'Catálogo Productos'!B8,"")</f>
        <v>Hombrera Violin 3/4 4/4</v>
      </c>
      <c r="C11" s="124" t="str">
        <f>IF('Catálogo Productos'!B8&lt;&gt;"",'Catálogo Productos'!C8,"")</f>
        <v>Violin</v>
      </c>
      <c r="D11" s="125">
        <f>IF('Catálogo Productos'!B8&lt;&gt;"",COUNTIF('Febrero 2026 - Ventas'!$C$5:$C$63,'Catálogo Productos'!B8)+COUNTIF('Marzo 2026 - Ventas'!$C$5:$C$63,'Catálogo Productos'!B8)+COUNTIF('Abril 2026 - Ventas'!$C$5:$C$166,'Catálogo Productos'!B8),"")</f>
        <v>12</v>
      </c>
      <c r="E11" s="126">
        <f>IF('Catálogo Productos'!B8&lt;&gt;"",SUMIF('Febrero 2026 - Ventas'!$C$5:$C$63,'Catálogo Productos'!B8,'Febrero 2026 - Ventas'!$J$5:$J$63)+SUMIF('Marzo 2026 - Ventas'!$C$5:$C$63,'Catálogo Productos'!B8,'Marzo 2026 - Ventas'!$J$5:$J$63)+SUMIF('Abril 2026 - Ventas'!$C$5:$C$166,'Catálogo Productos'!B8,'Abril 2026 - Ventas'!$J$5:$J$166),"")</f>
        <v>15.6</v>
      </c>
      <c r="F11" s="126">
        <f>IF('Catálogo Productos'!B8&lt;&gt;"",SUMIF('Febrero 2026 - Ventas'!$C$5:$C$63,'Catálogo Productos'!B8,'Febrero 2026 - Ventas'!$K$5:$K$63)+SUMIF('Marzo 2026 - Ventas'!$C$5:$C$63,'Catálogo Productos'!B8,'Marzo 2026 - Ventas'!$K$5:$K$63)+SUMIF('Abril 2026 - Ventas'!$C$5:$C$166,'Catálogo Productos'!B8,'Abril 2026 - Ventas'!$K$5:$K$166),"")</f>
        <v>101.88</v>
      </c>
      <c r="G11" s="127">
        <f>IF(OR(NOT('Catálogo Productos'!B8&lt;&gt;""),E11="",E11=0),"",F11/E11)</f>
        <v>6.530769231</v>
      </c>
      <c r="H11" s="128">
        <f>IF('Catálogo Productos'!B8&lt;&gt;"",'Catálogo Productos'!H63,"")</f>
        <v>32</v>
      </c>
      <c r="I11" s="129" t="str">
        <f>IF('Catálogo Productos'!B8&lt;&gt;"",'Catálogo Productos'!L63,"")</f>
        <v>🟢 OK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61">
        <f>IF('Catálogo Productos'!B9&lt;&gt;"",COUNTA('Catálogo Productos'!$B$4:$B9),"")</f>
        <v>6</v>
      </c>
      <c r="B12" s="124" t="str">
        <f>IF('Catálogo Productos'!B9&lt;&gt;"",'Catálogo Productos'!B9,"")</f>
        <v>Clavijas Guitarra Clasica Doradas</v>
      </c>
      <c r="C12" s="124" t="str">
        <f>IF('Catálogo Productos'!B9&lt;&gt;"",'Catálogo Productos'!C9,"")</f>
        <v>Guitarra Clasica</v>
      </c>
      <c r="D12" s="125">
        <f>IF('Catálogo Productos'!B9&lt;&gt;"",COUNTIF('Febrero 2026 - Ventas'!$C$5:$C$63,'Catálogo Productos'!B9)+COUNTIF('Marzo 2026 - Ventas'!$C$5:$C$63,'Catálogo Productos'!B9)+COUNTIF('Abril 2026 - Ventas'!$C$5:$C$166,'Catálogo Productos'!B9),"")</f>
        <v>13</v>
      </c>
      <c r="E12" s="126">
        <f>IF('Catálogo Productos'!B9&lt;&gt;"",SUMIF('Febrero 2026 - Ventas'!$C$5:$C$63,'Catálogo Productos'!B9,'Febrero 2026 - Ventas'!$J$5:$J$63)+SUMIF('Marzo 2026 - Ventas'!$C$5:$C$63,'Catálogo Productos'!B9,'Marzo 2026 - Ventas'!$J$5:$J$63)+SUMIF('Abril 2026 - Ventas'!$C$5:$C$166,'Catálogo Productos'!B9,'Abril 2026 - Ventas'!$J$5:$J$166),"")</f>
        <v>14.3</v>
      </c>
      <c r="F12" s="126">
        <f>IF('Catálogo Productos'!B9&lt;&gt;"",SUMIF('Febrero 2026 - Ventas'!$C$5:$C$63,'Catálogo Productos'!B9,'Febrero 2026 - Ventas'!$K$5:$K$63)+SUMIF('Marzo 2026 - Ventas'!$C$5:$C$63,'Catálogo Productos'!B9,'Marzo 2026 - Ventas'!$K$5:$K$63)+SUMIF('Abril 2026 - Ventas'!$C$5:$C$166,'Catálogo Productos'!B9,'Abril 2026 - Ventas'!$K$5:$K$166),"")</f>
        <v>101.2843</v>
      </c>
      <c r="G12" s="127">
        <f>IF(OR(NOT('Catálogo Productos'!B9&lt;&gt;""),E12="",E12=0),"",F12/E12)</f>
        <v>7.082818182</v>
      </c>
      <c r="H12" s="128">
        <f>IF('Catálogo Productos'!B9&lt;&gt;"",'Catálogo Productos'!H64,"")</f>
        <v>15</v>
      </c>
      <c r="I12" s="129" t="str">
        <f>IF('Catálogo Productos'!B9&lt;&gt;"",'Catálogo Productos'!L64,"")</f>
        <v>🟢 OK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61">
        <f>IF('Catálogo Productos'!B10&lt;&gt;"",COUNTA('Catálogo Productos'!$B$4:$B10),"")</f>
        <v>7</v>
      </c>
      <c r="B13" s="124" t="str">
        <f>IF('Catálogo Productos'!B10&lt;&gt;"",'Catálogo Productos'!B10,"")</f>
        <v>Clavijas Guitarra Clasica Plateadas</v>
      </c>
      <c r="C13" s="124" t="str">
        <f>IF('Catálogo Productos'!B10&lt;&gt;"",'Catálogo Productos'!C10,"")</f>
        <v>Guitarra Clasica</v>
      </c>
      <c r="D13" s="125">
        <f>IF('Catálogo Productos'!B10&lt;&gt;"",COUNTIF('Febrero 2026 - Ventas'!$C$5:$C$63,'Catálogo Productos'!B10)+COUNTIF('Marzo 2026 - Ventas'!$C$5:$C$63,'Catálogo Productos'!B10)+COUNTIF('Abril 2026 - Ventas'!$C$5:$C$166,'Catálogo Productos'!B10),"")</f>
        <v>5</v>
      </c>
      <c r="E13" s="126">
        <f>IF('Catálogo Productos'!B10&lt;&gt;"",SUMIF('Febrero 2026 - Ventas'!$C$5:$C$63,'Catálogo Productos'!B10,'Febrero 2026 - Ventas'!$J$5:$J$63)+SUMIF('Marzo 2026 - Ventas'!$C$5:$C$63,'Catálogo Productos'!B10,'Marzo 2026 - Ventas'!$J$5:$J$63)+SUMIF('Abril 2026 - Ventas'!$C$5:$C$166,'Catálogo Productos'!B10,'Abril 2026 - Ventas'!$J$5:$J$166),"")</f>
        <v>3.9</v>
      </c>
      <c r="F13" s="126">
        <f>IF('Catálogo Productos'!B10&lt;&gt;"",SUMIF('Febrero 2026 - Ventas'!$C$5:$C$63,'Catálogo Productos'!B10,'Febrero 2026 - Ventas'!$K$5:$K$63)+SUMIF('Marzo 2026 - Ventas'!$C$5:$C$63,'Catálogo Productos'!B10,'Marzo 2026 - Ventas'!$K$5:$K$63)+SUMIF('Abril 2026 - Ventas'!$C$5:$C$166,'Catálogo Productos'!B10,'Abril 2026 - Ventas'!$K$5:$K$166),"")</f>
        <v>51.0933</v>
      </c>
      <c r="G13" s="127">
        <f>IF(OR(NOT('Catálogo Productos'!B10&lt;&gt;""),E13="",E13=0),"",F13/E13)</f>
        <v>13.10084615</v>
      </c>
      <c r="H13" s="128">
        <f>IF('Catálogo Productos'!B10&lt;&gt;"",'Catálogo Productos'!H65,"")</f>
        <v>10</v>
      </c>
      <c r="I13" s="129" t="str">
        <f>IF('Catálogo Productos'!B10&lt;&gt;"",'Catálogo Productos'!L65,"")</f>
        <v>🟢 OK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61">
        <f>IF('Catálogo Productos'!B11&lt;&gt;"",COUNTA('Catálogo Productos'!$B$4:$B11),"")</f>
        <v>8</v>
      </c>
      <c r="B14" s="124" t="str">
        <f>IF('Catálogo Productos'!B11&lt;&gt;"",'Catálogo Productos'!B11,"")</f>
        <v>Correa Guitarra/Bajo</v>
      </c>
      <c r="C14" s="124" t="str">
        <f>IF('Catálogo Productos'!B11&lt;&gt;"",'Catálogo Productos'!C11,"")</f>
        <v>Correas</v>
      </c>
      <c r="D14" s="125">
        <f>IF('Catálogo Productos'!B11&lt;&gt;"",COUNTIF('Febrero 2026 - Ventas'!$C$5:$C$63,'Catálogo Productos'!B11)+COUNTIF('Marzo 2026 - Ventas'!$C$5:$C$63,'Catálogo Productos'!B11)+COUNTIF('Abril 2026 - Ventas'!$C$5:$C$166,'Catálogo Productos'!B11),"")</f>
        <v>16</v>
      </c>
      <c r="E14" s="126">
        <f>IF('Catálogo Productos'!B11&lt;&gt;"",SUMIF('Febrero 2026 - Ventas'!$C$5:$C$63,'Catálogo Productos'!B11,'Febrero 2026 - Ventas'!$J$5:$J$63)+SUMIF('Marzo 2026 - Ventas'!$C$5:$C$63,'Catálogo Productos'!B11,'Marzo 2026 - Ventas'!$J$5:$J$63)+SUMIF('Abril 2026 - Ventas'!$C$5:$C$166,'Catálogo Productos'!B11,'Abril 2026 - Ventas'!$J$5:$J$166),"")</f>
        <v>19.5</v>
      </c>
      <c r="F14" s="126">
        <f>IF('Catálogo Productos'!B11&lt;&gt;"",SUMIF('Febrero 2026 - Ventas'!$C$5:$C$63,'Catálogo Productos'!B11,'Febrero 2026 - Ventas'!$K$5:$K$63)+SUMIF('Marzo 2026 - Ventas'!$C$5:$C$63,'Catálogo Productos'!B11,'Marzo 2026 - Ventas'!$K$5:$K$63)+SUMIF('Abril 2026 - Ventas'!$C$5:$C$166,'Catálogo Productos'!B11,'Abril 2026 - Ventas'!$K$5:$K$166),"")</f>
        <v>58.6776</v>
      </c>
      <c r="G14" s="127">
        <f>IF(OR(NOT('Catálogo Productos'!B11&lt;&gt;""),E14="",E14=0),"",F14/E14)</f>
        <v>3.009107692</v>
      </c>
      <c r="H14" s="128">
        <f>IF('Catálogo Productos'!B11&lt;&gt;"",'Catálogo Productos'!H66,"")</f>
        <v>21</v>
      </c>
      <c r="I14" s="129" t="str">
        <f>IF('Catálogo Productos'!B11&lt;&gt;"",'Catálogo Productos'!L66,"")</f>
        <v>🟢 OK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61">
        <f>IF('Catálogo Productos'!B12&lt;&gt;"",COUNTA('Catálogo Productos'!$B$4:$B12),"")</f>
        <v>9</v>
      </c>
      <c r="B15" s="124" t="str">
        <f>IF('Catálogo Productos'!B12&lt;&gt;"",'Catálogo Productos'!B12,"")</f>
        <v>Base pared Guitarra/Bajo</v>
      </c>
      <c r="C15" s="124" t="str">
        <f>IF('Catálogo Productos'!B12&lt;&gt;"",'Catálogo Productos'!C12,"")</f>
        <v>Bases, Stand, Atriles</v>
      </c>
      <c r="D15" s="125">
        <f>IF('Catálogo Productos'!B12&lt;&gt;"",COUNTIF('Febrero 2026 - Ventas'!$C$5:$C$63,'Catálogo Productos'!B12)+COUNTIF('Marzo 2026 - Ventas'!$C$5:$C$63,'Catálogo Productos'!B12)+COUNTIF('Abril 2026 - Ventas'!$C$5:$C$166,'Catálogo Productos'!B12),"")</f>
        <v>27</v>
      </c>
      <c r="E15" s="126">
        <f>IF('Catálogo Productos'!B12&lt;&gt;"",SUMIF('Febrero 2026 - Ventas'!$C$5:$C$63,'Catálogo Productos'!B12,'Febrero 2026 - Ventas'!$J$5:$J$63)+SUMIF('Marzo 2026 - Ventas'!$C$5:$C$63,'Catálogo Productos'!B12,'Marzo 2026 - Ventas'!$J$5:$J$63)+SUMIF('Abril 2026 - Ventas'!$C$5:$C$166,'Catálogo Productos'!B12,'Abril 2026 - Ventas'!$J$5:$J$166),"")</f>
        <v>20.8</v>
      </c>
      <c r="F15" s="126">
        <f>IF('Catálogo Productos'!B12&lt;&gt;"",SUMIF('Febrero 2026 - Ventas'!$C$5:$C$63,'Catálogo Productos'!B12,'Febrero 2026 - Ventas'!$K$5:$K$63)+SUMIF('Marzo 2026 - Ventas'!$C$5:$C$63,'Catálogo Productos'!B12,'Marzo 2026 - Ventas'!$K$5:$K$63)+SUMIF('Abril 2026 - Ventas'!$C$5:$C$166,'Catálogo Productos'!B12,'Abril 2026 - Ventas'!$K$5:$K$166),"")</f>
        <v>102.952</v>
      </c>
      <c r="G15" s="127">
        <f>IF(OR(NOT('Catálogo Productos'!B12&lt;&gt;""),E15="",E15=0),"",F15/E15)</f>
        <v>4.949615385</v>
      </c>
      <c r="H15" s="128">
        <f>IF('Catálogo Productos'!B12&lt;&gt;"",'Catálogo Productos'!H67,"")</f>
        <v>58</v>
      </c>
      <c r="I15" s="129" t="str">
        <f>IF('Catálogo Productos'!B12&lt;&gt;"",'Catálogo Productos'!L67,"")</f>
        <v>🟢 OK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61">
        <f>IF('Catálogo Productos'!B13&lt;&gt;"",COUNTA('Catálogo Productos'!$B$4:$B13),"")</f>
        <v>10</v>
      </c>
      <c r="B16" s="124" t="str">
        <f>IF('Catálogo Productos'!B13&lt;&gt;"",'Catálogo Productos'!B13,"")</f>
        <v>Capotraste</v>
      </c>
      <c r="C16" s="124" t="str">
        <f>IF('Catálogo Productos'!B13&lt;&gt;"",'Catálogo Productos'!C13,"")</f>
        <v>Capostraste</v>
      </c>
      <c r="D16" s="125">
        <f>IF('Catálogo Productos'!B13&lt;&gt;"",COUNTIF('Febrero 2026 - Ventas'!$C$5:$C$63,'Catálogo Productos'!B13)+COUNTIF('Marzo 2026 - Ventas'!$C$5:$C$63,'Catálogo Productos'!B13)+COUNTIF('Abril 2026 - Ventas'!$C$5:$C$166,'Catálogo Productos'!B13),"")</f>
        <v>8</v>
      </c>
      <c r="E16" s="126">
        <f>IF('Catálogo Productos'!B13&lt;&gt;"",SUMIF('Febrero 2026 - Ventas'!$C$5:$C$63,'Catálogo Productos'!B13,'Febrero 2026 - Ventas'!$J$5:$J$63)+SUMIF('Marzo 2026 - Ventas'!$C$5:$C$63,'Catálogo Productos'!B13,'Marzo 2026 - Ventas'!$J$5:$J$63)+SUMIF('Abril 2026 - Ventas'!$C$5:$C$166,'Catálogo Productos'!B13,'Abril 2026 - Ventas'!$J$5:$J$166),"")</f>
        <v>9.1</v>
      </c>
      <c r="F16" s="126">
        <f>IF('Catálogo Productos'!B13&lt;&gt;"",SUMIF('Febrero 2026 - Ventas'!$C$5:$C$63,'Catálogo Productos'!B13,'Febrero 2026 - Ventas'!$K$5:$K$63)+SUMIF('Marzo 2026 - Ventas'!$C$5:$C$63,'Catálogo Productos'!B13,'Marzo 2026 - Ventas'!$K$5:$K$63)+SUMIF('Abril 2026 - Ventas'!$C$5:$C$166,'Catálogo Productos'!B13,'Abril 2026 - Ventas'!$K$5:$K$166),"")</f>
        <v>41.4377</v>
      </c>
      <c r="G16" s="127">
        <f>IF(OR(NOT('Catálogo Productos'!B13&lt;&gt;""),E16="",E16=0),"",F16/E16)</f>
        <v>4.553593407</v>
      </c>
      <c r="H16" s="128">
        <f>IF('Catálogo Productos'!B13&lt;&gt;"",'Catálogo Productos'!H68,"")</f>
        <v>21</v>
      </c>
      <c r="I16" s="129" t="str">
        <f>IF('Catálogo Productos'!B13&lt;&gt;"",'Catálogo Productos'!L68,"")</f>
        <v>🟢 OK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61">
        <f>IF('Catálogo Productos'!B14&lt;&gt;"",COUNTA('Catálogo Productos'!$B$4:$B14),"")</f>
        <v>11</v>
      </c>
      <c r="B17" s="124" t="str">
        <f>IF('Catálogo Productos'!B14&lt;&gt;"",'Catálogo Productos'!B14,"")</f>
        <v>Cuerdas de Violin 4/4</v>
      </c>
      <c r="C17" s="124" t="str">
        <f>IF('Catálogo Productos'!B14&lt;&gt;"",'Catálogo Productos'!C14,"")</f>
        <v>Violin</v>
      </c>
      <c r="D17" s="125">
        <f>IF('Catálogo Productos'!B14&lt;&gt;"",COUNTIF('Febrero 2026 - Ventas'!$C$5:$C$63,'Catálogo Productos'!B14)+COUNTIF('Marzo 2026 - Ventas'!$C$5:$C$63,'Catálogo Productos'!B14)+COUNTIF('Abril 2026 - Ventas'!$C$5:$C$166,'Catálogo Productos'!B14),"")</f>
        <v>7</v>
      </c>
      <c r="E17" s="126">
        <f>IF('Catálogo Productos'!B14&lt;&gt;"",SUMIF('Febrero 2026 - Ventas'!$C$5:$C$63,'Catálogo Productos'!B14,'Febrero 2026 - Ventas'!$J$5:$J$63)+SUMIF('Marzo 2026 - Ventas'!$C$5:$C$63,'Catálogo Productos'!B14,'Marzo 2026 - Ventas'!$J$5:$J$63)+SUMIF('Abril 2026 - Ventas'!$C$5:$C$166,'Catálogo Productos'!B14,'Abril 2026 - Ventas'!$J$5:$J$166),"")</f>
        <v>9.1</v>
      </c>
      <c r="F17" s="126">
        <f>IF('Catálogo Productos'!B14&lt;&gt;"",SUMIF('Febrero 2026 - Ventas'!$C$5:$C$63,'Catálogo Productos'!B14,'Febrero 2026 - Ventas'!$K$5:$K$63)+SUMIF('Marzo 2026 - Ventas'!$C$5:$C$63,'Catálogo Productos'!B14,'Marzo 2026 - Ventas'!$K$5:$K$63)+SUMIF('Abril 2026 - Ventas'!$C$5:$C$166,'Catálogo Productos'!B14,'Abril 2026 - Ventas'!$K$5:$K$166),"")</f>
        <v>21.9877</v>
      </c>
      <c r="G17" s="127">
        <f>IF(OR(NOT('Catálogo Productos'!B14&lt;&gt;""),E17="",E17=0),"",F17/E17)</f>
        <v>2.416230769</v>
      </c>
      <c r="H17" s="128">
        <f>IF('Catálogo Productos'!B14&lt;&gt;"",'Catálogo Productos'!H69,"")</f>
        <v>40</v>
      </c>
      <c r="I17" s="129" t="str">
        <f>IF('Catálogo Productos'!B14&lt;&gt;"",'Catálogo Productos'!L69,"")</f>
        <v>🟢 OK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61">
        <f>IF('Catálogo Productos'!B15&lt;&gt;"",COUNTA('Catálogo Productos'!$B$4:$B15),"")</f>
        <v>12</v>
      </c>
      <c r="B18" s="124" t="str">
        <f>IF('Catálogo Productos'!B15&lt;&gt;"",'Catálogo Productos'!B15,"")</f>
        <v>Cable Hebikuo XA03</v>
      </c>
      <c r="C18" s="124" t="str">
        <f>IF('Catálogo Productos'!B15&lt;&gt;"",'Catálogo Productos'!C15,"")</f>
        <v>Cables</v>
      </c>
      <c r="D18" s="125">
        <f>IF('Catálogo Productos'!B15&lt;&gt;"",COUNTIF('Febrero 2026 - Ventas'!$C$5:$C$63,'Catálogo Productos'!B15)+COUNTIF('Marzo 2026 - Ventas'!$C$5:$C$63,'Catálogo Productos'!B15)+COUNTIF('Abril 2026 - Ventas'!$C$5:$C$166,'Catálogo Productos'!B15),"")</f>
        <v>24</v>
      </c>
      <c r="E18" s="126">
        <f>IF('Catálogo Productos'!B15&lt;&gt;"",SUMIF('Febrero 2026 - Ventas'!$C$5:$C$63,'Catálogo Productos'!B15,'Febrero 2026 - Ventas'!$J$5:$J$63)+SUMIF('Marzo 2026 - Ventas'!$C$5:$C$63,'Catálogo Productos'!B15,'Marzo 2026 - Ventas'!$J$5:$J$63)+SUMIF('Abril 2026 - Ventas'!$C$5:$C$166,'Catálogo Productos'!B15,'Abril 2026 - Ventas'!$J$5:$J$166),"")</f>
        <v>23.4</v>
      </c>
      <c r="F18" s="126">
        <f>IF('Catálogo Productos'!B15&lt;&gt;"",SUMIF('Febrero 2026 - Ventas'!$C$5:$C$63,'Catálogo Productos'!B15,'Febrero 2026 - Ventas'!$K$5:$K$63)+SUMIF('Marzo 2026 - Ventas'!$C$5:$C$63,'Catálogo Productos'!B15,'Marzo 2026 - Ventas'!$K$5:$K$63)+SUMIF('Abril 2026 - Ventas'!$C$5:$C$166,'Catálogo Productos'!B15,'Abril 2026 - Ventas'!$K$5:$K$166),"")</f>
        <v>190.2</v>
      </c>
      <c r="G18" s="127">
        <f>IF(OR(NOT('Catálogo Productos'!B15&lt;&gt;""),E18="",E18=0),"",F18/E18)</f>
        <v>8.128205128</v>
      </c>
      <c r="H18" s="128">
        <f>IF('Catálogo Productos'!B15&lt;&gt;"",'Catálogo Productos'!H70,"")</f>
        <v>13</v>
      </c>
      <c r="I18" s="129" t="str">
        <f>IF('Catálogo Productos'!B15&lt;&gt;"",'Catálogo Productos'!L70,"")</f>
        <v>🟢 OK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61">
        <f>IF('Catálogo Productos'!B16&lt;&gt;"",COUNTA('Catálogo Productos'!$B$4:$B16),"")</f>
        <v>13</v>
      </c>
      <c r="B19" s="124" t="str">
        <f>IF('Catálogo Productos'!B16&lt;&gt;"",'Catálogo Productos'!B16,"")</f>
        <v>Cejilla/Cejuela</v>
      </c>
      <c r="C19" s="124" t="str">
        <f>IF('Catálogo Productos'!B16&lt;&gt;"",'Catálogo Productos'!C16,"")</f>
        <v>Guitarra Clasica</v>
      </c>
      <c r="D19" s="125">
        <f>IF('Catálogo Productos'!B16&lt;&gt;"",COUNTIF('Febrero 2026 - Ventas'!$C$5:$C$63,'Catálogo Productos'!B16)+COUNTIF('Marzo 2026 - Ventas'!$C$5:$C$63,'Catálogo Productos'!B16)+COUNTIF('Abril 2026 - Ventas'!$C$5:$C$166,'Catálogo Productos'!B16),"")</f>
        <v>6</v>
      </c>
      <c r="E19" s="126">
        <f>IF('Catálogo Productos'!B16&lt;&gt;"",SUMIF('Febrero 2026 - Ventas'!$C$5:$C$63,'Catálogo Productos'!B16,'Febrero 2026 - Ventas'!$J$5:$J$63)+SUMIF('Marzo 2026 - Ventas'!$C$5:$C$63,'Catálogo Productos'!B16,'Marzo 2026 - Ventas'!$J$5:$J$63)+SUMIF('Abril 2026 - Ventas'!$C$5:$C$166,'Catálogo Productos'!B16,'Abril 2026 - Ventas'!$J$5:$J$166),"")</f>
        <v>6.5</v>
      </c>
      <c r="F19" s="126">
        <f>IF('Catálogo Productos'!B16&lt;&gt;"",SUMIF('Febrero 2026 - Ventas'!$C$5:$C$63,'Catálogo Productos'!B16,'Febrero 2026 - Ventas'!$K$5:$K$63)+SUMIF('Marzo 2026 - Ventas'!$C$5:$C$63,'Catálogo Productos'!B16,'Marzo 2026 - Ventas'!$K$5:$K$63)+SUMIF('Abril 2026 - Ventas'!$C$5:$C$166,'Catálogo Productos'!B16,'Abril 2026 - Ventas'!$K$5:$K$166),"")</f>
        <v>20.75</v>
      </c>
      <c r="G19" s="127">
        <f>IF(OR(NOT('Catálogo Productos'!B16&lt;&gt;""),E19="",E19=0),"",F19/E19)</f>
        <v>3.192307692</v>
      </c>
      <c r="H19" s="128">
        <f>IF('Catálogo Productos'!B16&lt;&gt;"",'Catálogo Productos'!H71,"")</f>
        <v>0</v>
      </c>
      <c r="I19" s="129" t="str">
        <f>IF('Catálogo Productos'!B16&lt;&gt;"",'Catálogo Productos'!L71,"")</f>
        <v>🔴 Sin stock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61">
        <f>IF('Catálogo Productos'!B17&lt;&gt;"",COUNTA('Catálogo Productos'!$B$4:$B17),"")</f>
        <v>14</v>
      </c>
      <c r="B20" s="124" t="str">
        <f>IF('Catálogo Productos'!B17&lt;&gt;"",'Catálogo Productos'!B17,"")</f>
        <v>Pines de Correa</v>
      </c>
      <c r="C20" s="124" t="str">
        <f>IF('Catálogo Productos'!B17&lt;&gt;"",'Catálogo Productos'!C17,"")</f>
        <v>Guitarra Acustica</v>
      </c>
      <c r="D20" s="125">
        <f>IF('Catálogo Productos'!B17&lt;&gt;"",COUNTIF('Febrero 2026 - Ventas'!$C$5:$C$63,'Catálogo Productos'!B17)+COUNTIF('Marzo 2026 - Ventas'!$C$5:$C$63,'Catálogo Productos'!B17)+COUNTIF('Abril 2026 - Ventas'!$C$5:$C$166,'Catálogo Productos'!B17),"")</f>
        <v>8</v>
      </c>
      <c r="E20" s="126">
        <f>IF('Catálogo Productos'!B17&lt;&gt;"",SUMIF('Febrero 2026 - Ventas'!$C$5:$C$63,'Catálogo Productos'!B17,'Febrero 2026 - Ventas'!$J$5:$J$63)+SUMIF('Marzo 2026 - Ventas'!$C$5:$C$63,'Catálogo Productos'!B17,'Marzo 2026 - Ventas'!$J$5:$J$63)+SUMIF('Abril 2026 - Ventas'!$C$5:$C$166,'Catálogo Productos'!B17,'Abril 2026 - Ventas'!$J$5:$J$166),"")</f>
        <v>9.1</v>
      </c>
      <c r="F20" s="126">
        <f>IF('Catálogo Productos'!B17&lt;&gt;"",SUMIF('Febrero 2026 - Ventas'!$C$5:$C$63,'Catálogo Productos'!B17,'Febrero 2026 - Ventas'!$K$5:$K$63)+SUMIF('Marzo 2026 - Ventas'!$C$5:$C$63,'Catálogo Productos'!B17,'Marzo 2026 - Ventas'!$K$5:$K$63)+SUMIF('Abril 2026 - Ventas'!$C$5:$C$166,'Catálogo Productos'!B17,'Abril 2026 - Ventas'!$K$5:$K$166),"")</f>
        <v>27.05</v>
      </c>
      <c r="G20" s="127">
        <f>IF(OR(NOT('Catálogo Productos'!B17&lt;&gt;""),E20="",E20=0),"",F20/E20)</f>
        <v>2.972527473</v>
      </c>
      <c r="H20" s="128">
        <f>IF('Catálogo Productos'!B17&lt;&gt;"",'Catálogo Productos'!H72,"")</f>
        <v>0</v>
      </c>
      <c r="I20" s="129" t="str">
        <f>IF('Catálogo Productos'!B17&lt;&gt;"",'Catálogo Productos'!L72,"")</f>
        <v>🔴 Sin stock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61">
        <f>IF('Catálogo Productos'!B18&lt;&gt;"",COUNTA('Catálogo Productos'!$B$4:$B18),"")</f>
        <v>15</v>
      </c>
      <c r="B21" s="124" t="str">
        <f>IF('Catálogo Productos'!B18&lt;&gt;"",'Catálogo Productos'!B18,"")</f>
        <v>Cable Pedales</v>
      </c>
      <c r="C21" s="124" t="str">
        <f>IF('Catálogo Productos'!B18&lt;&gt;"",'Catálogo Productos'!C18,"")</f>
        <v>Guitarra Electrica</v>
      </c>
      <c r="D21" s="125">
        <f>IF('Catálogo Productos'!B18&lt;&gt;"",COUNTIF('Febrero 2026 - Ventas'!$C$5:$C$63,'Catálogo Productos'!B18)+COUNTIF('Marzo 2026 - Ventas'!$C$5:$C$63,'Catálogo Productos'!B18)+COUNTIF('Abril 2026 - Ventas'!$C$5:$C$166,'Catálogo Productos'!B18),"")</f>
        <v>3</v>
      </c>
      <c r="E21" s="126">
        <f>IF('Catálogo Productos'!B18&lt;&gt;"",SUMIF('Febrero 2026 - Ventas'!$C$5:$C$63,'Catálogo Productos'!B18,'Febrero 2026 - Ventas'!$J$5:$J$63)+SUMIF('Marzo 2026 - Ventas'!$C$5:$C$63,'Catálogo Productos'!B18,'Marzo 2026 - Ventas'!$J$5:$J$63)+SUMIF('Abril 2026 - Ventas'!$C$5:$C$166,'Catálogo Productos'!B18,'Abril 2026 - Ventas'!$J$5:$J$166),"")</f>
        <v>3.9</v>
      </c>
      <c r="F21" s="126">
        <f>IF('Catálogo Productos'!B18&lt;&gt;"",SUMIF('Febrero 2026 - Ventas'!$C$5:$C$63,'Catálogo Productos'!B18,'Febrero 2026 - Ventas'!$K$5:$K$63)+SUMIF('Marzo 2026 - Ventas'!$C$5:$C$63,'Catálogo Productos'!B18,'Marzo 2026 - Ventas'!$K$5:$K$63)+SUMIF('Abril 2026 - Ventas'!$C$5:$C$166,'Catálogo Productos'!B18,'Abril 2026 - Ventas'!$K$5:$K$166),"")</f>
        <v>33.48</v>
      </c>
      <c r="G21" s="127">
        <f>IF(OR(NOT('Catálogo Productos'!B18&lt;&gt;""),E21="",E21=0),"",F21/E21)</f>
        <v>8.584615385</v>
      </c>
      <c r="H21" s="128">
        <f>IF('Catálogo Productos'!B18&lt;&gt;"",'Catálogo Productos'!H73,"")</f>
        <v>0</v>
      </c>
      <c r="I21" s="129" t="str">
        <f>IF('Catálogo Productos'!B18&lt;&gt;"",'Catálogo Productos'!L73,"")</f>
        <v>🔴 Sin stock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61">
        <f>IF('Catálogo Productos'!B19&lt;&gt;"",COUNTA('Catálogo Productos'!$B$4:$B19),"")</f>
        <v>16</v>
      </c>
      <c r="B22" s="124" t="str">
        <f>IF('Catálogo Productos'!B19&lt;&gt;"",'Catálogo Productos'!B19,"")</f>
        <v>Cuerdas Bajo 4C Alice</v>
      </c>
      <c r="C22" s="124" t="str">
        <f>IF('Catálogo Productos'!B19&lt;&gt;"",'Catálogo Productos'!C19,"")</f>
        <v> Bajo Electrico</v>
      </c>
      <c r="D22" s="125">
        <f>IF('Catálogo Productos'!B19&lt;&gt;"",COUNTIF('Febrero 2026 - Ventas'!$C$5:$C$63,'Catálogo Productos'!B19)+COUNTIF('Marzo 2026 - Ventas'!$C$5:$C$63,'Catálogo Productos'!B19)+COUNTIF('Abril 2026 - Ventas'!$C$5:$C$166,'Catálogo Productos'!B19),"")</f>
        <v>19</v>
      </c>
      <c r="E22" s="126">
        <f>IF('Catálogo Productos'!B19&lt;&gt;"",SUMIF('Febrero 2026 - Ventas'!$C$5:$C$63,'Catálogo Productos'!B19,'Febrero 2026 - Ventas'!$J$5:$J$63)+SUMIF('Marzo 2026 - Ventas'!$C$5:$C$63,'Catálogo Productos'!B19,'Marzo 2026 - Ventas'!$J$5:$J$63)+SUMIF('Abril 2026 - Ventas'!$C$5:$C$166,'Catálogo Productos'!B19,'Abril 2026 - Ventas'!$J$5:$J$166),"")</f>
        <v>20.8</v>
      </c>
      <c r="F22" s="126">
        <f>IF('Catálogo Productos'!B19&lt;&gt;"",SUMIF('Febrero 2026 - Ventas'!$C$5:$C$63,'Catálogo Productos'!B19,'Febrero 2026 - Ventas'!$K$5:$K$63)+SUMIF('Marzo 2026 - Ventas'!$C$5:$C$63,'Catálogo Productos'!B19,'Marzo 2026 - Ventas'!$K$5:$K$63)+SUMIF('Abril 2026 - Ventas'!$C$5:$C$166,'Catálogo Productos'!B19,'Abril 2026 - Ventas'!$K$5:$K$166),"")</f>
        <v>203.1476</v>
      </c>
      <c r="G22" s="127">
        <f>IF(OR(NOT('Catálogo Productos'!B19&lt;&gt;""),E22="",E22=0),"",F22/E22)</f>
        <v>9.766711538</v>
      </c>
      <c r="H22" s="128">
        <f>IF('Catálogo Productos'!B19&lt;&gt;"",'Catálogo Productos'!H74,"")</f>
        <v>26</v>
      </c>
      <c r="I22" s="129" t="str">
        <f>IF('Catálogo Productos'!B19&lt;&gt;"",'Catálogo Productos'!L74,"")</f>
        <v>🟢 OK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61">
        <f>IF('Catálogo Productos'!B20&lt;&gt;"",COUNTA('Catálogo Productos'!$B$4:$B20),"")</f>
        <v>17</v>
      </c>
      <c r="B23" s="124" t="str">
        <f>IF('Catálogo Productos'!B20&lt;&gt;"",'Catálogo Productos'!B20,"")</f>
        <v>Cuerdas de Viola A90</v>
      </c>
      <c r="C23" s="124" t="str">
        <f>IF('Catálogo Productos'!B20&lt;&gt;"",'Catálogo Productos'!C20,"")</f>
        <v>Viola</v>
      </c>
      <c r="D23" s="125">
        <f>IF('Catálogo Productos'!B20&lt;&gt;"",COUNTIF('Febrero 2026 - Ventas'!$C$5:$C$63,'Catálogo Productos'!B20)+COUNTIF('Marzo 2026 - Ventas'!$C$5:$C$63,'Catálogo Productos'!B20)+COUNTIF('Abril 2026 - Ventas'!$C$5:$C$166,'Catálogo Productos'!B20),"")</f>
        <v>1</v>
      </c>
      <c r="E23" s="126">
        <f>IF('Catálogo Productos'!B20&lt;&gt;"",SUMIF('Febrero 2026 - Ventas'!$C$5:$C$63,'Catálogo Productos'!B20,'Febrero 2026 - Ventas'!$J$5:$J$63)+SUMIF('Marzo 2026 - Ventas'!$C$5:$C$63,'Catálogo Productos'!B20,'Marzo 2026 - Ventas'!$J$5:$J$63)+SUMIF('Abril 2026 - Ventas'!$C$5:$C$166,'Catálogo Productos'!B20,'Abril 2026 - Ventas'!$J$5:$J$166),"")</f>
        <v>1.3</v>
      </c>
      <c r="F23" s="126">
        <f>IF('Catálogo Productos'!B20&lt;&gt;"",SUMIF('Febrero 2026 - Ventas'!$C$5:$C$63,'Catálogo Productos'!B20,'Febrero 2026 - Ventas'!$K$5:$K$63)+SUMIF('Marzo 2026 - Ventas'!$C$5:$C$63,'Catálogo Productos'!B20,'Marzo 2026 - Ventas'!$K$5:$K$63)+SUMIF('Abril 2026 - Ventas'!$C$5:$C$166,'Catálogo Productos'!B20,'Abril 2026 - Ventas'!$K$5:$K$166),"")</f>
        <v>4.04</v>
      </c>
      <c r="G23" s="127">
        <f>IF(OR(NOT('Catálogo Productos'!B20&lt;&gt;""),E23="",E23=0),"",F23/E23)</f>
        <v>3.107692308</v>
      </c>
      <c r="H23" s="128">
        <f>IF('Catálogo Productos'!B20&lt;&gt;"",'Catálogo Productos'!H75,"")</f>
        <v>16</v>
      </c>
      <c r="I23" s="129" t="str">
        <f>IF('Catálogo Productos'!B20&lt;&gt;"",'Catálogo Productos'!L75,"")</f>
        <v>🟢 OK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61">
        <f>IF('Catálogo Productos'!B21&lt;&gt;"",COUNTA('Catálogo Productos'!$B$4:$B21),"")</f>
        <v>18</v>
      </c>
      <c r="B24" s="124" t="str">
        <f>IF('Catálogo Productos'!B21&lt;&gt;"",'Catálogo Productos'!B21,"")</f>
        <v>Baqueta Bateria 5A</v>
      </c>
      <c r="C24" s="124" t="str">
        <f>IF('Catálogo Productos'!B21&lt;&gt;"",'Catálogo Productos'!C21,"")</f>
        <v>Bateria</v>
      </c>
      <c r="D24" s="125">
        <f>IF('Catálogo Productos'!B21&lt;&gt;"",COUNTIF('Febrero 2026 - Ventas'!$C$5:$C$63,'Catálogo Productos'!B21)+COUNTIF('Marzo 2026 - Ventas'!$C$5:$C$63,'Catálogo Productos'!B21)+COUNTIF('Abril 2026 - Ventas'!$C$5:$C$166,'Catálogo Productos'!B21),"")</f>
        <v>1</v>
      </c>
      <c r="E24" s="126">
        <f>IF('Catálogo Productos'!B21&lt;&gt;"",SUMIF('Febrero 2026 - Ventas'!$C$5:$C$63,'Catálogo Productos'!B21,'Febrero 2026 - Ventas'!$J$5:$J$63)+SUMIF('Marzo 2026 - Ventas'!$C$5:$C$63,'Catálogo Productos'!B21,'Marzo 2026 - Ventas'!$J$5:$J$63)+SUMIF('Abril 2026 - Ventas'!$C$5:$C$166,'Catálogo Productos'!B21,'Abril 2026 - Ventas'!$J$5:$J$166),"")</f>
        <v>1.3</v>
      </c>
      <c r="F24" s="126">
        <f>IF('Catálogo Productos'!B21&lt;&gt;"",SUMIF('Febrero 2026 - Ventas'!$C$5:$C$63,'Catálogo Productos'!B21,'Febrero 2026 - Ventas'!$K$5:$K$63)+SUMIF('Marzo 2026 - Ventas'!$C$5:$C$63,'Catálogo Productos'!B21,'Marzo 2026 - Ventas'!$K$5:$K$63)+SUMIF('Abril 2026 - Ventas'!$C$5:$C$166,'Catálogo Productos'!B21,'Abril 2026 - Ventas'!$K$5:$K$166),"")</f>
        <v>3.15</v>
      </c>
      <c r="G24" s="127">
        <f>IF(OR(NOT('Catálogo Productos'!B21&lt;&gt;""),E24="",E24=0),"",F24/E24)</f>
        <v>2.423076923</v>
      </c>
      <c r="H24" s="128">
        <f>IF('Catálogo Productos'!B21&lt;&gt;"",'Catálogo Productos'!H76,"")</f>
        <v>23</v>
      </c>
      <c r="I24" s="129" t="str">
        <f>IF('Catálogo Productos'!B21&lt;&gt;"",'Catálogo Productos'!L76,"")</f>
        <v>🟢 OK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61">
        <f>IF('Catálogo Productos'!B22&lt;&gt;"",COUNTA('Catálogo Productos'!$B$4:$B22),"")</f>
        <v>19</v>
      </c>
      <c r="B25" s="124" t="str">
        <f>IF('Catálogo Productos'!B22&lt;&gt;"",'Catálogo Productos'!B22,"")</f>
        <v>Baqueta Bateria 7A</v>
      </c>
      <c r="C25" s="124" t="str">
        <f>IF('Catálogo Productos'!B22&lt;&gt;"",'Catálogo Productos'!C22,"")</f>
        <v>Bateria</v>
      </c>
      <c r="D25" s="125">
        <f>IF('Catálogo Productos'!B22&lt;&gt;"",COUNTIF('Febrero 2026 - Ventas'!$C$5:$C$63,'Catálogo Productos'!B22)+COUNTIF('Marzo 2026 - Ventas'!$C$5:$C$63,'Catálogo Productos'!B22)+COUNTIF('Abril 2026 - Ventas'!$C$5:$C$166,'Catálogo Productos'!B22),"")</f>
        <v>2</v>
      </c>
      <c r="E25" s="126">
        <f>IF('Catálogo Productos'!B22&lt;&gt;"",SUMIF('Febrero 2026 - Ventas'!$C$5:$C$63,'Catálogo Productos'!B22,'Febrero 2026 - Ventas'!$J$5:$J$63)+SUMIF('Marzo 2026 - Ventas'!$C$5:$C$63,'Catálogo Productos'!B22,'Marzo 2026 - Ventas'!$J$5:$J$63)+SUMIF('Abril 2026 - Ventas'!$C$5:$C$166,'Catálogo Productos'!B22,'Abril 2026 - Ventas'!$J$5:$J$166),"")</f>
        <v>1.3</v>
      </c>
      <c r="F25" s="126">
        <f>IF('Catálogo Productos'!B22&lt;&gt;"",SUMIF('Febrero 2026 - Ventas'!$C$5:$C$63,'Catálogo Productos'!B22,'Febrero 2026 - Ventas'!$K$5:$K$63)+SUMIF('Marzo 2026 - Ventas'!$C$5:$C$63,'Catálogo Productos'!B22,'Marzo 2026 - Ventas'!$K$5:$K$63)+SUMIF('Abril 2026 - Ventas'!$C$5:$C$166,'Catálogo Productos'!B22,'Abril 2026 - Ventas'!$K$5:$K$166),"")</f>
        <v>7.6</v>
      </c>
      <c r="G25" s="127">
        <f>IF(OR(NOT('Catálogo Productos'!B22&lt;&gt;""),E25="",E25=0),"",F25/E25)</f>
        <v>5.846153846</v>
      </c>
      <c r="H25" s="128">
        <f>IF('Catálogo Productos'!B22&lt;&gt;"",'Catálogo Productos'!H77,"")</f>
        <v>24</v>
      </c>
      <c r="I25" s="129" t="str">
        <f>IF('Catálogo Productos'!B22&lt;&gt;"",'Catálogo Productos'!L77,"")</f>
        <v>🟢 OK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61">
        <f>IF('Catálogo Productos'!B23&lt;&gt;"",COUNTA('Catálogo Productos'!$B$4:$B23),"")</f>
        <v>20</v>
      </c>
      <c r="B26" s="124" t="str">
        <f>IF('Catálogo Productos'!B23&lt;&gt;"",'Catálogo Productos'!B23,"")</f>
        <v>Baqueta Bateria 5B</v>
      </c>
      <c r="C26" s="124" t="str">
        <f>IF('Catálogo Productos'!B23&lt;&gt;"",'Catálogo Productos'!C23,"")</f>
        <v>Bateria</v>
      </c>
      <c r="D26" s="125">
        <f>IF('Catálogo Productos'!B23&lt;&gt;"",COUNTIF('Febrero 2026 - Ventas'!$C$5:$C$63,'Catálogo Productos'!B23)+COUNTIF('Marzo 2026 - Ventas'!$C$5:$C$63,'Catálogo Productos'!B23)+COUNTIF('Abril 2026 - Ventas'!$C$5:$C$166,'Catálogo Productos'!B23),"")</f>
        <v>1</v>
      </c>
      <c r="E26" s="126">
        <f>IF('Catálogo Productos'!B23&lt;&gt;"",SUMIF('Febrero 2026 - Ventas'!$C$5:$C$63,'Catálogo Productos'!B23,'Febrero 2026 - Ventas'!$J$5:$J$63)+SUMIF('Marzo 2026 - Ventas'!$C$5:$C$63,'Catálogo Productos'!B23,'Marzo 2026 - Ventas'!$J$5:$J$63)+SUMIF('Abril 2026 - Ventas'!$C$5:$C$166,'Catálogo Productos'!B23,'Abril 2026 - Ventas'!$J$5:$J$166),"")</f>
        <v>0</v>
      </c>
      <c r="F26" s="126">
        <f>IF('Catálogo Productos'!B23&lt;&gt;"",SUMIF('Febrero 2026 - Ventas'!$C$5:$C$63,'Catálogo Productos'!B23,'Febrero 2026 - Ventas'!$K$5:$K$63)+SUMIF('Marzo 2026 - Ventas'!$C$5:$C$63,'Catálogo Productos'!B23,'Marzo 2026 - Ventas'!$K$5:$K$63)+SUMIF('Abril 2026 - Ventas'!$C$5:$C$166,'Catálogo Productos'!B23,'Abril 2026 - Ventas'!$K$5:$K$166),"")</f>
        <v>4.45</v>
      </c>
      <c r="G26" s="127" t="str">
        <f>IF(OR(NOT('Catálogo Productos'!B23&lt;&gt;""),E26="",E26=0),"",F26/E26)</f>
        <v/>
      </c>
      <c r="H26" s="128">
        <f>IF('Catálogo Productos'!B23&lt;&gt;"",'Catálogo Productos'!H78,"")</f>
        <v>24</v>
      </c>
      <c r="I26" s="129" t="str">
        <f>IF('Catálogo Productos'!B23&lt;&gt;"",'Catálogo Productos'!L78,"")</f>
        <v>🟢 OK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61">
        <f>IF('Catálogo Productos'!B24&lt;&gt;"",COUNTA('Catálogo Productos'!$B$4:$B24),"")</f>
        <v>21</v>
      </c>
      <c r="B27" s="124" t="str">
        <f>IF('Catálogo Productos'!B24&lt;&gt;"",'Catálogo Productos'!B24,"")</f>
        <v>Daddario 10-46 Electrica</v>
      </c>
      <c r="C27" s="124" t="str">
        <f>IF('Catálogo Productos'!B24&lt;&gt;"",'Catálogo Productos'!C24,"")</f>
        <v>Guitarra Electrica</v>
      </c>
      <c r="D27" s="125">
        <f>IF('Catálogo Productos'!B24&lt;&gt;"",COUNTIF('Febrero 2026 - Ventas'!$C$5:$C$63,'Catálogo Productos'!B24)+COUNTIF('Marzo 2026 - Ventas'!$C$5:$C$63,'Catálogo Productos'!B24)+COUNTIF('Abril 2026 - Ventas'!$C$5:$C$166,'Catálogo Productos'!B24),"")</f>
        <v>0</v>
      </c>
      <c r="E27" s="126">
        <f>IF('Catálogo Productos'!B24&lt;&gt;"",SUMIF('Febrero 2026 - Ventas'!$C$5:$C$63,'Catálogo Productos'!B24,'Febrero 2026 - Ventas'!$J$5:$J$63)+SUMIF('Marzo 2026 - Ventas'!$C$5:$C$63,'Catálogo Productos'!B24,'Marzo 2026 - Ventas'!$J$5:$J$63)+SUMIF('Abril 2026 - Ventas'!$C$5:$C$166,'Catálogo Productos'!B24,'Abril 2026 - Ventas'!$J$5:$J$166),"")</f>
        <v>0</v>
      </c>
      <c r="F27" s="126">
        <f>IF('Catálogo Productos'!B24&lt;&gt;"",SUMIF('Febrero 2026 - Ventas'!$C$5:$C$63,'Catálogo Productos'!B24,'Febrero 2026 - Ventas'!$K$5:$K$63)+SUMIF('Marzo 2026 - Ventas'!$C$5:$C$63,'Catálogo Productos'!B24,'Marzo 2026 - Ventas'!$K$5:$K$63)+SUMIF('Abril 2026 - Ventas'!$C$5:$C$166,'Catálogo Productos'!B24,'Abril 2026 - Ventas'!$K$5:$K$166),"")</f>
        <v>0</v>
      </c>
      <c r="G27" s="127" t="str">
        <f>IF(OR(NOT('Catálogo Productos'!B24&lt;&gt;""),E27="",E27=0),"",F27/E27)</f>
        <v/>
      </c>
      <c r="H27" s="128">
        <f>IF('Catálogo Productos'!B24&lt;&gt;"",'Catálogo Productos'!H79,"")</f>
        <v>0</v>
      </c>
      <c r="I27" s="129" t="str">
        <f>IF('Catálogo Productos'!B24&lt;&gt;"",'Catálogo Productos'!L79,"")</f>
        <v>🔴 Sin stock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61">
        <f>IF('Catálogo Productos'!B25&lt;&gt;"",COUNTA('Catálogo Productos'!$B$4:$B25),"")</f>
        <v>22</v>
      </c>
      <c r="B28" s="124" t="str">
        <f>IF('Catálogo Productos'!B25&lt;&gt;"",'Catálogo Productos'!B25,"")</f>
        <v>Daddario 09-44 Electrica</v>
      </c>
      <c r="C28" s="124" t="str">
        <f>IF('Catálogo Productos'!B25&lt;&gt;"",'Catálogo Productos'!C25,"")</f>
        <v>Guitarra Electrica</v>
      </c>
      <c r="D28" s="125">
        <f>IF('Catálogo Productos'!B25&lt;&gt;"",COUNTIF('Febrero 2026 - Ventas'!$C$5:$C$63,'Catálogo Productos'!B25)+COUNTIF('Marzo 2026 - Ventas'!$C$5:$C$63,'Catálogo Productos'!B25)+COUNTIF('Abril 2026 - Ventas'!$C$5:$C$166,'Catálogo Productos'!B25),"")</f>
        <v>0</v>
      </c>
      <c r="E28" s="126">
        <f>IF('Catálogo Productos'!B25&lt;&gt;"",SUMIF('Febrero 2026 - Ventas'!$C$5:$C$63,'Catálogo Productos'!B25,'Febrero 2026 - Ventas'!$J$5:$J$63)+SUMIF('Marzo 2026 - Ventas'!$C$5:$C$63,'Catálogo Productos'!B25,'Marzo 2026 - Ventas'!$J$5:$J$63)+SUMIF('Abril 2026 - Ventas'!$C$5:$C$166,'Catálogo Productos'!B25,'Abril 2026 - Ventas'!$J$5:$J$166),"")</f>
        <v>0</v>
      </c>
      <c r="F28" s="126">
        <f>IF('Catálogo Productos'!B25&lt;&gt;"",SUMIF('Febrero 2026 - Ventas'!$C$5:$C$63,'Catálogo Productos'!B25,'Febrero 2026 - Ventas'!$K$5:$K$63)+SUMIF('Marzo 2026 - Ventas'!$C$5:$C$63,'Catálogo Productos'!B25,'Marzo 2026 - Ventas'!$K$5:$K$63)+SUMIF('Abril 2026 - Ventas'!$C$5:$C$166,'Catálogo Productos'!B25,'Abril 2026 - Ventas'!$K$5:$K$166),"")</f>
        <v>0</v>
      </c>
      <c r="G28" s="127" t="str">
        <f>IF(OR(NOT('Catálogo Productos'!B25&lt;&gt;""),E28="",E28=0),"",F28/E28)</f>
        <v/>
      </c>
      <c r="H28" s="128">
        <f>IF('Catálogo Productos'!B25&lt;&gt;"",'Catálogo Productos'!H80,"")</f>
        <v>0</v>
      </c>
      <c r="I28" s="129" t="str">
        <f>IF('Catálogo Productos'!B25&lt;&gt;"",'Catálogo Productos'!L80,"")</f>
        <v>🔴 Sin stock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61">
        <f>IF('Catálogo Productos'!B26&lt;&gt;"",COUNTA('Catálogo Productos'!$B$4:$B26),"")</f>
        <v>23</v>
      </c>
      <c r="B29" s="124" t="str">
        <f>IF('Catálogo Productos'!B26&lt;&gt;"",'Catálogo Productos'!B26,"")</f>
        <v>Clavijas de Bajo Mariposa Detallado</v>
      </c>
      <c r="C29" s="124" t="str">
        <f>IF('Catálogo Productos'!B26&lt;&gt;"",'Catálogo Productos'!C26,"")</f>
        <v>Bajo</v>
      </c>
      <c r="D29" s="125">
        <f>IF('Catálogo Productos'!B26&lt;&gt;"",COUNTIF('Febrero 2026 - Ventas'!$C$5:$C$63,'Catálogo Productos'!B26)+COUNTIF('Marzo 2026 - Ventas'!$C$5:$C$63,'Catálogo Productos'!B26)+COUNTIF('Abril 2026 - Ventas'!$C$5:$C$166,'Catálogo Productos'!B26),"")</f>
        <v>1</v>
      </c>
      <c r="E29" s="126">
        <f>IF('Catálogo Productos'!B26&lt;&gt;"",SUMIF('Febrero 2026 - Ventas'!$C$5:$C$63,'Catálogo Productos'!B26,'Febrero 2026 - Ventas'!$J$5:$J$63)+SUMIF('Marzo 2026 - Ventas'!$C$5:$C$63,'Catálogo Productos'!B26,'Marzo 2026 - Ventas'!$J$5:$J$63)+SUMIF('Abril 2026 - Ventas'!$C$5:$C$166,'Catálogo Productos'!B26,'Abril 2026 - Ventas'!$J$5:$J$166),"")</f>
        <v>1.3</v>
      </c>
      <c r="F29" s="126">
        <f>IF('Catálogo Productos'!B26&lt;&gt;"",SUMIF('Febrero 2026 - Ventas'!$C$5:$C$63,'Catálogo Productos'!B26,'Febrero 2026 - Ventas'!$K$5:$K$63)+SUMIF('Marzo 2026 - Ventas'!$C$5:$C$63,'Catálogo Productos'!B26,'Marzo 2026 - Ventas'!$K$5:$K$63)+SUMIF('Abril 2026 - Ventas'!$C$5:$C$166,'Catálogo Productos'!B26,'Abril 2026 - Ventas'!$K$5:$K$166),"")</f>
        <v>7.6</v>
      </c>
      <c r="G29" s="127">
        <f>IF(OR(NOT('Catálogo Productos'!B26&lt;&gt;""),E29="",E29=0),"",F29/E29)</f>
        <v>5.846153846</v>
      </c>
      <c r="H29" s="128">
        <f>IF('Catálogo Productos'!B26&lt;&gt;"",'Catálogo Productos'!H81,"")</f>
        <v>0</v>
      </c>
      <c r="I29" s="129" t="str">
        <f>IF('Catálogo Productos'!B26&lt;&gt;"",'Catálogo Productos'!L81,"")</f>
        <v>🔴 Sin stock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61">
        <f>IF('Catálogo Productos'!B27&lt;&gt;"",COUNTA('Catálogo Productos'!$B$4:$B27),"")</f>
        <v>24</v>
      </c>
      <c r="B30" s="124" t="str">
        <f>IF('Catálogo Productos'!B27&lt;&gt;"",'Catálogo Productos'!B27,"")</f>
        <v>Pickguard Negro Guitarra Acustica</v>
      </c>
      <c r="C30" s="124" t="str">
        <f>IF('Catálogo Productos'!B27&lt;&gt;"",'Catálogo Productos'!C27,"")</f>
        <v>Guitarra Acustica</v>
      </c>
      <c r="D30" s="125">
        <f>IF('Catálogo Productos'!B27&lt;&gt;"",COUNTIF('Febrero 2026 - Ventas'!$C$5:$C$63,'Catálogo Productos'!B27)+COUNTIF('Marzo 2026 - Ventas'!$C$5:$C$63,'Catálogo Productos'!B27)+COUNTIF('Abril 2026 - Ventas'!$C$5:$C$166,'Catálogo Productos'!B27),"")</f>
        <v>2</v>
      </c>
      <c r="E30" s="126">
        <f>IF('Catálogo Productos'!B27&lt;&gt;"",SUMIF('Febrero 2026 - Ventas'!$C$5:$C$63,'Catálogo Productos'!B27,'Febrero 2026 - Ventas'!$J$5:$J$63)+SUMIF('Marzo 2026 - Ventas'!$C$5:$C$63,'Catálogo Productos'!B27,'Marzo 2026 - Ventas'!$J$5:$J$63)+SUMIF('Abril 2026 - Ventas'!$C$5:$C$166,'Catálogo Productos'!B27,'Abril 2026 - Ventas'!$J$5:$J$166),"")</f>
        <v>2.6</v>
      </c>
      <c r="F30" s="126">
        <f>IF('Catálogo Productos'!B27&lt;&gt;"",SUMIF('Febrero 2026 - Ventas'!$C$5:$C$63,'Catálogo Productos'!B27,'Febrero 2026 - Ventas'!$K$5:$K$63)+SUMIF('Marzo 2026 - Ventas'!$C$5:$C$63,'Catálogo Productos'!B27,'Marzo 2026 - Ventas'!$K$5:$K$63)+SUMIF('Abril 2026 - Ventas'!$C$5:$C$166,'Catálogo Productos'!B27,'Abril 2026 - Ventas'!$K$5:$K$166),"")</f>
        <v>6.3</v>
      </c>
      <c r="G30" s="127">
        <f>IF(OR(NOT('Catálogo Productos'!B27&lt;&gt;""),E30="",E30=0),"",F30/E30)</f>
        <v>2.423076923</v>
      </c>
      <c r="H30" s="128">
        <f>IF('Catálogo Productos'!B27&lt;&gt;"",'Catálogo Productos'!H82,"")</f>
        <v>0</v>
      </c>
      <c r="I30" s="129" t="str">
        <f>IF('Catálogo Productos'!B27&lt;&gt;"",'Catálogo Productos'!L82,"")</f>
        <v>🔴 Sin stock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61">
        <f>IF('Catálogo Productos'!B28&lt;&gt;"",COUNTA('Catálogo Productos'!$B$4:$B28),"")</f>
        <v>25</v>
      </c>
      <c r="B31" s="124" t="str">
        <f>IF('Catálogo Productos'!B28&lt;&gt;"",'Catálogo Productos'!B28,"")</f>
        <v>Ernie Ball Power Slinky</v>
      </c>
      <c r="C31" s="124" t="str">
        <f>IF('Catálogo Productos'!B28&lt;&gt;"",'Catálogo Productos'!C28,"")</f>
        <v>Guitarra Electrica</v>
      </c>
      <c r="D31" s="125">
        <f>IF('Catálogo Productos'!B28&lt;&gt;"",COUNTIF('Febrero 2026 - Ventas'!$C$5:$C$63,'Catálogo Productos'!B28)+COUNTIF('Marzo 2026 - Ventas'!$C$5:$C$63,'Catálogo Productos'!B28)+COUNTIF('Abril 2026 - Ventas'!$C$5:$C$166,'Catálogo Productos'!B28),"")</f>
        <v>0</v>
      </c>
      <c r="E31" s="126">
        <f>IF('Catálogo Productos'!B28&lt;&gt;"",SUMIF('Febrero 2026 - Ventas'!$C$5:$C$63,'Catálogo Productos'!B28,'Febrero 2026 - Ventas'!$J$5:$J$63)+SUMIF('Marzo 2026 - Ventas'!$C$5:$C$63,'Catálogo Productos'!B28,'Marzo 2026 - Ventas'!$J$5:$J$63)+SUMIF('Abril 2026 - Ventas'!$C$5:$C$166,'Catálogo Productos'!B28,'Abril 2026 - Ventas'!$J$5:$J$166),"")</f>
        <v>0</v>
      </c>
      <c r="F31" s="126">
        <f>IF('Catálogo Productos'!B28&lt;&gt;"",SUMIF('Febrero 2026 - Ventas'!$C$5:$C$63,'Catálogo Productos'!B28,'Febrero 2026 - Ventas'!$K$5:$K$63)+SUMIF('Marzo 2026 - Ventas'!$C$5:$C$63,'Catálogo Productos'!B28,'Marzo 2026 - Ventas'!$K$5:$K$63)+SUMIF('Abril 2026 - Ventas'!$C$5:$C$166,'Catálogo Productos'!B28,'Abril 2026 - Ventas'!$K$5:$K$166),"")</f>
        <v>0</v>
      </c>
      <c r="G31" s="127" t="str">
        <f>IF(OR(NOT('Catálogo Productos'!B28&lt;&gt;""),E31="",E31=0),"",F31/E31)</f>
        <v/>
      </c>
      <c r="H31" s="128">
        <f>IF('Catálogo Productos'!B28&lt;&gt;"",'Catálogo Productos'!H83,"")</f>
        <v>0</v>
      </c>
      <c r="I31" s="129" t="str">
        <f>IF('Catálogo Productos'!B28&lt;&gt;"",'Catálogo Productos'!L83,"")</f>
        <v>🔴 Sin stock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61">
        <f>IF('Catálogo Productos'!B29&lt;&gt;"",COUNTA('Catálogo Productos'!$B$4:$B29),"")</f>
        <v>26</v>
      </c>
      <c r="B32" s="124" t="str">
        <f>IF('Catálogo Productos'!B29&lt;&gt;"",'Catálogo Productos'!B29,"")</f>
        <v>Ernie Ball Super Slinky</v>
      </c>
      <c r="C32" s="124" t="str">
        <f>IF('Catálogo Productos'!B29&lt;&gt;"",'Catálogo Productos'!C29,"")</f>
        <v>Guitarra Electrica</v>
      </c>
      <c r="D32" s="125">
        <f>IF('Catálogo Productos'!B29&lt;&gt;"",COUNTIF('Febrero 2026 - Ventas'!$C$5:$C$63,'Catálogo Productos'!B29)+COUNTIF('Marzo 2026 - Ventas'!$C$5:$C$63,'Catálogo Productos'!B29)+COUNTIF('Abril 2026 - Ventas'!$C$5:$C$166,'Catálogo Productos'!B29),"")</f>
        <v>0</v>
      </c>
      <c r="E32" s="126">
        <f>IF('Catálogo Productos'!B29&lt;&gt;"",SUMIF('Febrero 2026 - Ventas'!$C$5:$C$63,'Catálogo Productos'!B29,'Febrero 2026 - Ventas'!$J$5:$J$63)+SUMIF('Marzo 2026 - Ventas'!$C$5:$C$63,'Catálogo Productos'!B29,'Marzo 2026 - Ventas'!$J$5:$J$63)+SUMIF('Abril 2026 - Ventas'!$C$5:$C$166,'Catálogo Productos'!B29,'Abril 2026 - Ventas'!$J$5:$J$166),"")</f>
        <v>0</v>
      </c>
      <c r="F32" s="126">
        <f>IF('Catálogo Productos'!B29&lt;&gt;"",SUMIF('Febrero 2026 - Ventas'!$C$5:$C$63,'Catálogo Productos'!B29,'Febrero 2026 - Ventas'!$K$5:$K$63)+SUMIF('Marzo 2026 - Ventas'!$C$5:$C$63,'Catálogo Productos'!B29,'Marzo 2026 - Ventas'!$K$5:$K$63)+SUMIF('Abril 2026 - Ventas'!$C$5:$C$166,'Catálogo Productos'!B29,'Abril 2026 - Ventas'!$K$5:$K$166),"")</f>
        <v>0</v>
      </c>
      <c r="G32" s="127" t="str">
        <f>IF(OR(NOT('Catálogo Productos'!B29&lt;&gt;""),E32="",E32=0),"",F32/E32)</f>
        <v/>
      </c>
      <c r="H32" s="128">
        <f>IF('Catálogo Productos'!B29&lt;&gt;"",'Catálogo Productos'!H84,"")</f>
        <v>0</v>
      </c>
      <c r="I32" s="129" t="str">
        <f>IF('Catálogo Productos'!B29&lt;&gt;"",'Catálogo Productos'!L84,"")</f>
        <v>🔴 Sin stock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61">
        <f>IF('Catálogo Productos'!B30&lt;&gt;"",COUNTA('Catálogo Productos'!$B$4:$B30),"")</f>
        <v>27</v>
      </c>
      <c r="B33" s="124" t="str">
        <f>IF('Catálogo Productos'!B30&lt;&gt;"",'Catálogo Productos'!B30,"")</f>
        <v>Ernie Ball Regular Slinky</v>
      </c>
      <c r="C33" s="124" t="str">
        <f>IF('Catálogo Productos'!B30&lt;&gt;"",'Catálogo Productos'!C30,"")</f>
        <v>Guitarra Electrica</v>
      </c>
      <c r="D33" s="125">
        <f>IF('Catálogo Productos'!B30&lt;&gt;"",COUNTIF('Febrero 2026 - Ventas'!$C$5:$C$63,'Catálogo Productos'!B30)+COUNTIF('Marzo 2026 - Ventas'!$C$5:$C$63,'Catálogo Productos'!B30)+COUNTIF('Abril 2026 - Ventas'!$C$5:$C$166,'Catálogo Productos'!B30),"")</f>
        <v>0</v>
      </c>
      <c r="E33" s="126">
        <f>IF('Catálogo Productos'!B30&lt;&gt;"",SUMIF('Febrero 2026 - Ventas'!$C$5:$C$63,'Catálogo Productos'!B30,'Febrero 2026 - Ventas'!$J$5:$J$63)+SUMIF('Marzo 2026 - Ventas'!$C$5:$C$63,'Catálogo Productos'!B30,'Marzo 2026 - Ventas'!$J$5:$J$63)+SUMIF('Abril 2026 - Ventas'!$C$5:$C$166,'Catálogo Productos'!B30,'Abril 2026 - Ventas'!$J$5:$J$166),"")</f>
        <v>0</v>
      </c>
      <c r="F33" s="126">
        <f>IF('Catálogo Productos'!B30&lt;&gt;"",SUMIF('Febrero 2026 - Ventas'!$C$5:$C$63,'Catálogo Productos'!B30,'Febrero 2026 - Ventas'!$K$5:$K$63)+SUMIF('Marzo 2026 - Ventas'!$C$5:$C$63,'Catálogo Productos'!B30,'Marzo 2026 - Ventas'!$K$5:$K$63)+SUMIF('Abril 2026 - Ventas'!$C$5:$C$166,'Catálogo Productos'!B30,'Abril 2026 - Ventas'!$K$5:$K$166),"")</f>
        <v>0</v>
      </c>
      <c r="G33" s="127" t="str">
        <f>IF(OR(NOT('Catálogo Productos'!B30&lt;&gt;""),E33="",E33=0),"",F33/E33)</f>
        <v/>
      </c>
      <c r="H33" s="128">
        <v>6.0</v>
      </c>
      <c r="I33" s="129" t="str">
        <f>IF('Catálogo Productos'!B30&lt;&gt;"",'Catálogo Productos'!L85,"")</f>
        <v>🔴 Sin stock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61">
        <f>IF('Catálogo Productos'!B31&lt;&gt;"",COUNTA('Catálogo Productos'!$B$4:$B31),"")</f>
        <v>28</v>
      </c>
      <c r="B34" s="124" t="str">
        <f>IF('Catálogo Productos'!B31&lt;&gt;"",'Catálogo Productos'!B31,"")</f>
        <v>Puente Violin 4/4</v>
      </c>
      <c r="C34" s="124" t="str">
        <f>IF('Catálogo Productos'!B31&lt;&gt;"",'Catálogo Productos'!C31,"")</f>
        <v>Violin</v>
      </c>
      <c r="D34" s="125">
        <f>IF('Catálogo Productos'!B31&lt;&gt;"",COUNTIF('Febrero 2026 - Ventas'!$C$5:$C$63,'Catálogo Productos'!B31)+COUNTIF('Marzo 2026 - Ventas'!$C$5:$C$63,'Catálogo Productos'!B31)+COUNTIF('Abril 2026 - Ventas'!$C$5:$C$166,'Catálogo Productos'!B31),"")</f>
        <v>1</v>
      </c>
      <c r="E34" s="126">
        <f>IF('Catálogo Productos'!B31&lt;&gt;"",SUMIF('Febrero 2026 - Ventas'!$C$5:$C$63,'Catálogo Productos'!B31,'Febrero 2026 - Ventas'!$J$5:$J$63)+SUMIF('Marzo 2026 - Ventas'!$C$5:$C$63,'Catálogo Productos'!B31,'Marzo 2026 - Ventas'!$J$5:$J$63)+SUMIF('Abril 2026 - Ventas'!$C$5:$C$166,'Catálogo Productos'!B31,'Abril 2026 - Ventas'!$J$5:$J$166),"")</f>
        <v>0</v>
      </c>
      <c r="F34" s="126">
        <f>IF('Catálogo Productos'!B31&lt;&gt;"",SUMIF('Febrero 2026 - Ventas'!$C$5:$C$63,'Catálogo Productos'!B31,'Febrero 2026 - Ventas'!$K$5:$K$63)+SUMIF('Marzo 2026 - Ventas'!$C$5:$C$63,'Catálogo Productos'!B31,'Marzo 2026 - Ventas'!$K$5:$K$63)+SUMIF('Abril 2026 - Ventas'!$C$5:$C$166,'Catálogo Productos'!B31,'Abril 2026 - Ventas'!$K$5:$K$166),"")</f>
        <v>4.45</v>
      </c>
      <c r="G34" s="127" t="str">
        <f>IF(OR(NOT('Catálogo Productos'!B31&lt;&gt;""),E34="",E34=0),"",F34/E34)</f>
        <v/>
      </c>
      <c r="H34" s="130">
        <v>12.0</v>
      </c>
      <c r="I34" s="129" t="str">
        <f>IF('Catálogo Productos'!B31&lt;&gt;"",'Catálogo Productos'!L86,"")</f>
        <v>🔴 Sin stock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61">
        <f>IF('Catálogo Productos'!B32&lt;&gt;"",COUNTA('Catálogo Productos'!$B$4:$B32),"")</f>
        <v>29</v>
      </c>
      <c r="B35" s="124" t="str">
        <f>IF('Catálogo Productos'!B32&lt;&gt;"",'Catálogo Productos'!B32,"")</f>
        <v>Puente Violin 3/4</v>
      </c>
      <c r="C35" s="124" t="str">
        <f>IF('Catálogo Productos'!B32&lt;&gt;"",'Catálogo Productos'!C32,"")</f>
        <v>Violin</v>
      </c>
      <c r="D35" s="125">
        <f>IF('Catálogo Productos'!B32&lt;&gt;"",COUNTIF('Marzo 2026 - Ventas'!$C$5:$C$63,'Catálogo Productos'!B32),"")</f>
        <v>0</v>
      </c>
      <c r="E35" s="126">
        <f>IF('Catálogo Productos'!B32&lt;&gt;"",SUMIF('Marzo 2026 - Ventas'!$C$5:$C$63,'Catálogo Productos'!B32,'Marzo 2026 - Ventas'!$J$5:$J$63),"")</f>
        <v>0</v>
      </c>
      <c r="F35" s="126">
        <f>IF('Catálogo Productos'!B32&lt;&gt;"",SUMIF('Marzo 2026 - Ventas'!$C$5:$C$63,'Catálogo Productos'!B32,'Marzo 2026 - Ventas'!$K$5:$K$63),"")</f>
        <v>0</v>
      </c>
      <c r="G35" s="127" t="str">
        <f>IF(OR(NOT('Catálogo Productos'!B32&lt;&gt;""),E35="",E35=0),"",F35/E35)</f>
        <v/>
      </c>
      <c r="H35" s="130">
        <v>12.0</v>
      </c>
      <c r="I35" s="129" t="str">
        <f>IF('Catálogo Productos'!B32&lt;&gt;"",'Catálogo Productos'!L87,"")</f>
        <v>🔴 Sin stock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61" t="str">
        <f>IF('Catálogo Productos'!B33&lt;&gt;"",COUNTA('Catálogo Productos'!$B$4:$B33),"")</f>
        <v/>
      </c>
      <c r="B36" s="124" t="str">
        <f>IF('Catálogo Productos'!B33&lt;&gt;"",'Catálogo Productos'!B33,"")</f>
        <v/>
      </c>
      <c r="C36" s="124" t="str">
        <f>IF('Catálogo Productos'!B33&lt;&gt;"",'Catálogo Productos'!C33,"")</f>
        <v/>
      </c>
      <c r="D36" s="125" t="str">
        <f>IF('Catálogo Productos'!B33&lt;&gt;"",COUNTIF('Marzo 2026 - Ventas'!$C$5:$C$63,'Catálogo Productos'!B33),"")</f>
        <v/>
      </c>
      <c r="E36" s="126" t="str">
        <f>IF('Catálogo Productos'!B33&lt;&gt;"",SUMIF('Marzo 2026 - Ventas'!$C$5:$C$63,'Catálogo Productos'!B33,'Marzo 2026 - Ventas'!$J$5:$J$63),"")</f>
        <v/>
      </c>
      <c r="F36" s="126" t="str">
        <f>IF('Catálogo Productos'!B33&lt;&gt;"",SUMIF('Marzo 2026 - Ventas'!$C$5:$C$63,'Catálogo Productos'!B33,'Marzo 2026 - Ventas'!$K$5:$K$63),"")</f>
        <v/>
      </c>
      <c r="G36" s="127" t="str">
        <f>IF(OR(NOT('Catálogo Productos'!B33&lt;&gt;""),E36="",E36=0),"",F36/E36)</f>
        <v/>
      </c>
      <c r="H36" s="128" t="str">
        <f>IF('Catálogo Productos'!B33&lt;&gt;"",'Catálogo Productos'!H88,"")</f>
        <v/>
      </c>
      <c r="I36" s="129" t="str">
        <f>IF('Catálogo Productos'!B33&lt;&gt;"",'Catálogo Productos'!L88,"")</f>
        <v/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61" t="str">
        <f>IF('Catálogo Productos'!B34&lt;&gt;"",COUNTA('Catálogo Productos'!$B$4:$B34),"")</f>
        <v/>
      </c>
      <c r="B37" s="124" t="str">
        <f>IF('Catálogo Productos'!B34&lt;&gt;"",'Catálogo Productos'!B34,"")</f>
        <v/>
      </c>
      <c r="C37" s="124" t="str">
        <f>IF('Catálogo Productos'!B34&lt;&gt;"",'Catálogo Productos'!C34,"")</f>
        <v/>
      </c>
      <c r="D37" s="125" t="str">
        <f>IF('Catálogo Productos'!B34&lt;&gt;"",COUNTIF('Marzo 2026 - Ventas'!$C$5:$C$63,'Catálogo Productos'!B34),"")</f>
        <v/>
      </c>
      <c r="E37" s="126" t="str">
        <f>IF('Catálogo Productos'!B34&lt;&gt;"",SUMIF('Marzo 2026 - Ventas'!$C$5:$C$63,'Catálogo Productos'!B34,'Marzo 2026 - Ventas'!$J$5:$J$63),"")</f>
        <v/>
      </c>
      <c r="F37" s="126" t="str">
        <f>IF('Catálogo Productos'!B34&lt;&gt;"",SUMIF('Marzo 2026 - Ventas'!$C$5:$C$63,'Catálogo Productos'!B34,'Marzo 2026 - Ventas'!$K$5:$K$63),"")</f>
        <v/>
      </c>
      <c r="G37" s="127" t="str">
        <f>IF(OR(NOT('Catálogo Productos'!B34&lt;&gt;""),E37="",E37=0),"",F37/E37)</f>
        <v/>
      </c>
      <c r="H37" s="128" t="str">
        <f>IF('Catálogo Productos'!B34&lt;&gt;"",'Catálogo Productos'!H89,"")</f>
        <v/>
      </c>
      <c r="I37" s="129" t="str">
        <f>IF('Catálogo Productos'!B34&lt;&gt;"",'Catálogo Productos'!L89,"")</f>
        <v/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61" t="str">
        <f>IF('Catálogo Productos'!B35&lt;&gt;"",COUNTA('Catálogo Productos'!$B$4:$B35),"")</f>
        <v/>
      </c>
      <c r="B38" s="124" t="str">
        <f>IF('Catálogo Productos'!B35&lt;&gt;"",'Catálogo Productos'!B35,"")</f>
        <v/>
      </c>
      <c r="C38" s="124" t="str">
        <f>IF('Catálogo Productos'!B35&lt;&gt;"",'Catálogo Productos'!C35,"")</f>
        <v/>
      </c>
      <c r="D38" s="125" t="str">
        <f>IF('Catálogo Productos'!B35&lt;&gt;"",COUNTIF('Marzo 2026 - Ventas'!$C$5:$C$63,'Catálogo Productos'!B35),"")</f>
        <v/>
      </c>
      <c r="E38" s="126" t="str">
        <f>IF('Catálogo Productos'!B35&lt;&gt;"",SUMIF('Marzo 2026 - Ventas'!$C$5:$C$63,'Catálogo Productos'!B35,'Marzo 2026 - Ventas'!$J$5:$J$63),"")</f>
        <v/>
      </c>
      <c r="F38" s="126" t="str">
        <f>IF('Catálogo Productos'!B35&lt;&gt;"",SUMIF('Marzo 2026 - Ventas'!$C$5:$C$63,'Catálogo Productos'!B35,'Marzo 2026 - Ventas'!$K$5:$K$63),"")</f>
        <v/>
      </c>
      <c r="G38" s="127" t="str">
        <f>IF(OR(NOT('Catálogo Productos'!B35&lt;&gt;""),E38="",E38=0),"",F38/E38)</f>
        <v/>
      </c>
      <c r="H38" s="128" t="str">
        <f>IF('Catálogo Productos'!B35&lt;&gt;"",'Catálogo Productos'!H90,"")</f>
        <v/>
      </c>
      <c r="I38" s="129" t="str">
        <f>IF('Catálogo Productos'!B35&lt;&gt;"",'Catálogo Productos'!L90,"")</f>
        <v/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61" t="str">
        <f>IF('Catálogo Productos'!B36&lt;&gt;"",COUNTA('Catálogo Productos'!$B$4:$B36),"")</f>
        <v/>
      </c>
      <c r="B39" s="124" t="str">
        <f>IF('Catálogo Productos'!B36&lt;&gt;"",'Catálogo Productos'!B36,"")</f>
        <v/>
      </c>
      <c r="C39" s="124" t="str">
        <f>IF('Catálogo Productos'!B36&lt;&gt;"",'Catálogo Productos'!C36,"")</f>
        <v/>
      </c>
      <c r="D39" s="125" t="str">
        <f>IF('Catálogo Productos'!B36&lt;&gt;"",COUNTIF('Marzo 2026 - Ventas'!$C$5:$C$63,'Catálogo Productos'!B36),"")</f>
        <v/>
      </c>
      <c r="E39" s="126" t="str">
        <f>IF('Catálogo Productos'!B36&lt;&gt;"",SUMIF('Marzo 2026 - Ventas'!$C$5:$C$63,'Catálogo Productos'!B36,'Marzo 2026 - Ventas'!$J$5:$J$63),"")</f>
        <v/>
      </c>
      <c r="F39" s="126" t="str">
        <f>IF('Catálogo Productos'!B36&lt;&gt;"",SUMIF('Marzo 2026 - Ventas'!$C$5:$C$63,'Catálogo Productos'!B36,'Marzo 2026 - Ventas'!$K$5:$K$63),"")</f>
        <v/>
      </c>
      <c r="G39" s="127" t="str">
        <f>IF(OR(NOT('Catálogo Productos'!B36&lt;&gt;""),E39="",E39=0),"",F39/E39)</f>
        <v/>
      </c>
      <c r="H39" s="128" t="str">
        <f>IF('Catálogo Productos'!B36&lt;&gt;"",'Catálogo Productos'!H91,"")</f>
        <v/>
      </c>
      <c r="I39" s="129" t="str">
        <f>IF('Catálogo Productos'!B36&lt;&gt;"",'Catálogo Productos'!L91,"")</f>
        <v/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61" t="str">
        <f>IF('Catálogo Productos'!B37&lt;&gt;"",COUNTA('Catálogo Productos'!$B$4:$B37),"")</f>
        <v/>
      </c>
      <c r="B40" s="124" t="str">
        <f>IF('Catálogo Productos'!B37&lt;&gt;"",'Catálogo Productos'!B37,"")</f>
        <v/>
      </c>
      <c r="C40" s="124" t="str">
        <f>IF('Catálogo Productos'!B37&lt;&gt;"",'Catálogo Productos'!C37,"")</f>
        <v/>
      </c>
      <c r="D40" s="125" t="str">
        <f>IF('Catálogo Productos'!B37&lt;&gt;"",COUNTIF('Marzo 2026 - Ventas'!$C$5:$C$63,'Catálogo Productos'!B37),"")</f>
        <v/>
      </c>
      <c r="E40" s="126" t="str">
        <f>IF('Catálogo Productos'!B37&lt;&gt;"",SUMIF('Marzo 2026 - Ventas'!$C$5:$C$63,'Catálogo Productos'!B37,'Marzo 2026 - Ventas'!$J$5:$J$63),"")</f>
        <v/>
      </c>
      <c r="F40" s="126" t="str">
        <f>IF('Catálogo Productos'!B37&lt;&gt;"",SUMIF('Marzo 2026 - Ventas'!$C$5:$C$63,'Catálogo Productos'!B37,'Marzo 2026 - Ventas'!$K$5:$K$63),"")</f>
        <v/>
      </c>
      <c r="G40" s="127" t="str">
        <f>IF(OR(NOT('Catálogo Productos'!B37&lt;&gt;""),E40="",E40=0),"",F40/E40)</f>
        <v/>
      </c>
      <c r="H40" s="128" t="str">
        <f>IF('Catálogo Productos'!B37&lt;&gt;"",'Catálogo Productos'!H92,"")</f>
        <v/>
      </c>
      <c r="I40" s="129" t="str">
        <f>IF('Catálogo Productos'!B37&lt;&gt;"",'Catálogo Productos'!L92,"")</f>
        <v/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61" t="str">
        <f>IF('Catálogo Productos'!B38&lt;&gt;"",COUNTA('Catálogo Productos'!$B$4:$B38),"")</f>
        <v/>
      </c>
      <c r="B41" s="124" t="str">
        <f>IF('Catálogo Productos'!B38&lt;&gt;"",'Catálogo Productos'!B38,"")</f>
        <v/>
      </c>
      <c r="C41" s="124" t="str">
        <f>IF('Catálogo Productos'!B38&lt;&gt;"",'Catálogo Productos'!C38,"")</f>
        <v/>
      </c>
      <c r="D41" s="125" t="str">
        <f>IF('Catálogo Productos'!B38&lt;&gt;"",COUNTIF('Marzo 2026 - Ventas'!$C$5:$C$63,'Catálogo Productos'!B38),"")</f>
        <v/>
      </c>
      <c r="E41" s="126" t="str">
        <f>IF('Catálogo Productos'!B38&lt;&gt;"",SUMIF('Marzo 2026 - Ventas'!$C$5:$C$63,'Catálogo Productos'!B38,'Marzo 2026 - Ventas'!$J$5:$J$63),"")</f>
        <v/>
      </c>
      <c r="F41" s="126" t="str">
        <f>IF('Catálogo Productos'!B38&lt;&gt;"",SUMIF('Marzo 2026 - Ventas'!$C$5:$C$63,'Catálogo Productos'!B38,'Marzo 2026 - Ventas'!$K$5:$K$63),"")</f>
        <v/>
      </c>
      <c r="G41" s="127" t="str">
        <f>IF(OR(NOT('Catálogo Productos'!B38&lt;&gt;""),E41="",E41=0),"",F41/E41)</f>
        <v/>
      </c>
      <c r="H41" s="128" t="str">
        <f>IF('Catálogo Productos'!B38&lt;&gt;"",'Catálogo Productos'!H93,"")</f>
        <v/>
      </c>
      <c r="I41" s="129" t="str">
        <f>IF('Catálogo Productos'!B38&lt;&gt;"",'Catálogo Productos'!L93,"")</f>
        <v/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61" t="str">
        <f>IF('Catálogo Productos'!B39&lt;&gt;"",COUNTA('Catálogo Productos'!$B$4:$B39),"")</f>
        <v/>
      </c>
      <c r="B42" s="124" t="str">
        <f>IF('Catálogo Productos'!B39&lt;&gt;"",'Catálogo Productos'!B39,"")</f>
        <v/>
      </c>
      <c r="C42" s="124" t="str">
        <f>IF('Catálogo Productos'!B39&lt;&gt;"",'Catálogo Productos'!C39,"")</f>
        <v/>
      </c>
      <c r="D42" s="125" t="str">
        <f>IF('Catálogo Productos'!B39&lt;&gt;"",COUNTIF('Marzo 2026 - Ventas'!$C$5:$C$63,'Catálogo Productos'!B39),"")</f>
        <v/>
      </c>
      <c r="E42" s="126" t="str">
        <f>IF('Catálogo Productos'!B39&lt;&gt;"",SUMIF('Marzo 2026 - Ventas'!$C$5:$C$63,'Catálogo Productos'!B39,'Marzo 2026 - Ventas'!$J$5:$J$63),"")</f>
        <v/>
      </c>
      <c r="F42" s="126" t="str">
        <f>IF('Catálogo Productos'!B39&lt;&gt;"",SUMIF('Marzo 2026 - Ventas'!$C$5:$C$63,'Catálogo Productos'!B39,'Marzo 2026 - Ventas'!$K$5:$K$63),"")</f>
        <v/>
      </c>
      <c r="G42" s="127" t="str">
        <f>IF(OR(NOT('Catálogo Productos'!B39&lt;&gt;""),E42="",E42=0),"",F42/E42)</f>
        <v/>
      </c>
      <c r="H42" s="128" t="str">
        <f>IF('Catálogo Productos'!B39&lt;&gt;"",'Catálogo Productos'!H94,"")</f>
        <v/>
      </c>
      <c r="I42" s="129" t="str">
        <f>IF('Catálogo Productos'!B39&lt;&gt;"",'Catálogo Productos'!L94,"")</f>
        <v/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61" t="str">
        <f>IF('Catálogo Productos'!B40&lt;&gt;"",COUNTA('Catálogo Productos'!$B$4:$B40),"")</f>
        <v/>
      </c>
      <c r="B43" s="124" t="str">
        <f>IF('Catálogo Productos'!B40&lt;&gt;"",'Catálogo Productos'!B40,"")</f>
        <v/>
      </c>
      <c r="C43" s="124" t="str">
        <f>IF('Catálogo Productos'!B40&lt;&gt;"",'Catálogo Productos'!C40,"")</f>
        <v/>
      </c>
      <c r="D43" s="125" t="str">
        <f>IF('Catálogo Productos'!B40&lt;&gt;"",COUNTIF('Marzo 2026 - Ventas'!$C$5:$C$63,'Catálogo Productos'!B40),"")</f>
        <v/>
      </c>
      <c r="E43" s="126" t="str">
        <f>IF('Catálogo Productos'!B40&lt;&gt;"",SUMIF('Marzo 2026 - Ventas'!$C$5:$C$63,'Catálogo Productos'!B40,'Marzo 2026 - Ventas'!$J$5:$J$63),"")</f>
        <v/>
      </c>
      <c r="F43" s="126" t="str">
        <f>IF('Catálogo Productos'!B40&lt;&gt;"",SUMIF('Marzo 2026 - Ventas'!$C$5:$C$63,'Catálogo Productos'!B40,'Marzo 2026 - Ventas'!$K$5:$K$63),"")</f>
        <v/>
      </c>
      <c r="G43" s="127" t="str">
        <f>IF(OR(NOT('Catálogo Productos'!B40&lt;&gt;""),E43="",E43=0),"",F43/E43)</f>
        <v/>
      </c>
      <c r="H43" s="128" t="str">
        <f>IF('Catálogo Productos'!B40&lt;&gt;"",'Catálogo Productos'!H95,"")</f>
        <v/>
      </c>
      <c r="I43" s="129" t="str">
        <f>IF('Catálogo Productos'!B40&lt;&gt;"",'Catálogo Productos'!L95,"")</f>
        <v/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61" t="str">
        <f>IF('Catálogo Productos'!B41&lt;&gt;"",COUNTA('Catálogo Productos'!$B$4:$B41),"")</f>
        <v/>
      </c>
      <c r="B44" s="124" t="str">
        <f>IF('Catálogo Productos'!B41&lt;&gt;"",'Catálogo Productos'!B41,"")</f>
        <v/>
      </c>
      <c r="C44" s="124" t="str">
        <f>IF('Catálogo Productos'!B41&lt;&gt;"",'Catálogo Productos'!C41,"")</f>
        <v/>
      </c>
      <c r="D44" s="125" t="str">
        <f>IF('Catálogo Productos'!B41&lt;&gt;"",COUNTIF('Marzo 2026 - Ventas'!$C$5:$C$63,'Catálogo Productos'!B41),"")</f>
        <v/>
      </c>
      <c r="E44" s="126" t="str">
        <f>IF('Catálogo Productos'!B41&lt;&gt;"",SUMIF('Marzo 2026 - Ventas'!$C$5:$C$63,'Catálogo Productos'!B41,'Marzo 2026 - Ventas'!$J$5:$J$63),"")</f>
        <v/>
      </c>
      <c r="F44" s="126" t="str">
        <f>IF('Catálogo Productos'!B41&lt;&gt;"",SUMIF('Marzo 2026 - Ventas'!$C$5:$C$63,'Catálogo Productos'!B41,'Marzo 2026 - Ventas'!$K$5:$K$63),"")</f>
        <v/>
      </c>
      <c r="G44" s="127" t="str">
        <f>IF(OR(NOT('Catálogo Productos'!B41&lt;&gt;""),E44="",E44=0),"",F44/E44)</f>
        <v/>
      </c>
      <c r="H44" s="128" t="str">
        <f>IF('Catálogo Productos'!B41&lt;&gt;"",'Catálogo Productos'!H96,"")</f>
        <v/>
      </c>
      <c r="I44" s="129" t="str">
        <f>IF('Catálogo Productos'!B41&lt;&gt;"",'Catálogo Productos'!L96,"")</f>
        <v/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61" t="str">
        <f>IF('Catálogo Productos'!B42&lt;&gt;"",COUNTA('Catálogo Productos'!$B$4:$B42),"")</f>
        <v/>
      </c>
      <c r="B45" s="124" t="str">
        <f>IF('Catálogo Productos'!B42&lt;&gt;"",'Catálogo Productos'!B42,"")</f>
        <v/>
      </c>
      <c r="C45" s="124" t="str">
        <f>IF('Catálogo Productos'!B42&lt;&gt;"",'Catálogo Productos'!C42,"")</f>
        <v/>
      </c>
      <c r="D45" s="125" t="str">
        <f>IF('Catálogo Productos'!B42&lt;&gt;"",COUNTIF('Marzo 2026 - Ventas'!$C$5:$C$63,'Catálogo Productos'!B42),"")</f>
        <v/>
      </c>
      <c r="E45" s="126" t="str">
        <f>IF('Catálogo Productos'!B42&lt;&gt;"",SUMIF('Marzo 2026 - Ventas'!$C$5:$C$63,'Catálogo Productos'!B42,'Marzo 2026 - Ventas'!$J$5:$J$63),"")</f>
        <v/>
      </c>
      <c r="F45" s="126" t="str">
        <f>IF('Catálogo Productos'!B42&lt;&gt;"",SUMIF('Marzo 2026 - Ventas'!$C$5:$C$63,'Catálogo Productos'!B42,'Marzo 2026 - Ventas'!$K$5:$K$63),"")</f>
        <v/>
      </c>
      <c r="G45" s="127" t="str">
        <f>IF(OR(NOT('Catálogo Productos'!B42&lt;&gt;""),E45="",E45=0),"",F45/E45)</f>
        <v/>
      </c>
      <c r="H45" s="128" t="str">
        <f>IF('Catálogo Productos'!B42&lt;&gt;"",'Catálogo Productos'!H97,"")</f>
        <v/>
      </c>
      <c r="I45" s="129" t="str">
        <f>IF('Catálogo Productos'!B42&lt;&gt;"",'Catálogo Productos'!L97,"")</f>
        <v/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61" t="str">
        <f>IF('Catálogo Productos'!B43&lt;&gt;"",COUNTA('Catálogo Productos'!$B$4:$B43),"")</f>
        <v/>
      </c>
      <c r="B46" s="124" t="str">
        <f>IF('Catálogo Productos'!B43&lt;&gt;"",'Catálogo Productos'!B43,"")</f>
        <v/>
      </c>
      <c r="C46" s="124" t="str">
        <f>IF('Catálogo Productos'!B43&lt;&gt;"",'Catálogo Productos'!C43,"")</f>
        <v/>
      </c>
      <c r="D46" s="125" t="str">
        <f>IF('Catálogo Productos'!B43&lt;&gt;"",COUNTIF('Marzo 2026 - Ventas'!$C$5:$C$63,'Catálogo Productos'!B43),"")</f>
        <v/>
      </c>
      <c r="E46" s="126" t="str">
        <f>IF('Catálogo Productos'!B43&lt;&gt;"",SUMIF('Marzo 2026 - Ventas'!$C$5:$C$63,'Catálogo Productos'!B43,'Marzo 2026 - Ventas'!$J$5:$J$63),"")</f>
        <v/>
      </c>
      <c r="F46" s="126" t="str">
        <f>IF('Catálogo Productos'!B43&lt;&gt;"",SUMIF('Marzo 2026 - Ventas'!$C$5:$C$63,'Catálogo Productos'!B43,'Marzo 2026 - Ventas'!$K$5:$K$63),"")</f>
        <v/>
      </c>
      <c r="G46" s="127" t="str">
        <f>IF(OR(NOT('Catálogo Productos'!B43&lt;&gt;""),E46="",E46=0),"",F46/E46)</f>
        <v/>
      </c>
      <c r="H46" s="128" t="str">
        <f>IF('Catálogo Productos'!B43&lt;&gt;"",'Catálogo Productos'!H98,"")</f>
        <v/>
      </c>
      <c r="I46" s="129" t="str">
        <f>IF('Catálogo Productos'!B43&lt;&gt;"",'Catálogo Productos'!L98,"")</f>
        <v/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61" t="str">
        <f>IF('Catálogo Productos'!B44&lt;&gt;"",COUNTA('Catálogo Productos'!$B$4:$B44),"")</f>
        <v/>
      </c>
      <c r="B47" s="124" t="str">
        <f>IF('Catálogo Productos'!B44&lt;&gt;"",'Catálogo Productos'!B44,"")</f>
        <v/>
      </c>
      <c r="C47" s="124" t="str">
        <f>IF('Catálogo Productos'!B44&lt;&gt;"",'Catálogo Productos'!C44,"")</f>
        <v/>
      </c>
      <c r="D47" s="125" t="str">
        <f>IF('Catálogo Productos'!B44&lt;&gt;"",COUNTIF('Marzo 2026 - Ventas'!$C$5:$C$63,'Catálogo Productos'!B44),"")</f>
        <v/>
      </c>
      <c r="E47" s="126" t="str">
        <f>IF('Catálogo Productos'!B44&lt;&gt;"",SUMIF('Marzo 2026 - Ventas'!$C$5:$C$63,'Catálogo Productos'!B44,'Marzo 2026 - Ventas'!$J$5:$J$63),"")</f>
        <v/>
      </c>
      <c r="F47" s="126" t="str">
        <f>IF('Catálogo Productos'!B44&lt;&gt;"",SUMIF('Marzo 2026 - Ventas'!$C$5:$C$63,'Catálogo Productos'!B44,'Marzo 2026 - Ventas'!$K$5:$K$63),"")</f>
        <v/>
      </c>
      <c r="G47" s="127" t="str">
        <f>IF(OR(NOT('Catálogo Productos'!B44&lt;&gt;""),E47="",E47=0),"",F47/E47)</f>
        <v/>
      </c>
      <c r="H47" s="128" t="str">
        <f>IF('Catálogo Productos'!B44&lt;&gt;"",'Catálogo Productos'!H99,"")</f>
        <v/>
      </c>
      <c r="I47" s="129" t="str">
        <f>IF('Catálogo Productos'!B44&lt;&gt;"",'Catálogo Productos'!L99,"")</f>
        <v/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61" t="str">
        <f>IF('Catálogo Productos'!B45&lt;&gt;"",COUNTA('Catálogo Productos'!$B$4:$B45),"")</f>
        <v/>
      </c>
      <c r="B48" s="124" t="str">
        <f>IF('Catálogo Productos'!B45&lt;&gt;"",'Catálogo Productos'!B45,"")</f>
        <v/>
      </c>
      <c r="C48" s="124" t="str">
        <f>IF('Catálogo Productos'!B45&lt;&gt;"",'Catálogo Productos'!C45,"")</f>
        <v/>
      </c>
      <c r="D48" s="125" t="str">
        <f>IF('Catálogo Productos'!B45&lt;&gt;"",COUNTIF('Marzo 2026 - Ventas'!$C$5:$C$63,'Catálogo Productos'!B45),"")</f>
        <v/>
      </c>
      <c r="E48" s="126" t="str">
        <f>IF('Catálogo Productos'!B45&lt;&gt;"",SUMIF('Marzo 2026 - Ventas'!$C$5:$C$63,'Catálogo Productos'!B45,'Marzo 2026 - Ventas'!$J$5:$J$63),"")</f>
        <v/>
      </c>
      <c r="F48" s="126" t="str">
        <f>IF('Catálogo Productos'!B45&lt;&gt;"",SUMIF('Marzo 2026 - Ventas'!$C$5:$C$63,'Catálogo Productos'!B45,'Marzo 2026 - Ventas'!$K$5:$K$63),"")</f>
        <v/>
      </c>
      <c r="G48" s="127" t="str">
        <f>IF(OR(NOT('Catálogo Productos'!B45&lt;&gt;""),E48="",E48=0),"",F48/E48)</f>
        <v/>
      </c>
      <c r="H48" s="128" t="str">
        <f>IF('Catálogo Productos'!B45&lt;&gt;"",'Catálogo Productos'!H100,"")</f>
        <v/>
      </c>
      <c r="I48" s="129" t="str">
        <f>IF('Catálogo Productos'!B45&lt;&gt;"",'Catálogo Productos'!L100,"")</f>
        <v/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61" t="str">
        <f>IF('Catálogo Productos'!B46&lt;&gt;"",COUNTA('Catálogo Productos'!$B$4:$B46),"")</f>
        <v/>
      </c>
      <c r="B49" s="124" t="str">
        <f>IF('Catálogo Productos'!B46&lt;&gt;"",'Catálogo Productos'!B46,"")</f>
        <v/>
      </c>
      <c r="C49" s="124" t="str">
        <f>IF('Catálogo Productos'!B46&lt;&gt;"",'Catálogo Productos'!C46,"")</f>
        <v/>
      </c>
      <c r="D49" s="125" t="str">
        <f>IF('Catálogo Productos'!B46&lt;&gt;"",COUNTIF('Marzo 2026 - Ventas'!$C$5:$C$63,'Catálogo Productos'!B46),"")</f>
        <v/>
      </c>
      <c r="E49" s="126" t="str">
        <f>IF('Catálogo Productos'!B46&lt;&gt;"",SUMIF('Marzo 2026 - Ventas'!$C$5:$C$63,'Catálogo Productos'!B46,'Marzo 2026 - Ventas'!$J$5:$J$63),"")</f>
        <v/>
      </c>
      <c r="F49" s="126" t="str">
        <f>IF('Catálogo Productos'!B46&lt;&gt;"",SUMIF('Marzo 2026 - Ventas'!$C$5:$C$63,'Catálogo Productos'!B46,'Marzo 2026 - Ventas'!$K$5:$K$63),"")</f>
        <v/>
      </c>
      <c r="G49" s="127" t="str">
        <f>IF(OR(NOT('Catálogo Productos'!B46&lt;&gt;""),E49="",E49=0),"",F49/E49)</f>
        <v/>
      </c>
      <c r="H49" s="128" t="str">
        <f>IF('Catálogo Productos'!B46&lt;&gt;"",'Catálogo Productos'!H101,"")</f>
        <v/>
      </c>
      <c r="I49" s="129" t="str">
        <f>IF('Catálogo Productos'!B46&lt;&gt;"",'Catálogo Productos'!L101,"")</f>
        <v/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61" t="str">
        <f>IF('Catálogo Productos'!B47&lt;&gt;"",COUNTA('Catálogo Productos'!$B$4:$B47),"")</f>
        <v/>
      </c>
      <c r="B50" s="124" t="str">
        <f>IF('Catálogo Productos'!B47&lt;&gt;"",'Catálogo Productos'!B47,"")</f>
        <v/>
      </c>
      <c r="C50" s="124" t="str">
        <f>IF('Catálogo Productos'!B47&lt;&gt;"",'Catálogo Productos'!C47,"")</f>
        <v/>
      </c>
      <c r="D50" s="125" t="str">
        <f>IF('Catálogo Productos'!B47&lt;&gt;"",COUNTIF('Marzo 2026 - Ventas'!$C$5:$C$63,'Catálogo Productos'!B47),"")</f>
        <v/>
      </c>
      <c r="E50" s="126" t="str">
        <f>IF('Catálogo Productos'!B47&lt;&gt;"",SUMIF('Marzo 2026 - Ventas'!$C$5:$C$63,'Catálogo Productos'!B47,'Marzo 2026 - Ventas'!$J$5:$J$63),"")</f>
        <v/>
      </c>
      <c r="F50" s="126" t="str">
        <f>IF('Catálogo Productos'!B47&lt;&gt;"",SUMIF('Marzo 2026 - Ventas'!$C$5:$C$63,'Catálogo Productos'!B47,'Marzo 2026 - Ventas'!$K$5:$K$63),"")</f>
        <v/>
      </c>
      <c r="G50" s="127" t="str">
        <f>IF(OR(NOT('Catálogo Productos'!B47&lt;&gt;""),E50="",E50=0),"",F50/E50)</f>
        <v/>
      </c>
      <c r="H50" s="128" t="str">
        <f>IF('Catálogo Productos'!B47&lt;&gt;"",'Catálogo Productos'!H102,"")</f>
        <v/>
      </c>
      <c r="I50" s="129" t="str">
        <f>IF('Catálogo Productos'!B47&lt;&gt;"",'Catálogo Productos'!L102,"")</f>
        <v/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61" t="str">
        <f>IF('Catálogo Productos'!B48&lt;&gt;"",COUNTA('Catálogo Productos'!$B$4:$B48),"")</f>
        <v/>
      </c>
      <c r="B51" s="124" t="str">
        <f>IF('Catálogo Productos'!B48&lt;&gt;"",'Catálogo Productos'!B48,"")</f>
        <v/>
      </c>
      <c r="C51" s="124" t="str">
        <f>IF('Catálogo Productos'!B48&lt;&gt;"",'Catálogo Productos'!C48,"")</f>
        <v/>
      </c>
      <c r="D51" s="125" t="str">
        <f>IF('Catálogo Productos'!B48&lt;&gt;"",COUNTIF('Marzo 2026 - Ventas'!$C$5:$C$63,'Catálogo Productos'!B48),"")</f>
        <v/>
      </c>
      <c r="E51" s="126" t="str">
        <f>IF('Catálogo Productos'!B48&lt;&gt;"",SUMIF('Marzo 2026 - Ventas'!$C$5:$C$63,'Catálogo Productos'!B48,'Marzo 2026 - Ventas'!$J$5:$J$63),"")</f>
        <v/>
      </c>
      <c r="F51" s="126" t="str">
        <f>IF('Catálogo Productos'!B48&lt;&gt;"",SUMIF('Marzo 2026 - Ventas'!$C$5:$C$63,'Catálogo Productos'!B48,'Marzo 2026 - Ventas'!$K$5:$K$63),"")</f>
        <v/>
      </c>
      <c r="G51" s="127" t="str">
        <f>IF(OR(NOT('Catálogo Productos'!B48&lt;&gt;""),E51="",E51=0),"",F51/E51)</f>
        <v/>
      </c>
      <c r="H51" s="128" t="str">
        <f>IF('Catálogo Productos'!B48&lt;&gt;"",'Catálogo Productos'!H103,"")</f>
        <v/>
      </c>
      <c r="I51" s="129" t="str">
        <f>IF('Catálogo Productos'!B48&lt;&gt;"",'Catálogo Productos'!L103,"")</f>
        <v/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61" t="str">
        <f>IF('Catálogo Productos'!B49&lt;&gt;"",COUNTA('Catálogo Productos'!$B$4:$B49),"")</f>
        <v/>
      </c>
      <c r="B52" s="124" t="str">
        <f>IF('Catálogo Productos'!B49&lt;&gt;"",'Catálogo Productos'!B49,"")</f>
        <v/>
      </c>
      <c r="C52" s="124" t="str">
        <f>IF('Catálogo Productos'!B49&lt;&gt;"",'Catálogo Productos'!C49,"")</f>
        <v/>
      </c>
      <c r="D52" s="125" t="str">
        <f>IF('Catálogo Productos'!B49&lt;&gt;"",COUNTIF('Marzo 2026 - Ventas'!$C$5:$C$63,'Catálogo Productos'!B49),"")</f>
        <v/>
      </c>
      <c r="E52" s="126" t="str">
        <f>IF('Catálogo Productos'!B49&lt;&gt;"",SUMIF('Marzo 2026 - Ventas'!$C$5:$C$63,'Catálogo Productos'!B49,'Marzo 2026 - Ventas'!$J$5:$J$63),"")</f>
        <v/>
      </c>
      <c r="F52" s="126" t="str">
        <f>IF('Catálogo Productos'!B49&lt;&gt;"",SUMIF('Marzo 2026 - Ventas'!$C$5:$C$63,'Catálogo Productos'!B49,'Marzo 2026 - Ventas'!$K$5:$K$63),"")</f>
        <v/>
      </c>
      <c r="G52" s="127" t="str">
        <f>IF(OR(NOT('Catálogo Productos'!B49&lt;&gt;""),E52="",E52=0),"",F52/E52)</f>
        <v/>
      </c>
      <c r="H52" s="128" t="str">
        <f>IF('Catálogo Productos'!B49&lt;&gt;"",'Catálogo Productos'!H104,"")</f>
        <v/>
      </c>
      <c r="I52" s="129" t="str">
        <f>IF('Catálogo Productos'!B49&lt;&gt;"",'Catálogo Productos'!L104,"")</f>
        <v/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61" t="str">
        <f>IF('Catálogo Productos'!B50&lt;&gt;"",COUNTA('Catálogo Productos'!$B$4:$B50),"")</f>
        <v/>
      </c>
      <c r="B53" s="124" t="str">
        <f>IF('Catálogo Productos'!B50&lt;&gt;"",'Catálogo Productos'!B50,"")</f>
        <v/>
      </c>
      <c r="C53" s="124" t="str">
        <f>IF('Catálogo Productos'!B50&lt;&gt;"",'Catálogo Productos'!C50,"")</f>
        <v/>
      </c>
      <c r="D53" s="125" t="str">
        <f>IF('Catálogo Productos'!B50&lt;&gt;"",COUNTIF('Marzo 2026 - Ventas'!$C$5:$C$63,'Catálogo Productos'!B50),"")</f>
        <v/>
      </c>
      <c r="E53" s="126" t="str">
        <f>IF('Catálogo Productos'!B50&lt;&gt;"",SUMIF('Marzo 2026 - Ventas'!$C$5:$C$63,'Catálogo Productos'!B50,'Marzo 2026 - Ventas'!$J$5:$J$63),"")</f>
        <v/>
      </c>
      <c r="F53" s="126" t="str">
        <f>IF('Catálogo Productos'!B50&lt;&gt;"",SUMIF('Marzo 2026 - Ventas'!$C$5:$C$63,'Catálogo Productos'!B50,'Marzo 2026 - Ventas'!$K$5:$K$63),"")</f>
        <v/>
      </c>
      <c r="G53" s="127" t="str">
        <f>IF(OR(NOT('Catálogo Productos'!B50&lt;&gt;""),E53="",E53=0),"",F53/E53)</f>
        <v/>
      </c>
      <c r="H53" s="128" t="str">
        <f>IF('Catálogo Productos'!B50&lt;&gt;"",'Catálogo Productos'!H105,"")</f>
        <v/>
      </c>
      <c r="I53" s="129" t="str">
        <f>IF('Catálogo Productos'!B50&lt;&gt;"",'Catálogo Productos'!L105,"")</f>
        <v/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61" t="str">
        <f>IF('Catálogo Productos'!B51&lt;&gt;"",COUNTA('Catálogo Productos'!$B$4:$B51),"")</f>
        <v/>
      </c>
      <c r="B54" s="124" t="str">
        <f>IF('Catálogo Productos'!B51&lt;&gt;"",'Catálogo Productos'!B51,"")</f>
        <v/>
      </c>
      <c r="C54" s="124" t="str">
        <f>IF('Catálogo Productos'!B51&lt;&gt;"",'Catálogo Productos'!C51,"")</f>
        <v/>
      </c>
      <c r="D54" s="125" t="str">
        <f>IF('Catálogo Productos'!B51&lt;&gt;"",COUNTIF('Marzo 2026 - Ventas'!$C$5:$C$63,'Catálogo Productos'!B51),"")</f>
        <v/>
      </c>
      <c r="E54" s="126" t="str">
        <f>IF('Catálogo Productos'!B51&lt;&gt;"",SUMIF('Marzo 2026 - Ventas'!$C$5:$C$63,'Catálogo Productos'!B51,'Marzo 2026 - Ventas'!$J$5:$J$63),"")</f>
        <v/>
      </c>
      <c r="F54" s="126" t="str">
        <f>IF('Catálogo Productos'!B51&lt;&gt;"",SUMIF('Marzo 2026 - Ventas'!$C$5:$C$63,'Catálogo Productos'!B51,'Marzo 2026 - Ventas'!$K$5:$K$63),"")</f>
        <v/>
      </c>
      <c r="G54" s="127" t="str">
        <f>IF(OR(NOT('Catálogo Productos'!B51&lt;&gt;""),E54="",E54=0),"",F54/E54)</f>
        <v/>
      </c>
      <c r="H54" s="128" t="str">
        <f>IF('Catálogo Productos'!B51&lt;&gt;"",'Catálogo Productos'!H106,"")</f>
        <v/>
      </c>
      <c r="I54" s="129" t="str">
        <f>IF('Catálogo Productos'!B51&lt;&gt;"",'Catálogo Productos'!L106,"")</f>
        <v/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61" t="str">
        <f>IF('Catálogo Productos'!B52&lt;&gt;"",COUNTA('Catálogo Productos'!$B$4:$B52),"")</f>
        <v/>
      </c>
      <c r="B55" s="124" t="str">
        <f>IF('Catálogo Productos'!B52&lt;&gt;"",'Catálogo Productos'!B52,"")</f>
        <v/>
      </c>
      <c r="C55" s="124" t="str">
        <f>IF('Catálogo Productos'!B52&lt;&gt;"",'Catálogo Productos'!C52,"")</f>
        <v/>
      </c>
      <c r="D55" s="125" t="str">
        <f>IF('Catálogo Productos'!B52&lt;&gt;"",COUNTIF('Marzo 2026 - Ventas'!$C$5:$C$63,'Catálogo Productos'!B52),"")</f>
        <v/>
      </c>
      <c r="E55" s="126" t="str">
        <f>IF('Catálogo Productos'!B52&lt;&gt;"",SUMIF('Marzo 2026 - Ventas'!$C$5:$C$63,'Catálogo Productos'!B52,'Marzo 2026 - Ventas'!$J$5:$J$63),"")</f>
        <v/>
      </c>
      <c r="F55" s="126" t="str">
        <f>IF('Catálogo Productos'!B52&lt;&gt;"",SUMIF('Marzo 2026 - Ventas'!$C$5:$C$63,'Catálogo Productos'!B52,'Marzo 2026 - Ventas'!$K$5:$K$63),"")</f>
        <v/>
      </c>
      <c r="G55" s="127" t="str">
        <f>IF(OR(NOT('Catálogo Productos'!B52&lt;&gt;""),E55="",E55=0),"",F55/E55)</f>
        <v/>
      </c>
      <c r="H55" s="128" t="str">
        <f>IF('Catálogo Productos'!B52&lt;&gt;"",'Catálogo Productos'!H107,"")</f>
        <v/>
      </c>
      <c r="I55" s="129" t="str">
        <f>IF('Catálogo Productos'!B52&lt;&gt;"",'Catálogo Productos'!L107,"")</f>
        <v/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61" t="str">
        <f>IF('Catálogo Productos'!B53&lt;&gt;"",COUNTA('Catálogo Productos'!$B$4:$B53),"")</f>
        <v/>
      </c>
      <c r="B56" s="124" t="str">
        <f>IF('Catálogo Productos'!B53&lt;&gt;"",'Catálogo Productos'!B53,"")</f>
        <v/>
      </c>
      <c r="C56" s="124" t="str">
        <f>IF('Catálogo Productos'!B53&lt;&gt;"",'Catálogo Productos'!C53,"")</f>
        <v/>
      </c>
      <c r="D56" s="125" t="str">
        <f>IF('Catálogo Productos'!B53&lt;&gt;"",COUNTIF('Marzo 2026 - Ventas'!$C$5:$C$63,'Catálogo Productos'!B53),"")</f>
        <v/>
      </c>
      <c r="E56" s="126" t="str">
        <f>IF('Catálogo Productos'!B53&lt;&gt;"",SUMIF('Marzo 2026 - Ventas'!$C$5:$C$63,'Catálogo Productos'!B53,'Marzo 2026 - Ventas'!$J$5:$J$63),"")</f>
        <v/>
      </c>
      <c r="F56" s="126" t="str">
        <f>IF('Catálogo Productos'!B53&lt;&gt;"",SUMIF('Marzo 2026 - Ventas'!$C$5:$C$63,'Catálogo Productos'!B53,'Marzo 2026 - Ventas'!$K$5:$K$63),"")</f>
        <v/>
      </c>
      <c r="G56" s="127" t="str">
        <f>IF(OR(NOT('Catálogo Productos'!B53&lt;&gt;""),E56="",E56=0),"",F56/E56)</f>
        <v/>
      </c>
      <c r="H56" s="128" t="str">
        <f>IF('Catálogo Productos'!B53&lt;&gt;"",'Catálogo Productos'!H108,"")</f>
        <v/>
      </c>
      <c r="I56" s="129" t="str">
        <f>IF('Catálogo Productos'!B53&lt;&gt;"",'Catálogo Productos'!L108,"")</f>
        <v/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0" customHeight="1">
      <c r="A57" s="131" t="s">
        <v>168</v>
      </c>
      <c r="B57" s="117"/>
      <c r="C57" s="118"/>
      <c r="D57" s="132">
        <f t="shared" ref="D57:F57" si="1">SUM(D7:D56)</f>
        <v>246</v>
      </c>
      <c r="E57" s="133">
        <f t="shared" si="1"/>
        <v>253.5</v>
      </c>
      <c r="F57" s="133">
        <f t="shared" si="1"/>
        <v>1392.9399</v>
      </c>
      <c r="G57" s="134">
        <f>IF(E57=0,"",F57/E57)</f>
        <v>5.494831953</v>
      </c>
      <c r="H57" s="135"/>
      <c r="I57" s="135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9.5" customHeight="1">
      <c r="A59" s="136" t="s">
        <v>169</v>
      </c>
      <c r="B59" s="117"/>
      <c r="C59" s="117"/>
      <c r="D59" s="117"/>
      <c r="E59" s="117"/>
      <c r="F59" s="117"/>
      <c r="G59" s="117"/>
      <c r="H59" s="117"/>
      <c r="I59" s="118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</row>
  </sheetData>
  <mergeCells count="6">
    <mergeCell ref="A1:I1"/>
    <mergeCell ref="A2:I2"/>
    <mergeCell ref="A3:I3"/>
    <mergeCell ref="A5:I5"/>
    <mergeCell ref="A57:C57"/>
    <mergeCell ref="A59:I59"/>
  </mergeCell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28.0"/>
    <col customWidth="1" min="3" max="3" width="14.0"/>
    <col customWidth="1" min="4" max="6" width="12.0"/>
    <col customWidth="1" min="7" max="9" width="14.0"/>
    <col customWidth="1" min="10" max="12" width="16.0"/>
    <col customWidth="1" min="13" max="13" width="9.0"/>
    <col customWidth="1" min="14" max="14" width="12.0"/>
    <col customWidth="1" min="15" max="15" width="13.0"/>
    <col customWidth="1" min="16" max="16" width="42.0"/>
  </cols>
  <sheetData>
    <row r="1" ht="27.75" customHeight="1">
      <c r="A1" s="137" t="s">
        <v>170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8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0" customHeight="1">
      <c r="A2" s="119" t="s">
        <v>171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8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7.75" customHeight="1">
      <c r="A3" s="136" t="s">
        <v>172</v>
      </c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8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6.0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9.5" customHeight="1">
      <c r="A5" s="131" t="s">
        <v>173</v>
      </c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8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6.0" customHeight="1">
      <c r="A6" s="122" t="s">
        <v>74</v>
      </c>
      <c r="B6" s="122" t="s">
        <v>76</v>
      </c>
      <c r="C6" s="122" t="s">
        <v>77</v>
      </c>
      <c r="D6" s="122" t="s">
        <v>166</v>
      </c>
      <c r="E6" s="122" t="s">
        <v>174</v>
      </c>
      <c r="F6" s="122" t="s">
        <v>175</v>
      </c>
      <c r="G6" s="122" t="s">
        <v>176</v>
      </c>
      <c r="H6" s="122" t="s">
        <v>177</v>
      </c>
      <c r="I6" s="122" t="s">
        <v>178</v>
      </c>
      <c r="J6" s="122" t="s">
        <v>179</v>
      </c>
      <c r="K6" s="122" t="s">
        <v>180</v>
      </c>
      <c r="L6" s="122" t="s">
        <v>181</v>
      </c>
      <c r="M6" s="138" t="s">
        <v>182</v>
      </c>
      <c r="N6" s="138" t="s">
        <v>183</v>
      </c>
      <c r="O6" s="138" t="s">
        <v>184</v>
      </c>
      <c r="P6" s="138" t="s">
        <v>185</v>
      </c>
      <c r="Q6" s="139" t="s">
        <v>186</v>
      </c>
      <c r="R6" s="2"/>
      <c r="S6" s="2"/>
      <c r="T6" s="2"/>
      <c r="U6" s="2"/>
      <c r="V6" s="2"/>
      <c r="W6" s="2"/>
      <c r="X6" s="2"/>
      <c r="Y6" s="2"/>
      <c r="Z6" s="2"/>
    </row>
    <row r="7" ht="27.75" customHeight="1">
      <c r="A7" s="61">
        <f>IF('Catálogo Productos'!B4&lt;&gt;"",COUNTA('Catálogo Productos'!$B$4:$B4),"")</f>
        <v>1</v>
      </c>
      <c r="B7" s="124" t="str">
        <f>IF('Catálogo Productos'!B4&lt;&gt;"",'Catálogo Productos'!B4,"")</f>
        <v>Cuerdas Alice Clasica A106</v>
      </c>
      <c r="C7" s="124" t="str">
        <f>IF('Catálogo Productos'!B4&lt;&gt;"",'Catálogo Productos'!C4,"")</f>
        <v>Guitarra Clasica</v>
      </c>
      <c r="D7" s="140">
        <v>80.0</v>
      </c>
      <c r="E7" s="141">
        <f>IF('Catálogo Productos'!B4&lt;&gt;"",COUNTIF('Abril 2026 - Ventas'!$C$5:$C$303,'Catálogo Productos'!B4),"")</f>
        <v>24</v>
      </c>
      <c r="F7" s="128">
        <f>IF('Catálogo Productos'!B4&lt;&gt;"",'Configuración'!$C$4,"")</f>
        <v>31</v>
      </c>
      <c r="G7" s="142">
        <f>IF(OR(NOT('Catálogo Productos'!B4&lt;&gt;""),E7="",E7=0),IF('Catálogo Productos'!B4&lt;&gt;"","Sin ventas",""),IF(M7=0,"Sin ventas",ROUND(F7/M7,1)))</f>
        <v>0.4</v>
      </c>
      <c r="H7" s="143">
        <f>IF(OR(NOT('Catálogo Productos'!B4&lt;&gt;""),D7="",D7=0),IF('Catálogo Productos'!B4&lt;&gt;"",IF(E7=0,"∞ (sin ventas)","🔴 Sin stock"),""),IF(G7="Sin ventas","∞ (sin ventas)",ROUND(D7*G7,0)))</f>
        <v>32</v>
      </c>
      <c r="I7" s="144">
        <f>IF(OR(NOT('Catálogo Productos'!B4&lt;&gt;""),H7="",ISNUMBER(SEARCH("∞",TEXT(H7,"@"))),ISNUMBER(SEARCH("🔴",TEXT(H7,"@")))),"",TODAY()+H7)</f>
        <v>46175</v>
      </c>
      <c r="J7" s="145" t="str">
        <f>IF(NOT('Catálogo Productos'!B4&lt;&gt;""),"",IF(OR(G7="Sin ventas",G7=""),"⚪ Sin ventas este mes",IF(G7&lt;=15,"🔥 Rotación rápida",IF(G7&lt;=30,"✅ Rotación normal","🐢 Rotación lenta"))))</f>
        <v>🔥 Rotación rápida</v>
      </c>
      <c r="K7" s="146">
        <f>IF('Catálogo Productos'!B4&lt;&gt;"",'Catálogo Productos'!G4,"")</f>
        <v>40</v>
      </c>
      <c r="L7" s="147" t="str">
        <f>IF(NOT(B7&lt;&gt;""),"",IF(D7=0,"🔴 REPONER YA",IF(OR(M7=0,M7=""),"🟢 Sin prisa",IF(Q7&lt;'Configuración'!$C$9,"🔴 PEDIR AHORA",IF(Q7&lt;('Configuración'!$C$9+'Configuración'!$C$10),"🟡 Reponer pronto","🟢 Sin prisa")))))</f>
        <v>🔴 PEDIR AHORA</v>
      </c>
      <c r="M7" s="148">
        <f>IF(B7="","",IF(OR(E7="",E7=0),0,ROUND(E7*('Configuración'!$C$4/'Configuración'!$C$11),1)))</f>
        <v>74.4</v>
      </c>
      <c r="N7" s="149">
        <f>IF(B7="","",IF(M7=0,"—",MAX(0,CEILING(M7*('Configuración'!$C$9+'Configuración'!$C$10)-D7,1))))</f>
        <v>292</v>
      </c>
      <c r="O7" s="150">
        <f t="shared" ref="O7:O34" si="1">IF(B7="","",IF(ISNUMBER(I7),I7-135,"—"))</f>
        <v>46040</v>
      </c>
      <c r="P7" s="151" t="str">
        <f>IF(B7="","",IF(D7=0,"🔴 PEDIR URGENTE — sin stock",IF(OR(M7=0,M7=""),"⚪ Sin demanda — monitorear",IF(Q7&lt;'Configuración'!$C$9,"🔴 PEDIR AHORA — "&amp;N7&amp;" uds (stock cubre "&amp;Q7&amp;" meses, lead time "&amp;'Configuración'!$C$9&amp;" meses)",IF(Q7&lt;('Configuración'!$C$9+'Configuración'!$C$10),"🟡 VIGILAR — "&amp;N7&amp;" uds (cubre "&amp;Q7&amp;" meses, al límite del lead time)","🟢 OK — stock cubre "&amp;Q7&amp;" meses")))))</f>
        <v>🔴 PEDIR AHORA — 292 uds (stock cubre 1,1 meses, lead time 4 meses)</v>
      </c>
      <c r="Q7" s="2">
        <f t="shared" ref="Q7:Q39" si="2">IF(B7="","",IF(OR(M7=0,M7=""),999,ROUND(D7/M7,1)))</f>
        <v>1.1</v>
      </c>
      <c r="R7" s="2"/>
      <c r="S7" s="2"/>
      <c r="T7" s="2"/>
      <c r="U7" s="2"/>
      <c r="V7" s="2"/>
      <c r="W7" s="2"/>
      <c r="X7" s="2"/>
      <c r="Y7" s="2"/>
      <c r="Z7" s="2"/>
    </row>
    <row r="8" ht="27.75" customHeight="1">
      <c r="A8" s="61">
        <f>IF('Catálogo Productos'!B5&lt;&gt;"",COUNTA('Catálogo Productos'!$B$4:$B5),"")</f>
        <v>2</v>
      </c>
      <c r="B8" s="124" t="str">
        <f>IF('Catálogo Productos'!B5&lt;&gt;"",'Catálogo Productos'!B5,"")</f>
        <v>Cuerdas Alice Electrica SL</v>
      </c>
      <c r="C8" s="124" t="str">
        <f>IF('Catálogo Productos'!B5&lt;&gt;"",'Catálogo Productos'!C5,"")</f>
        <v>Guitarra Electrica</v>
      </c>
      <c r="D8" s="141">
        <v>69.0</v>
      </c>
      <c r="E8" s="141">
        <f>IF('Catálogo Productos'!B5&lt;&gt;"",COUNTIF('Abril 2026 - Ventas'!$C$5:$C$303,'Catálogo Productos'!B5),"")</f>
        <v>17</v>
      </c>
      <c r="F8" s="128">
        <f>IF('Catálogo Productos'!B5&lt;&gt;"",'Configuración'!$C$4,"")</f>
        <v>31</v>
      </c>
      <c r="G8" s="142">
        <f>IF(OR(NOT('Catálogo Productos'!B5&lt;&gt;""),E8="",E8=0),IF('Catálogo Productos'!B5&lt;&gt;"","Sin ventas",""),IF(M8=0,"Sin ventas",ROUND(F8/M8,1)))</f>
        <v>0.6</v>
      </c>
      <c r="H8" s="143">
        <f>IF(OR(NOT('Catálogo Productos'!B5&lt;&gt;""),D8="",D8=0),IF('Catálogo Productos'!B5&lt;&gt;"",IF(E8=0,"∞ (sin ventas)","🔴 Sin stock"),""),IF(G8="Sin ventas","∞ (sin ventas)",ROUND(D8*G8,0)))</f>
        <v>41</v>
      </c>
      <c r="I8" s="144">
        <f>IF(OR(NOT('Catálogo Productos'!B5&lt;&gt;""),H8="",ISNUMBER(SEARCH("∞",TEXT(H8,"@"))),ISNUMBER(SEARCH("🔴",TEXT(H8,"@")))),"",TODAY()+H8)</f>
        <v>46184</v>
      </c>
      <c r="J8" s="145" t="str">
        <f>IF(NOT('Catálogo Productos'!B5&lt;&gt;""),"",IF(OR(G8="Sin ventas",G8=""),"⚪ Sin ventas este mes",IF(G8&lt;=15,"🔥 Rotación rápida",IF(G8&lt;=30,"✅ Rotación normal","🐢 Rotación lenta"))))</f>
        <v>🔥 Rotación rápida</v>
      </c>
      <c r="K8" s="146">
        <f>IF('Catálogo Productos'!B5&lt;&gt;"",'Catálogo Productos'!G5,"")</f>
        <v>20</v>
      </c>
      <c r="L8" s="147" t="str">
        <f>IF(NOT(B8&lt;&gt;""),"",IF(D8=0,"🔴 REPONER YA",IF(OR(M8=0,M8=""),"🟢 Sin prisa",IF(Q8&lt;'Configuración'!$C$9,"🔴 PEDIR AHORA",IF(Q8&lt;('Configuración'!$C$9+'Configuración'!$C$10),"🟡 Reponer pronto","🟢 Sin prisa")))))</f>
        <v>🔴 PEDIR AHORA</v>
      </c>
      <c r="M8" s="148">
        <f>IF(B8="","",IF(OR(E8="",E8=0),0,ROUND(E8*('Configuración'!$C$4/'Configuración'!$C$11),1)))</f>
        <v>52.7</v>
      </c>
      <c r="N8" s="149">
        <f>IF(B8="","",IF(M8=0,"—",MAX(0,CEILING(M8*('Configuración'!$C$9+'Configuración'!$C$10)-D8,1))))</f>
        <v>195</v>
      </c>
      <c r="O8" s="150">
        <f t="shared" si="1"/>
        <v>46049</v>
      </c>
      <c r="P8" s="151" t="str">
        <f>IF(B8="","",IF(D8=0,"🔴 PEDIR URGENTE — sin stock",IF(OR(M8=0,M8=""),"⚪ Sin demanda — monitorear",IF(Q8&lt;'Configuración'!$C$9,"🔴 PEDIR AHORA — "&amp;N8&amp;" uds (stock cubre "&amp;Q8&amp;" meses, lead time "&amp;'Configuración'!$C$9&amp;" meses)",IF(Q8&lt;('Configuración'!$C$9+'Configuración'!$C$10),"🟡 VIGILAR — "&amp;N8&amp;" uds (cubre "&amp;Q8&amp;" meses, al límite del lead time)","🟢 OK — stock cubre "&amp;Q8&amp;" meses")))))</f>
        <v>🔴 PEDIR AHORA — 195 uds (stock cubre 1,3 meses, lead time 4 meses)</v>
      </c>
      <c r="Q8" s="2">
        <f t="shared" si="2"/>
        <v>1.3</v>
      </c>
      <c r="R8" s="2"/>
      <c r="S8" s="2"/>
      <c r="T8" s="2"/>
      <c r="U8" s="2"/>
      <c r="V8" s="2"/>
      <c r="W8" s="2"/>
      <c r="X8" s="2"/>
      <c r="Y8" s="2"/>
      <c r="Z8" s="2"/>
    </row>
    <row r="9" ht="27.75" customHeight="1">
      <c r="A9" s="61">
        <f>IF('Catálogo Productos'!B6&lt;&gt;"",COUNTA('Catálogo Productos'!$B$4:$B6),"")</f>
        <v>3</v>
      </c>
      <c r="B9" s="124" t="str">
        <f>IF('Catálogo Productos'!B6&lt;&gt;"",'Catálogo Productos'!B6,"")</f>
        <v>Cuerdas Alice Electrica L</v>
      </c>
      <c r="C9" s="124" t="str">
        <f>IF('Catálogo Productos'!B6&lt;&gt;"",'Catálogo Productos'!C6,"")</f>
        <v>Guitarra Electrica</v>
      </c>
      <c r="D9" s="140">
        <v>55.0</v>
      </c>
      <c r="E9" s="141">
        <f>IF('Catálogo Productos'!B6&lt;&gt;"",COUNTIF('Abril 2026 - Ventas'!$C$5:$C$303,'Catálogo Productos'!B6),"")</f>
        <v>10</v>
      </c>
      <c r="F9" s="128">
        <f>IF('Catálogo Productos'!B6&lt;&gt;"",'Configuración'!$C$4,"")</f>
        <v>31</v>
      </c>
      <c r="G9" s="142">
        <f>IF(OR(NOT('Catálogo Productos'!B6&lt;&gt;""),E9="",E9=0),IF('Catálogo Productos'!B6&lt;&gt;"","Sin ventas",""),IF(M9=0,"Sin ventas",ROUND(F9/M9,1)))</f>
        <v>1</v>
      </c>
      <c r="H9" s="143">
        <f>IF(OR(NOT('Catálogo Productos'!B6&lt;&gt;""),D9="",D9=0),IF('Catálogo Productos'!B6&lt;&gt;"",IF(E9=0,"∞ (sin ventas)","🔴 Sin stock"),""),IF(G9="Sin ventas","∞ (sin ventas)",ROUND(D9*G9,0)))</f>
        <v>55</v>
      </c>
      <c r="I9" s="144">
        <f>IF(OR(NOT('Catálogo Productos'!B6&lt;&gt;""),H9="",ISNUMBER(SEARCH("∞",TEXT(H9,"@"))),ISNUMBER(SEARCH("🔴",TEXT(H9,"@")))),"",TODAY()+H9)</f>
        <v>46198</v>
      </c>
      <c r="J9" s="145" t="str">
        <f>IF(NOT('Catálogo Productos'!B6&lt;&gt;""),"",IF(OR(G9="Sin ventas",G9=""),"⚪ Sin ventas este mes",IF(G9&lt;=15,"🔥 Rotación rápida",IF(G9&lt;=30,"✅ Rotación normal","🐢 Rotación lenta"))))</f>
        <v>🔥 Rotación rápida</v>
      </c>
      <c r="K9" s="146">
        <f>IF('Catálogo Productos'!B6&lt;&gt;"",'Catálogo Productos'!G6,"")</f>
        <v>20</v>
      </c>
      <c r="L9" s="147" t="str">
        <f>IF(NOT(B9&lt;&gt;""),"",IF(D9=0,"🔴 REPONER YA",IF(OR(M9=0,M9=""),"🟢 Sin prisa",IF(Q9&lt;'Configuración'!$C$9,"🔴 PEDIR AHORA",IF(Q9&lt;('Configuración'!$C$9+'Configuración'!$C$10),"🟡 Reponer pronto","🟢 Sin prisa")))))</f>
        <v>🔴 PEDIR AHORA</v>
      </c>
      <c r="M9" s="148">
        <f>IF(B9="","",IF(OR(E9="",E9=0),0,ROUND(E9*('Configuración'!$C$4/'Configuración'!$C$11),1)))</f>
        <v>31</v>
      </c>
      <c r="N9" s="149">
        <f>IF(B9="","",IF(M9=0,"—",MAX(0,CEILING(M9*('Configuración'!$C$9+'Configuración'!$C$10)-D9,1))))</f>
        <v>100</v>
      </c>
      <c r="O9" s="150">
        <f t="shared" si="1"/>
        <v>46063</v>
      </c>
      <c r="P9" s="151" t="str">
        <f>IF(B9="","",IF(D9=0,"🔴 PEDIR URGENTE — sin stock",IF(OR(M9=0,M9=""),"⚪ Sin demanda — monitorear",IF(Q9&lt;'Configuración'!$C$9,"🔴 PEDIR AHORA — "&amp;N9&amp;" uds (stock cubre "&amp;Q9&amp;" meses, lead time "&amp;'Configuración'!$C$9&amp;" meses)",IF(Q9&lt;('Configuración'!$C$9+'Configuración'!$C$10),"🟡 VIGILAR — "&amp;N9&amp;" uds (cubre "&amp;Q9&amp;" meses, al límite del lead time)","🟢 OK — stock cubre "&amp;Q9&amp;" meses")))))</f>
        <v>🔴 PEDIR AHORA — 100 uds (stock cubre 1,8 meses, lead time 4 meses)</v>
      </c>
      <c r="Q9" s="2">
        <f t="shared" si="2"/>
        <v>1.8</v>
      </c>
      <c r="R9" s="2"/>
      <c r="S9" s="2"/>
      <c r="T9" s="2"/>
      <c r="U9" s="2"/>
      <c r="V9" s="2"/>
      <c r="W9" s="2"/>
      <c r="X9" s="2"/>
      <c r="Y9" s="2"/>
      <c r="Z9" s="2"/>
    </row>
    <row r="10" ht="27.75" customHeight="1">
      <c r="A10" s="61">
        <f>IF('Catálogo Productos'!B7&lt;&gt;"",COUNTA('Catálogo Productos'!$B$4:$B7),"")</f>
        <v>4</v>
      </c>
      <c r="B10" s="124" t="str">
        <f>IF('Catálogo Productos'!B7&lt;&gt;"",'Catálogo Productos'!B7,"")</f>
        <v>Cuerdas Alice Folk 11-52</v>
      </c>
      <c r="C10" s="124" t="str">
        <f>IF('Catálogo Productos'!B7&lt;&gt;"",'Catálogo Productos'!C7,"")</f>
        <v>Guitarra Acustica</v>
      </c>
      <c r="D10" s="141">
        <f>IF('Catálogo Productos'!B7&lt;&gt;"",'Catálogo Productos'!H62,"")</f>
        <v>59</v>
      </c>
      <c r="E10" s="141">
        <f>IF('Catálogo Productos'!B7&lt;&gt;"",COUNTIF('Abril 2026 - Ventas'!$C$5:$C$303,'Catálogo Productos'!B7),"")</f>
        <v>6</v>
      </c>
      <c r="F10" s="128">
        <f>IF('Catálogo Productos'!B7&lt;&gt;"",'Configuración'!$C$4,"")</f>
        <v>31</v>
      </c>
      <c r="G10" s="142">
        <f>IF(OR(NOT('Catálogo Productos'!B7&lt;&gt;""),E10="",E10=0),IF('Catálogo Productos'!B7&lt;&gt;"","Sin ventas",""),IF(M10=0,"Sin ventas",ROUND(F10/M10,1)))</f>
        <v>1.7</v>
      </c>
      <c r="H10" s="143">
        <f>IF(OR(NOT('Catálogo Productos'!B7&lt;&gt;""),D10="",D10=0),IF('Catálogo Productos'!B7&lt;&gt;"",IF(E10=0,"∞ (sin ventas)","🔴 Sin stock"),""),IF(G10="Sin ventas","∞ (sin ventas)",ROUND(D10*G10,0)))</f>
        <v>100</v>
      </c>
      <c r="I10" s="144">
        <f>IF(OR(NOT('Catálogo Productos'!B7&lt;&gt;""),H10="",ISNUMBER(SEARCH("∞",TEXT(H10,"@"))),ISNUMBER(SEARCH("🔴",TEXT(H10,"@")))),"",TODAY()+H10)</f>
        <v>46243</v>
      </c>
      <c r="J10" s="145" t="str">
        <f>IF(NOT('Catálogo Productos'!B7&lt;&gt;""),"",IF(OR(G10="Sin ventas",G10=""),"⚪ Sin ventas este mes",IF(G10&lt;=15,"🔥 Rotación rápida",IF(G10&lt;=30,"✅ Rotación normal","🐢 Rotación lenta"))))</f>
        <v>🔥 Rotación rápida</v>
      </c>
      <c r="K10" s="146">
        <f>IF('Catálogo Productos'!B7&lt;&gt;"",'Catálogo Productos'!G7,"")</f>
        <v>20</v>
      </c>
      <c r="L10" s="147" t="str">
        <f>IF(NOT(B10&lt;&gt;""),"",IF(D10=0,"🔴 REPONER YA",IF(OR(M10=0,M10=""),"🟢 Sin prisa",IF(Q10&lt;'Configuración'!$C$9,"🔴 PEDIR AHORA",IF(Q10&lt;('Configuración'!$C$9+'Configuración'!$C$10),"🟡 Reponer pronto","🟢 Sin prisa")))))</f>
        <v>🔴 PEDIR AHORA</v>
      </c>
      <c r="M10" s="148">
        <f>IF(B10="","",IF(OR(E10="",E10=0),0,ROUND(E10*('Configuración'!$C$4/'Configuración'!$C$11),1)))</f>
        <v>18.6</v>
      </c>
      <c r="N10" s="149">
        <f>IF(B10="","",IF(M10=0,"—",MAX(0,CEILING(M10*('Configuración'!$C$9+'Configuración'!$C$10)-D10,1))))</f>
        <v>34</v>
      </c>
      <c r="O10" s="150">
        <f t="shared" si="1"/>
        <v>46108</v>
      </c>
      <c r="P10" s="151" t="str">
        <f>IF(B10="","",IF(D10=0,"🔴 PEDIR URGENTE — sin stock",IF(OR(M10=0,M10=""),"⚪ Sin demanda — monitorear",IF(Q10&lt;'Configuración'!$C$9,"🔴 PEDIR AHORA — "&amp;N10&amp;" uds (stock cubre "&amp;Q10&amp;" meses, lead time "&amp;'Configuración'!$C$9&amp;" meses)",IF(Q10&lt;('Configuración'!$C$9+'Configuración'!$C$10),"🟡 VIGILAR — "&amp;N10&amp;" uds (cubre "&amp;Q10&amp;" meses, al límite del lead time)","🟢 OK — stock cubre "&amp;Q10&amp;" meses")))))</f>
        <v>🔴 PEDIR AHORA — 34 uds (stock cubre 3,2 meses, lead time 4 meses)</v>
      </c>
      <c r="Q10" s="2">
        <f t="shared" si="2"/>
        <v>3.2</v>
      </c>
      <c r="R10" s="2"/>
      <c r="S10" s="2"/>
      <c r="T10" s="2"/>
      <c r="U10" s="2"/>
      <c r="V10" s="2"/>
      <c r="W10" s="2"/>
      <c r="X10" s="2"/>
      <c r="Y10" s="2"/>
      <c r="Z10" s="2"/>
    </row>
    <row r="11" ht="27.75" customHeight="1">
      <c r="A11" s="61">
        <f>IF('Catálogo Productos'!B8&lt;&gt;"",COUNTA('Catálogo Productos'!$B$4:$B8),"")</f>
        <v>5</v>
      </c>
      <c r="B11" s="124" t="str">
        <f>IF('Catálogo Productos'!B8&lt;&gt;"",'Catálogo Productos'!B8,"")</f>
        <v>Hombrera Violin 3/4 4/4</v>
      </c>
      <c r="C11" s="124" t="str">
        <f>IF('Catálogo Productos'!B8&lt;&gt;"",'Catálogo Productos'!C8,"")</f>
        <v>Violin</v>
      </c>
      <c r="D11" s="141">
        <f>IF('Catálogo Productos'!B8&lt;&gt;"",'Catálogo Productos'!H63,"")</f>
        <v>32</v>
      </c>
      <c r="E11" s="141">
        <f>IF('Catálogo Productos'!B8&lt;&gt;"",COUNTIF('Abril 2026 - Ventas'!$C$5:$C$303,'Catálogo Productos'!B8),"")</f>
        <v>9</v>
      </c>
      <c r="F11" s="128">
        <f>IF('Catálogo Productos'!B8&lt;&gt;"",'Configuración'!$C$4,"")</f>
        <v>31</v>
      </c>
      <c r="G11" s="142">
        <f>IF(OR(NOT('Catálogo Productos'!B8&lt;&gt;""),E11="",E11=0),IF('Catálogo Productos'!B8&lt;&gt;"","Sin ventas",""),IF(M11=0,"Sin ventas",ROUND(F11/M11,1)))</f>
        <v>1.1</v>
      </c>
      <c r="H11" s="143">
        <f>IF(OR(NOT('Catálogo Productos'!B8&lt;&gt;""),D11="",D11=0),IF('Catálogo Productos'!B8&lt;&gt;"",IF(E11=0,"∞ (sin ventas)","🔴 Sin stock"),""),IF(G11="Sin ventas","∞ (sin ventas)",ROUND(D11*G11,0)))</f>
        <v>35</v>
      </c>
      <c r="I11" s="144">
        <f>IF(OR(NOT('Catálogo Productos'!B8&lt;&gt;""),H11="",ISNUMBER(SEARCH("∞",TEXT(H11,"@"))),ISNUMBER(SEARCH("🔴",TEXT(H11,"@")))),"",TODAY()+H11)</f>
        <v>46178</v>
      </c>
      <c r="J11" s="145" t="str">
        <f>IF(NOT('Catálogo Productos'!B8&lt;&gt;""),"",IF(OR(G11="Sin ventas",G11=""),"⚪ Sin ventas este mes",IF(G11&lt;=15,"🔥 Rotación rápida",IF(G11&lt;=30,"✅ Rotación normal","🐢 Rotación lenta"))))</f>
        <v>🔥 Rotación rápida</v>
      </c>
      <c r="K11" s="146">
        <f>IF('Catálogo Productos'!B8&lt;&gt;"",'Catálogo Productos'!G8,"")</f>
        <v>20</v>
      </c>
      <c r="L11" s="147" t="str">
        <f>IF(NOT(B11&lt;&gt;""),"",IF(D11=0,"🔴 REPONER YA",IF(OR(M11=0,M11=""),"🟢 Sin prisa",IF(Q11&lt;'Configuración'!$C$9,"🔴 PEDIR AHORA",IF(Q11&lt;('Configuración'!$C$9+'Configuración'!$C$10),"🟡 Reponer pronto","🟢 Sin prisa")))))</f>
        <v>🔴 PEDIR AHORA</v>
      </c>
      <c r="M11" s="148">
        <f>IF(B11="","",IF(OR(E11="",E11=0),0,ROUND(E11*('Configuración'!$C$4/'Configuración'!$C$11),1)))</f>
        <v>27.9</v>
      </c>
      <c r="N11" s="149">
        <f>IF(B11="","",IF(M11=0,"—",MAX(0,CEILING(M11*('Configuración'!$C$9+'Configuración'!$C$10)-D11,1))))</f>
        <v>108</v>
      </c>
      <c r="O11" s="150">
        <f t="shared" si="1"/>
        <v>46043</v>
      </c>
      <c r="P11" s="151" t="str">
        <f>IF(B11="","",IF(D11=0,"🔴 PEDIR URGENTE — sin stock",IF(OR(M11=0,M11=""),"⚪ Sin demanda — monitorear",IF(Q11&lt;'Configuración'!$C$9,"🔴 PEDIR AHORA — "&amp;N11&amp;" uds (stock cubre "&amp;Q11&amp;" meses, lead time "&amp;'Configuración'!$C$9&amp;" meses)",IF(Q11&lt;('Configuración'!$C$9+'Configuración'!$C$10),"🟡 VIGILAR — "&amp;N11&amp;" uds (cubre "&amp;Q11&amp;" meses, al límite del lead time)","🟢 OK — stock cubre "&amp;Q11&amp;" meses")))))</f>
        <v>🔴 PEDIR AHORA — 108 uds (stock cubre 1,1 meses, lead time 4 meses)</v>
      </c>
      <c r="Q11" s="2">
        <f t="shared" si="2"/>
        <v>1.1</v>
      </c>
      <c r="R11" s="2"/>
      <c r="S11" s="2"/>
      <c r="T11" s="2"/>
      <c r="U11" s="2"/>
      <c r="V11" s="2"/>
      <c r="W11" s="2"/>
      <c r="X11" s="2"/>
      <c r="Y11" s="2"/>
      <c r="Z11" s="2"/>
    </row>
    <row r="12" ht="27.75" customHeight="1">
      <c r="A12" s="61">
        <f>IF('Catálogo Productos'!B9&lt;&gt;"",COUNTA('Catálogo Productos'!$B$4:$B9),"")</f>
        <v>6</v>
      </c>
      <c r="B12" s="124" t="str">
        <f>IF('Catálogo Productos'!B9&lt;&gt;"",'Catálogo Productos'!B9,"")</f>
        <v>Clavijas Guitarra Clasica Doradas</v>
      </c>
      <c r="C12" s="124" t="str">
        <f>IF('Catálogo Productos'!B9&lt;&gt;"",'Catálogo Productos'!C9,"")</f>
        <v>Guitarra Clasica</v>
      </c>
      <c r="D12" s="141">
        <v>14.0</v>
      </c>
      <c r="E12" s="141">
        <f>IF('Catálogo Productos'!B9&lt;&gt;"",COUNTIF('Abril 2026 - Ventas'!$C$5:$C$303,'Catálogo Productos'!B9),"")</f>
        <v>6</v>
      </c>
      <c r="F12" s="128">
        <f>IF('Catálogo Productos'!B9&lt;&gt;"",'Configuración'!$C$4,"")</f>
        <v>31</v>
      </c>
      <c r="G12" s="142">
        <f>IF(OR(NOT('Catálogo Productos'!B9&lt;&gt;""),E12="",E12=0),IF('Catálogo Productos'!B9&lt;&gt;"","Sin ventas",""),IF(M12=0,"Sin ventas",ROUND(F12/M12,1)))</f>
        <v>1.7</v>
      </c>
      <c r="H12" s="143">
        <f>IF(OR(NOT('Catálogo Productos'!B9&lt;&gt;""),D12="",D12=0),IF('Catálogo Productos'!B9&lt;&gt;"",IF(E12=0,"∞ (sin ventas)","🔴 Sin stock"),""),IF(G12="Sin ventas","∞ (sin ventas)",ROUND(D12*G12,0)))</f>
        <v>24</v>
      </c>
      <c r="I12" s="144">
        <f>IF(OR(NOT('Catálogo Productos'!B9&lt;&gt;""),H12="",ISNUMBER(SEARCH("∞",TEXT(H12,"@"))),ISNUMBER(SEARCH("🔴",TEXT(H12,"@")))),"",TODAY()+H12)</f>
        <v>46167</v>
      </c>
      <c r="J12" s="145" t="str">
        <f>IF(NOT('Catálogo Productos'!B9&lt;&gt;""),"",IF(OR(G12="Sin ventas",G12=""),"⚪ Sin ventas este mes",IF(G12&lt;=15,"🔥 Rotación rápida",IF(G12&lt;=30,"✅ Rotación normal","🐢 Rotación lenta"))))</f>
        <v>🔥 Rotación rápida</v>
      </c>
      <c r="K12" s="146">
        <f>IF('Catálogo Productos'!B9&lt;&gt;"",'Catálogo Productos'!G9,"")</f>
        <v>5</v>
      </c>
      <c r="L12" s="147" t="str">
        <f>IF(NOT(B12&lt;&gt;""),"",IF(D12=0,"🔴 REPONER YA",IF(OR(M12=0,M12=""),"🟢 Sin prisa",IF(Q12&lt;'Configuración'!$C$9,"🔴 PEDIR AHORA",IF(Q12&lt;('Configuración'!$C$9+'Configuración'!$C$10),"🟡 Reponer pronto","🟢 Sin prisa")))))</f>
        <v>🔴 PEDIR AHORA</v>
      </c>
      <c r="M12" s="148">
        <f>IF(B12="","",IF(OR(E12="",E12=0),0,ROUND(E12*('Configuración'!$C$4/'Configuración'!$C$11),1)))</f>
        <v>18.6</v>
      </c>
      <c r="N12" s="149">
        <f>IF(B12="","",IF(M12=0,"—",MAX(0,CEILING(M12*('Configuración'!$C$9+'Configuración'!$C$10)-D12,1))))</f>
        <v>79</v>
      </c>
      <c r="O12" s="150">
        <f t="shared" si="1"/>
        <v>46032</v>
      </c>
      <c r="P12" s="151" t="str">
        <f>IF(B12="","",IF(D12=0,"🔴 PEDIR URGENTE — sin stock",IF(OR(M12=0,M12=""),"⚪ Sin demanda — monitorear",IF(Q12&lt;'Configuración'!$C$9,"🔴 PEDIR AHORA — "&amp;N12&amp;" uds (stock cubre "&amp;Q12&amp;" meses, lead time "&amp;'Configuración'!$C$9&amp;" meses)",IF(Q12&lt;('Configuración'!$C$9+'Configuración'!$C$10),"🟡 VIGILAR — "&amp;N12&amp;" uds (cubre "&amp;Q12&amp;" meses, al límite del lead time)","🟢 OK — stock cubre "&amp;Q12&amp;" meses")))))</f>
        <v>🔴 PEDIR AHORA — 79 uds (stock cubre 0,8 meses, lead time 4 meses)</v>
      </c>
      <c r="Q12" s="2">
        <f t="shared" si="2"/>
        <v>0.8</v>
      </c>
      <c r="R12" s="2"/>
      <c r="S12" s="2"/>
      <c r="T12" s="2"/>
      <c r="U12" s="2"/>
      <c r="V12" s="2"/>
      <c r="W12" s="2"/>
      <c r="X12" s="2"/>
      <c r="Y12" s="2"/>
      <c r="Z12" s="2"/>
    </row>
    <row r="13" ht="27.75" customHeight="1">
      <c r="A13" s="61">
        <f>IF('Catálogo Productos'!B10&lt;&gt;"",COUNTA('Catálogo Productos'!$B$4:$B10),"")</f>
        <v>7</v>
      </c>
      <c r="B13" s="124" t="str">
        <f>IF('Catálogo Productos'!B10&lt;&gt;"",'Catálogo Productos'!B10,"")</f>
        <v>Clavijas Guitarra Clasica Plateadas</v>
      </c>
      <c r="C13" s="124" t="str">
        <f>IF('Catálogo Productos'!B10&lt;&gt;"",'Catálogo Productos'!C10,"")</f>
        <v>Guitarra Clasica</v>
      </c>
      <c r="D13" s="141">
        <f>IF('Catálogo Productos'!B10&lt;&gt;"",'Catálogo Productos'!H65,"")</f>
        <v>10</v>
      </c>
      <c r="E13" s="141">
        <f>IF('Catálogo Productos'!B10&lt;&gt;"",COUNTIF('Abril 2026 - Ventas'!$C$5:$C$303,'Catálogo Productos'!B10),"")</f>
        <v>5</v>
      </c>
      <c r="F13" s="128">
        <f>IF('Catálogo Productos'!B10&lt;&gt;"",'Configuración'!$C$4,"")</f>
        <v>31</v>
      </c>
      <c r="G13" s="142">
        <f>IF(OR(NOT('Catálogo Productos'!B10&lt;&gt;""),E13="",E13=0),IF('Catálogo Productos'!B10&lt;&gt;"","Sin ventas",""),IF(M13=0,"Sin ventas",ROUND(F13/M13,1)))</f>
        <v>2</v>
      </c>
      <c r="H13" s="143">
        <f>IF(OR(NOT('Catálogo Productos'!B10&lt;&gt;""),D13="",D13=0),IF('Catálogo Productos'!B10&lt;&gt;"",IF(E13=0,"∞ (sin ventas)","🔴 Sin stock"),""),IF(G13="Sin ventas","∞ (sin ventas)",ROUND(D13*G13,0)))</f>
        <v>20</v>
      </c>
      <c r="I13" s="144">
        <f>IF(OR(NOT('Catálogo Productos'!B10&lt;&gt;""),H13="",ISNUMBER(SEARCH("∞",TEXT(H13,"@"))),ISNUMBER(SEARCH("🔴",TEXT(H13,"@")))),"",TODAY()+H13)</f>
        <v>46163</v>
      </c>
      <c r="J13" s="145" t="str">
        <f>IF(NOT('Catálogo Productos'!B10&lt;&gt;""),"",IF(OR(G13="Sin ventas",G13=""),"⚪ Sin ventas este mes",IF(G13&lt;=15,"🔥 Rotación rápida",IF(G13&lt;=30,"✅ Rotación normal","🐢 Rotación lenta"))))</f>
        <v>🔥 Rotación rápida</v>
      </c>
      <c r="K13" s="146">
        <f>IF('Catálogo Productos'!B10&lt;&gt;"",'Catálogo Productos'!G10,"")</f>
        <v>5</v>
      </c>
      <c r="L13" s="147" t="str">
        <f>IF(NOT(B13&lt;&gt;""),"",IF(D13=0,"🔴 REPONER YA",IF(OR(M13=0,M13=""),"🟢 Sin prisa",IF(Q13&lt;'Configuración'!$C$9,"🔴 PEDIR AHORA",IF(Q13&lt;('Configuración'!$C$9+'Configuración'!$C$10),"🟡 Reponer pronto","🟢 Sin prisa")))))</f>
        <v>🔴 PEDIR AHORA</v>
      </c>
      <c r="M13" s="148">
        <f>IF(B13="","",IF(OR(E13="",E13=0),0,ROUND(E13*('Configuración'!$C$4/'Configuración'!$C$11),1)))</f>
        <v>15.5</v>
      </c>
      <c r="N13" s="149">
        <f>IF(B13="","",IF(M13=0,"—",MAX(0,CEILING(M13*('Configuración'!$C$9+'Configuración'!$C$10)-D13,1))))</f>
        <v>68</v>
      </c>
      <c r="O13" s="150">
        <f t="shared" si="1"/>
        <v>46028</v>
      </c>
      <c r="P13" s="151" t="str">
        <f>IF(B13="","",IF(D13=0,"🔴 PEDIR URGENTE — sin stock",IF(OR(M13=0,M13=""),"⚪ Sin demanda — monitorear",IF(Q13&lt;'Configuración'!$C$9,"🔴 PEDIR AHORA — "&amp;N13&amp;" uds (stock cubre "&amp;Q13&amp;" meses, lead time "&amp;'Configuración'!$C$9&amp;" meses)",IF(Q13&lt;('Configuración'!$C$9+'Configuración'!$C$10),"🟡 VIGILAR — "&amp;N13&amp;" uds (cubre "&amp;Q13&amp;" meses, al límite del lead time)","🟢 OK — stock cubre "&amp;Q13&amp;" meses")))))</f>
        <v>🔴 PEDIR AHORA — 68 uds (stock cubre 0,6 meses, lead time 4 meses)</v>
      </c>
      <c r="Q13" s="2">
        <f t="shared" si="2"/>
        <v>0.6</v>
      </c>
      <c r="R13" s="2"/>
      <c r="S13" s="2"/>
      <c r="T13" s="2"/>
      <c r="U13" s="2"/>
      <c r="V13" s="2"/>
      <c r="W13" s="2"/>
      <c r="X13" s="2"/>
      <c r="Y13" s="2"/>
      <c r="Z13" s="2"/>
    </row>
    <row r="14" ht="27.75" customHeight="1">
      <c r="A14" s="61">
        <f>IF('Catálogo Productos'!B11&lt;&gt;"",COUNTA('Catálogo Productos'!$B$4:$B11),"")</f>
        <v>8</v>
      </c>
      <c r="B14" s="124" t="str">
        <f>IF('Catálogo Productos'!B11&lt;&gt;"",'Catálogo Productos'!B11,"")</f>
        <v>Correa Guitarra/Bajo</v>
      </c>
      <c r="C14" s="124" t="str">
        <f>IF('Catálogo Productos'!B11&lt;&gt;"",'Catálogo Productos'!C11,"")</f>
        <v>Correas</v>
      </c>
      <c r="D14" s="141">
        <f>IF('Catálogo Productos'!B11&lt;&gt;"",'Catálogo Productos'!H66,"")</f>
        <v>21</v>
      </c>
      <c r="E14" s="141">
        <f>IF('Catálogo Productos'!B11&lt;&gt;"",COUNTIF('Abril 2026 - Ventas'!$C$5:$C$303,'Catálogo Productos'!B11),"")</f>
        <v>3</v>
      </c>
      <c r="F14" s="128">
        <f>IF('Catálogo Productos'!B11&lt;&gt;"",'Configuración'!$C$4,"")</f>
        <v>31</v>
      </c>
      <c r="G14" s="142">
        <f>IF(OR(NOT('Catálogo Productos'!B11&lt;&gt;""),E14="",E14=0),IF('Catálogo Productos'!B11&lt;&gt;"","Sin ventas",""),IF(M14=0,"Sin ventas",ROUND(F14/M14,1)))</f>
        <v>3.3</v>
      </c>
      <c r="H14" s="143">
        <f>IF(OR(NOT('Catálogo Productos'!B11&lt;&gt;""),D14="",D14=0),IF('Catálogo Productos'!B11&lt;&gt;"",IF(E14=0,"∞ (sin ventas)","🔴 Sin stock"),""),IF(G14="Sin ventas","∞ (sin ventas)",ROUND(D14*G14,0)))</f>
        <v>69</v>
      </c>
      <c r="I14" s="144">
        <f>IF(OR(NOT('Catálogo Productos'!B11&lt;&gt;""),H14="",ISNUMBER(SEARCH("∞",TEXT(H14,"@"))),ISNUMBER(SEARCH("🔴",TEXT(H14,"@")))),"",TODAY()+H14)</f>
        <v>46212</v>
      </c>
      <c r="J14" s="145" t="str">
        <f>IF(NOT('Catálogo Productos'!B11&lt;&gt;""),"",IF(OR(G14="Sin ventas",G14=""),"⚪ Sin ventas este mes",IF(G14&lt;=15,"🔥 Rotación rápida",IF(G14&lt;=30,"✅ Rotación normal","🐢 Rotación lenta"))))</f>
        <v>🔥 Rotación rápida</v>
      </c>
      <c r="K14" s="146">
        <f>IF('Catálogo Productos'!B11&lt;&gt;"",'Catálogo Productos'!G11,"")</f>
        <v>10</v>
      </c>
      <c r="L14" s="147" t="str">
        <f>IF(NOT(B14&lt;&gt;""),"",IF(D14=0,"🔴 REPONER YA",IF(OR(M14=0,M14=""),"🟢 Sin prisa",IF(Q14&lt;'Configuración'!$C$9,"🔴 PEDIR AHORA",IF(Q14&lt;('Configuración'!$C$9+'Configuración'!$C$10),"🟡 Reponer pronto","🟢 Sin prisa")))))</f>
        <v>🔴 PEDIR AHORA</v>
      </c>
      <c r="M14" s="148">
        <f>IF(B14="","",IF(OR(E14="",E14=0),0,ROUND(E14*('Configuración'!$C$4/'Configuración'!$C$11),1)))</f>
        <v>9.3</v>
      </c>
      <c r="N14" s="149">
        <f>IF(B14="","",IF(M14=0,"—",MAX(0,CEILING(M14*('Configuración'!$C$9+'Configuración'!$C$10)-D14,1))))</f>
        <v>26</v>
      </c>
      <c r="O14" s="150">
        <f t="shared" si="1"/>
        <v>46077</v>
      </c>
      <c r="P14" s="151" t="str">
        <f>IF(B14="","",IF(D14=0,"🔴 PEDIR URGENTE — sin stock",IF(OR(M14=0,M14=""),"⚪ Sin demanda — monitorear",IF(Q14&lt;'Configuración'!$C$9,"🔴 PEDIR AHORA — "&amp;N14&amp;" uds (stock cubre "&amp;Q14&amp;" meses, lead time "&amp;'Configuración'!$C$9&amp;" meses)",IF(Q14&lt;('Configuración'!$C$9+'Configuración'!$C$10),"🟡 VIGILAR — "&amp;N14&amp;" uds (cubre "&amp;Q14&amp;" meses, al límite del lead time)","🟢 OK — stock cubre "&amp;Q14&amp;" meses")))))</f>
        <v>🔴 PEDIR AHORA — 26 uds (stock cubre 2,3 meses, lead time 4 meses)</v>
      </c>
      <c r="Q14" s="2">
        <f t="shared" si="2"/>
        <v>2.3</v>
      </c>
      <c r="R14" s="2"/>
      <c r="S14" s="2"/>
      <c r="T14" s="2"/>
      <c r="U14" s="2"/>
      <c r="V14" s="2"/>
      <c r="W14" s="2"/>
      <c r="X14" s="2"/>
      <c r="Y14" s="2"/>
      <c r="Z14" s="2"/>
    </row>
    <row r="15" ht="27.75" customHeight="1">
      <c r="A15" s="61">
        <f>IF('Catálogo Productos'!B12&lt;&gt;"",COUNTA('Catálogo Productos'!$B$4:$B12),"")</f>
        <v>9</v>
      </c>
      <c r="B15" s="124" t="str">
        <f>IF('Catálogo Productos'!B12&lt;&gt;"",'Catálogo Productos'!B12,"")</f>
        <v>Base pared Guitarra/Bajo</v>
      </c>
      <c r="C15" s="124" t="str">
        <f>IF('Catálogo Productos'!B12&lt;&gt;"",'Catálogo Productos'!C12,"")</f>
        <v>Bases, Stand, Atriles</v>
      </c>
      <c r="D15" s="141">
        <f>IF('Catálogo Productos'!B12&lt;&gt;"",'Catálogo Productos'!H67,"")</f>
        <v>58</v>
      </c>
      <c r="E15" s="141">
        <f>IF('Catálogo Productos'!B12&lt;&gt;"",COUNTIF('Abril 2026 - Ventas'!$C$5:$C$303,'Catálogo Productos'!B12),"")</f>
        <v>23</v>
      </c>
      <c r="F15" s="128">
        <f>IF('Catálogo Productos'!B12&lt;&gt;"",'Configuración'!$C$4,"")</f>
        <v>31</v>
      </c>
      <c r="G15" s="142">
        <f>IF(OR(NOT('Catálogo Productos'!B12&lt;&gt;""),E15="",E15=0),IF('Catálogo Productos'!B12&lt;&gt;"","Sin ventas",""),IF(M15=0,"Sin ventas",ROUND(F15/M15,1)))</f>
        <v>0.4</v>
      </c>
      <c r="H15" s="143">
        <f>IF(OR(NOT('Catálogo Productos'!B12&lt;&gt;""),D15="",D15=0),IF('Catálogo Productos'!B12&lt;&gt;"",IF(E15=0,"∞ (sin ventas)","🔴 Sin stock"),""),IF(G15="Sin ventas","∞ (sin ventas)",ROUND(D15*G15,0)))</f>
        <v>23</v>
      </c>
      <c r="I15" s="144">
        <f>IF(OR(NOT('Catálogo Productos'!B12&lt;&gt;""),H15="",ISNUMBER(SEARCH("∞",TEXT(H15,"@"))),ISNUMBER(SEARCH("🔴",TEXT(H15,"@")))),"",TODAY()+H15)</f>
        <v>46166</v>
      </c>
      <c r="J15" s="145" t="str">
        <f>IF(NOT('Catálogo Productos'!B12&lt;&gt;""),"",IF(OR(G15="Sin ventas",G15=""),"⚪ Sin ventas este mes",IF(G15&lt;=15,"🔥 Rotación rápida",IF(G15&lt;=30,"✅ Rotación normal","🐢 Rotación lenta"))))</f>
        <v>🔥 Rotación rápida</v>
      </c>
      <c r="K15" s="146">
        <f>IF('Catálogo Productos'!B12&lt;&gt;"",'Catálogo Productos'!G12,"")</f>
        <v>20</v>
      </c>
      <c r="L15" s="147" t="str">
        <f>IF(NOT(B15&lt;&gt;""),"",IF(D15=0,"🔴 REPONER YA",IF(OR(M15=0,M15=""),"🟢 Sin prisa",IF(Q15&lt;'Configuración'!$C$9,"🔴 PEDIR AHORA",IF(Q15&lt;('Configuración'!$C$9+'Configuración'!$C$10),"🟡 Reponer pronto","🟢 Sin prisa")))))</f>
        <v>🔴 PEDIR AHORA</v>
      </c>
      <c r="M15" s="148">
        <f>IF(B15="","",IF(OR(E15="",E15=0),0,ROUND(E15*('Configuración'!$C$4/'Configuración'!$C$11),1)))</f>
        <v>71.3</v>
      </c>
      <c r="N15" s="149">
        <f>IF(B15="","",IF(M15=0,"—",MAX(0,CEILING(M15*('Configuración'!$C$9+'Configuración'!$C$10)-D15,1))))</f>
        <v>299</v>
      </c>
      <c r="O15" s="150">
        <f t="shared" si="1"/>
        <v>46031</v>
      </c>
      <c r="P15" s="151" t="str">
        <f>IF(B15="","",IF(D15=0,"🔴 PEDIR URGENTE — sin stock",IF(OR(M15=0,M15=""),"⚪ Sin demanda — monitorear",IF(Q15&lt;'Configuración'!$C$9,"🔴 PEDIR AHORA — "&amp;N15&amp;" uds (stock cubre "&amp;Q15&amp;" meses, lead time "&amp;'Configuración'!$C$9&amp;" meses)",IF(Q15&lt;('Configuración'!$C$9+'Configuración'!$C$10),"🟡 VIGILAR — "&amp;N15&amp;" uds (cubre "&amp;Q15&amp;" meses, al límite del lead time)","🟢 OK — stock cubre "&amp;Q15&amp;" meses")))))</f>
        <v>🔴 PEDIR AHORA — 299 uds (stock cubre 0,8 meses, lead time 4 meses)</v>
      </c>
      <c r="Q15" s="2">
        <f t="shared" si="2"/>
        <v>0.8</v>
      </c>
      <c r="R15" s="2"/>
      <c r="S15" s="2"/>
      <c r="T15" s="2"/>
      <c r="U15" s="2"/>
      <c r="V15" s="2"/>
      <c r="W15" s="2"/>
      <c r="X15" s="2"/>
      <c r="Y15" s="2"/>
      <c r="Z15" s="2"/>
    </row>
    <row r="16" ht="27.75" customHeight="1">
      <c r="A16" s="61">
        <f>IF('Catálogo Productos'!B13&lt;&gt;"",COUNTA('Catálogo Productos'!$B$4:$B13),"")</f>
        <v>10</v>
      </c>
      <c r="B16" s="124" t="str">
        <f>IF('Catálogo Productos'!B13&lt;&gt;"",'Catálogo Productos'!B13,"")</f>
        <v>Capotraste</v>
      </c>
      <c r="C16" s="124" t="str">
        <f>IF('Catálogo Productos'!B13&lt;&gt;"",'Catálogo Productos'!C13,"")</f>
        <v>Capostraste</v>
      </c>
      <c r="D16" s="141">
        <f>IF('Catálogo Productos'!B13&lt;&gt;"",'Catálogo Productos'!H68,"")</f>
        <v>21</v>
      </c>
      <c r="E16" s="141">
        <f>IF('Catálogo Productos'!B13&lt;&gt;"",COUNTIF('Abril 2026 - Ventas'!$C$5:$C$303,'Catálogo Productos'!B13),"")</f>
        <v>4</v>
      </c>
      <c r="F16" s="128">
        <f>IF('Catálogo Productos'!B13&lt;&gt;"",'Configuración'!$C$4,"")</f>
        <v>31</v>
      </c>
      <c r="G16" s="142">
        <f>IF(OR(NOT('Catálogo Productos'!B13&lt;&gt;""),E16="",E16=0),IF('Catálogo Productos'!B13&lt;&gt;"","Sin ventas",""),IF(M16=0,"Sin ventas",ROUND(F16/M16,1)))</f>
        <v>2.5</v>
      </c>
      <c r="H16" s="143">
        <f>IF(OR(NOT('Catálogo Productos'!B13&lt;&gt;""),D16="",D16=0),IF('Catálogo Productos'!B13&lt;&gt;"",IF(E16=0,"∞ (sin ventas)","🔴 Sin stock"),""),IF(G16="Sin ventas","∞ (sin ventas)",ROUND(D16*G16,0)))</f>
        <v>53</v>
      </c>
      <c r="I16" s="144">
        <f>IF(OR(NOT('Catálogo Productos'!B13&lt;&gt;""),H16="",ISNUMBER(SEARCH("∞",TEXT(H16,"@"))),ISNUMBER(SEARCH("🔴",TEXT(H16,"@")))),"",TODAY()+H16)</f>
        <v>46196</v>
      </c>
      <c r="J16" s="145" t="str">
        <f>IF(NOT('Catálogo Productos'!B13&lt;&gt;""),"",IF(OR(G16="Sin ventas",G16=""),"⚪ Sin ventas este mes",IF(G16&lt;=15,"🔥 Rotación rápida",IF(G16&lt;=30,"✅ Rotación normal","🐢 Rotación lenta"))))</f>
        <v>🔥 Rotación rápida</v>
      </c>
      <c r="K16" s="146">
        <f>IF('Catálogo Productos'!B13&lt;&gt;"",'Catálogo Productos'!G13,"")</f>
        <v>10</v>
      </c>
      <c r="L16" s="147" t="str">
        <f>IF(NOT(B16&lt;&gt;""),"",IF(D16=0,"🔴 REPONER YA",IF(OR(M16=0,M16=""),"🟢 Sin prisa",IF(Q16&lt;'Configuración'!$C$9,"🔴 PEDIR AHORA",IF(Q16&lt;('Configuración'!$C$9+'Configuración'!$C$10),"🟡 Reponer pronto","🟢 Sin prisa")))))</f>
        <v>🔴 PEDIR AHORA</v>
      </c>
      <c r="M16" s="148">
        <f>IF(B16="","",IF(OR(E16="",E16=0),0,ROUND(E16*('Configuración'!$C$4/'Configuración'!$C$11),1)))</f>
        <v>12.4</v>
      </c>
      <c r="N16" s="149">
        <f>IF(B16="","",IF(M16=0,"—",MAX(0,CEILING(M16*('Configuración'!$C$9+'Configuración'!$C$10)-D16,1))))</f>
        <v>41</v>
      </c>
      <c r="O16" s="150">
        <f t="shared" si="1"/>
        <v>46061</v>
      </c>
      <c r="P16" s="151" t="str">
        <f>IF(B16="","",IF(D16=0,"🔴 PEDIR URGENTE — sin stock",IF(OR(M16=0,M16=""),"⚪ Sin demanda — monitorear",IF(Q16&lt;'Configuración'!$C$9,"🔴 PEDIR AHORA — "&amp;N16&amp;" uds (stock cubre "&amp;Q16&amp;" meses, lead time "&amp;'Configuración'!$C$9&amp;" meses)",IF(Q16&lt;('Configuración'!$C$9+'Configuración'!$C$10),"🟡 VIGILAR — "&amp;N16&amp;" uds (cubre "&amp;Q16&amp;" meses, al límite del lead time)","🟢 OK — stock cubre "&amp;Q16&amp;" meses")))))</f>
        <v>🔴 PEDIR AHORA — 41 uds (stock cubre 1,7 meses, lead time 4 meses)</v>
      </c>
      <c r="Q16" s="2">
        <f t="shared" si="2"/>
        <v>1.7</v>
      </c>
      <c r="R16" s="2"/>
      <c r="S16" s="2"/>
      <c r="T16" s="2"/>
      <c r="U16" s="2"/>
      <c r="V16" s="2"/>
      <c r="W16" s="2"/>
      <c r="X16" s="2"/>
      <c r="Y16" s="2"/>
      <c r="Z16" s="2"/>
    </row>
    <row r="17" ht="27.75" customHeight="1">
      <c r="A17" s="61">
        <f>IF('Catálogo Productos'!B14&lt;&gt;"",COUNTA('Catálogo Productos'!$B$4:$B14),"")</f>
        <v>11</v>
      </c>
      <c r="B17" s="124" t="str">
        <f>IF('Catálogo Productos'!B14&lt;&gt;"",'Catálogo Productos'!B14,"")</f>
        <v>Cuerdas de Violin 4/4</v>
      </c>
      <c r="C17" s="124" t="str">
        <f>IF('Catálogo Productos'!B14&lt;&gt;"",'Catálogo Productos'!C14,"")</f>
        <v>Violin</v>
      </c>
      <c r="D17" s="141">
        <f>IF('Catálogo Productos'!B14&lt;&gt;"",'Catálogo Productos'!H69,"")</f>
        <v>40</v>
      </c>
      <c r="E17" s="141">
        <f>IF('Catálogo Productos'!B14&lt;&gt;"",COUNTIF('Abril 2026 - Ventas'!$C$5:$C$303,'Catálogo Productos'!B14),"")</f>
        <v>3</v>
      </c>
      <c r="F17" s="128">
        <f>IF('Catálogo Productos'!B14&lt;&gt;"",'Configuración'!$C$4,"")</f>
        <v>31</v>
      </c>
      <c r="G17" s="142">
        <f>IF(OR(NOT('Catálogo Productos'!B14&lt;&gt;""),E17="",E17=0),IF('Catálogo Productos'!B14&lt;&gt;"","Sin ventas",""),IF(M17=0,"Sin ventas",ROUND(F17/M17,1)))</f>
        <v>3.3</v>
      </c>
      <c r="H17" s="143">
        <f>IF(OR(NOT('Catálogo Productos'!B14&lt;&gt;""),D17="",D17=0),IF('Catálogo Productos'!B14&lt;&gt;"",IF(E17=0,"∞ (sin ventas)","🔴 Sin stock"),""),IF(G17="Sin ventas","∞ (sin ventas)",ROUND(D17*G17,0)))</f>
        <v>132</v>
      </c>
      <c r="I17" s="144">
        <f>IF(OR(NOT('Catálogo Productos'!B14&lt;&gt;""),H17="",ISNUMBER(SEARCH("∞",TEXT(H17,"@"))),ISNUMBER(SEARCH("🔴",TEXT(H17,"@")))),"",TODAY()+H17)</f>
        <v>46275</v>
      </c>
      <c r="J17" s="145" t="str">
        <f>IF(NOT('Catálogo Productos'!B14&lt;&gt;""),"",IF(OR(G17="Sin ventas",G17=""),"⚪ Sin ventas este mes",IF(G17&lt;=15,"🔥 Rotación rápida",IF(G17&lt;=30,"✅ Rotación normal","🐢 Rotación lenta"))))</f>
        <v>🔥 Rotación rápida</v>
      </c>
      <c r="K17" s="146">
        <f>IF('Catálogo Productos'!B14&lt;&gt;"",'Catálogo Productos'!G14,"")</f>
        <v>10</v>
      </c>
      <c r="L17" s="147" t="str">
        <f>IF(NOT(B17&lt;&gt;""),"",IF(D17=0,"🔴 REPONER YA",IF(OR(M17=0,M17=""),"🟢 Sin prisa",IF(Q17&lt;'Configuración'!$C$9,"🔴 PEDIR AHORA",IF(Q17&lt;('Configuración'!$C$9+'Configuración'!$C$10),"🟡 Reponer pronto","🟢 Sin prisa")))))</f>
        <v>🟡 Reponer pronto</v>
      </c>
      <c r="M17" s="148">
        <f>IF(B17="","",IF(OR(E17="",E17=0),0,ROUND(E17*('Configuración'!$C$4/'Configuración'!$C$11),1)))</f>
        <v>9.3</v>
      </c>
      <c r="N17" s="149">
        <f>IF(B17="","",IF(M17=0,"—",MAX(0,CEILING(M17*('Configuración'!$C$9+'Configuración'!$C$10)-D17,1))))</f>
        <v>7</v>
      </c>
      <c r="O17" s="150">
        <f t="shared" si="1"/>
        <v>46140</v>
      </c>
      <c r="P17" s="151" t="str">
        <f>IF(B17="","",IF(D17=0,"🔴 PEDIR URGENTE — sin stock",IF(OR(M17=0,M17=""),"⚪ Sin demanda — monitorear",IF(Q17&lt;'Configuración'!$C$9,"🔴 PEDIR AHORA — "&amp;N17&amp;" uds (stock cubre "&amp;Q17&amp;" meses, lead time "&amp;'Configuración'!$C$9&amp;" meses)",IF(Q17&lt;('Configuración'!$C$9+'Configuración'!$C$10),"🟡 VIGILAR — "&amp;N17&amp;" uds (cubre "&amp;Q17&amp;" meses, al límite del lead time)","🟢 OK — stock cubre "&amp;Q17&amp;" meses")))))</f>
        <v>🟡 VIGILAR — 7 uds (cubre 4,3 meses, al límite del lead time)</v>
      </c>
      <c r="Q17" s="2">
        <f t="shared" si="2"/>
        <v>4.3</v>
      </c>
      <c r="R17" s="2"/>
      <c r="S17" s="2"/>
      <c r="T17" s="2"/>
      <c r="U17" s="2"/>
      <c r="V17" s="2"/>
      <c r="W17" s="2"/>
      <c r="X17" s="2"/>
      <c r="Y17" s="2"/>
      <c r="Z17" s="2"/>
    </row>
    <row r="18" ht="27.75" customHeight="1">
      <c r="A18" s="61">
        <f>IF('Catálogo Productos'!B15&lt;&gt;"",COUNTA('Catálogo Productos'!$B$4:$B15),"")</f>
        <v>12</v>
      </c>
      <c r="B18" s="124" t="str">
        <f>IF('Catálogo Productos'!B15&lt;&gt;"",'Catálogo Productos'!B15,"")</f>
        <v>Cable Hebikuo XA03</v>
      </c>
      <c r="C18" s="124" t="str">
        <f>IF('Catálogo Productos'!B15&lt;&gt;"",'Catálogo Productos'!C15,"")</f>
        <v>Cables</v>
      </c>
      <c r="D18" s="141">
        <f>IF('Catálogo Productos'!B15&lt;&gt;"",'Catálogo Productos'!H70,"")</f>
        <v>13</v>
      </c>
      <c r="E18" s="141">
        <f>IF('Catálogo Productos'!B15&lt;&gt;"",COUNTIF('Abril 2026 - Ventas'!$C$5:$C$303,'Catálogo Productos'!B15),"")</f>
        <v>13</v>
      </c>
      <c r="F18" s="128">
        <f>IF('Catálogo Productos'!B15&lt;&gt;"",'Configuración'!$C$4,"")</f>
        <v>31</v>
      </c>
      <c r="G18" s="142">
        <f>IF(OR(NOT('Catálogo Productos'!B15&lt;&gt;""),E18="",E18=0),IF('Catálogo Productos'!B15&lt;&gt;"","Sin ventas",""),IF(M18=0,"Sin ventas",ROUND(F18/M18,1)))</f>
        <v>0.8</v>
      </c>
      <c r="H18" s="143">
        <f>IF(OR(NOT('Catálogo Productos'!B15&lt;&gt;""),D18="",D18=0),IF('Catálogo Productos'!B15&lt;&gt;"",IF(E18=0,"∞ (sin ventas)","🔴 Sin stock"),""),IF(G18="Sin ventas","∞ (sin ventas)",ROUND(D18*G18,0)))</f>
        <v>10</v>
      </c>
      <c r="I18" s="144">
        <f>IF(OR(NOT('Catálogo Productos'!B15&lt;&gt;""),H18="",ISNUMBER(SEARCH("∞",TEXT(H18,"@"))),ISNUMBER(SEARCH("🔴",TEXT(H18,"@")))),"",TODAY()+H18)</f>
        <v>46153</v>
      </c>
      <c r="J18" s="145" t="str">
        <f>IF(NOT('Catálogo Productos'!B15&lt;&gt;""),"",IF(OR(G18="Sin ventas",G18=""),"⚪ Sin ventas este mes",IF(G18&lt;=15,"🔥 Rotación rápida",IF(G18&lt;=30,"✅ Rotación normal","🐢 Rotación lenta"))))</f>
        <v>🔥 Rotación rápida</v>
      </c>
      <c r="K18" s="146">
        <f>IF('Catálogo Productos'!B15&lt;&gt;"",'Catálogo Productos'!G15,"")</f>
        <v>10</v>
      </c>
      <c r="L18" s="147" t="str">
        <f>IF(NOT(B18&lt;&gt;""),"",IF(D18=0,"🔴 REPONER YA",IF(OR(M18=0,M18=""),"🟢 Sin prisa",IF(Q18&lt;'Configuración'!$C$9,"🔴 PEDIR AHORA",IF(Q18&lt;('Configuración'!$C$9+'Configuración'!$C$10),"🟡 Reponer pronto","🟢 Sin prisa")))))</f>
        <v>🔴 PEDIR AHORA</v>
      </c>
      <c r="M18" s="148">
        <f>IF(B18="","",IF(OR(E18="",E18=0),0,ROUND(E18*('Configuración'!$C$4/'Configuración'!$C$11),1)))</f>
        <v>40.3</v>
      </c>
      <c r="N18" s="149">
        <f>IF(B18="","",IF(M18=0,"—",MAX(0,CEILING(M18*('Configuración'!$C$9+'Configuración'!$C$10)-D18,1))))</f>
        <v>189</v>
      </c>
      <c r="O18" s="150">
        <f t="shared" si="1"/>
        <v>46018</v>
      </c>
      <c r="P18" s="151" t="str">
        <f>IF(B18="","",IF(D18=0,"🔴 PEDIR URGENTE — sin stock",IF(OR(M18=0,M18=""),"⚪ Sin demanda — monitorear",IF(Q18&lt;'Configuración'!$C$9,"🔴 PEDIR AHORA — "&amp;N18&amp;" uds (stock cubre "&amp;Q18&amp;" meses, lead time "&amp;'Configuración'!$C$9&amp;" meses)",IF(Q18&lt;('Configuración'!$C$9+'Configuración'!$C$10),"🟡 VIGILAR — "&amp;N18&amp;" uds (cubre "&amp;Q18&amp;" meses, al límite del lead time)","🟢 OK — stock cubre "&amp;Q18&amp;" meses")))))</f>
        <v>🔴 PEDIR AHORA — 189 uds (stock cubre 0,3 meses, lead time 4 meses)</v>
      </c>
      <c r="Q18" s="2">
        <f t="shared" si="2"/>
        <v>0.3</v>
      </c>
      <c r="R18" s="2"/>
      <c r="S18" s="2"/>
      <c r="T18" s="2"/>
      <c r="U18" s="2"/>
      <c r="V18" s="2"/>
      <c r="W18" s="2"/>
      <c r="X18" s="2"/>
      <c r="Y18" s="2"/>
      <c r="Z18" s="2"/>
    </row>
    <row r="19" ht="27.75" customHeight="1">
      <c r="A19" s="61">
        <f>IF('Catálogo Productos'!B16&lt;&gt;"",COUNTA('Catálogo Productos'!$B$4:$B16),"")</f>
        <v>13</v>
      </c>
      <c r="B19" s="124" t="str">
        <f>IF('Catálogo Productos'!B16&lt;&gt;"",'Catálogo Productos'!B16,"")</f>
        <v>Cejilla/Cejuela</v>
      </c>
      <c r="C19" s="124" t="str">
        <f>IF('Catálogo Productos'!B16&lt;&gt;"",'Catálogo Productos'!C16,"")</f>
        <v>Guitarra Clasica</v>
      </c>
      <c r="D19" s="141">
        <v>50.0</v>
      </c>
      <c r="E19" s="141">
        <f>IF('Catálogo Productos'!B16&lt;&gt;"",COUNTIF('Abril 2026 - Ventas'!$C$5:$C$303,'Catálogo Productos'!B16),"")</f>
        <v>3</v>
      </c>
      <c r="F19" s="128">
        <f>IF('Catálogo Productos'!B16&lt;&gt;"",'Configuración'!$C$4,"")</f>
        <v>31</v>
      </c>
      <c r="G19" s="142">
        <f>IF(OR(NOT('Catálogo Productos'!B16&lt;&gt;""),E19="",E19=0),IF('Catálogo Productos'!B16&lt;&gt;"","Sin ventas",""),IF(M19=0,"Sin ventas",ROUND(F19/M19,1)))</f>
        <v>3.3</v>
      </c>
      <c r="H19" s="143">
        <f>IF(OR(NOT('Catálogo Productos'!B16&lt;&gt;""),D19="",D19=0),IF('Catálogo Productos'!B16&lt;&gt;"",IF(E19=0,"∞ (sin ventas)","🔴 Sin stock"),""),IF(G19="Sin ventas","∞ (sin ventas)",ROUND(D19*G19,0)))</f>
        <v>165</v>
      </c>
      <c r="I19" s="144">
        <f>IF(OR(NOT('Catálogo Productos'!B16&lt;&gt;""),H19="",ISNUMBER(SEARCH("∞",TEXT(H19,"@"))),ISNUMBER(SEARCH("🔴",TEXT(H19,"@")))),"",TODAY()+H19)</f>
        <v>46308</v>
      </c>
      <c r="J19" s="145" t="str">
        <f>IF(NOT('Catálogo Productos'!B16&lt;&gt;""),"",IF(OR(G19="Sin ventas",G19=""),"⚪ Sin ventas este mes",IF(G19&lt;=15,"🔥 Rotación rápida",IF(G19&lt;=30,"✅ Rotación normal","🐢 Rotación lenta"))))</f>
        <v>🔥 Rotación rápida</v>
      </c>
      <c r="K19" s="146">
        <f>IF('Catálogo Productos'!B16&lt;&gt;"",'Catálogo Productos'!G16,"")</f>
        <v>20</v>
      </c>
      <c r="L19" s="147" t="str">
        <f>IF(NOT(B19&lt;&gt;""),"",IF(D19=0,"🔴 REPONER YA",IF(OR(M19=0,M19=""),"🟢 Sin prisa",IF(Q19&lt;'Configuración'!$C$9,"🔴 PEDIR AHORA",IF(Q19&lt;('Configuración'!$C$9+'Configuración'!$C$10),"🟡 Reponer pronto","🟢 Sin prisa")))))</f>
        <v>🟢 Sin prisa</v>
      </c>
      <c r="M19" s="148">
        <f>IF(B19="","",IF(OR(E19="",E19=0),0,ROUND(E19*('Configuración'!$C$4/'Configuración'!$C$11),1)))</f>
        <v>9.3</v>
      </c>
      <c r="N19" s="149">
        <f>IF(B19="","",IF(M19=0,"—",MAX(0,CEILING(M19*('Configuración'!$C$9+'Configuración'!$C$10)-D19,1))))</f>
        <v>0</v>
      </c>
      <c r="O19" s="150">
        <f t="shared" si="1"/>
        <v>46173</v>
      </c>
      <c r="P19" s="151" t="str">
        <f>IF(B19="","",IF(D19=0,"🔴 PEDIR URGENTE — sin stock",IF(OR(M19=0,M19=""),"⚪ Sin demanda — monitorear",IF(Q19&lt;'Configuración'!$C$9,"🔴 PEDIR AHORA — "&amp;N19&amp;" uds (stock cubre "&amp;Q19&amp;" meses, lead time "&amp;'Configuración'!$C$9&amp;" meses)",IF(Q19&lt;('Configuración'!$C$9+'Configuración'!$C$10),"🟡 VIGILAR — "&amp;N19&amp;" uds (cubre "&amp;Q19&amp;" meses, al límite del lead time)","🟢 OK — stock cubre "&amp;Q19&amp;" meses")))))</f>
        <v>🟢 OK — stock cubre 5,4 meses</v>
      </c>
      <c r="Q19" s="2">
        <f t="shared" si="2"/>
        <v>5.4</v>
      </c>
      <c r="R19" s="2"/>
      <c r="S19" s="2"/>
      <c r="T19" s="2"/>
      <c r="U19" s="2"/>
      <c r="V19" s="2"/>
      <c r="W19" s="2"/>
      <c r="X19" s="2"/>
      <c r="Y19" s="2"/>
      <c r="Z19" s="2"/>
    </row>
    <row r="20" ht="27.75" customHeight="1">
      <c r="A20" s="61">
        <f>IF('Catálogo Productos'!B17&lt;&gt;"",COUNTA('Catálogo Productos'!$B$4:$B17),"")</f>
        <v>14</v>
      </c>
      <c r="B20" s="124" t="str">
        <f>IF('Catálogo Productos'!B17&lt;&gt;"",'Catálogo Productos'!B17,"")</f>
        <v>Pines de Correa</v>
      </c>
      <c r="C20" s="124" t="str">
        <f>IF('Catálogo Productos'!B17&lt;&gt;"",'Catálogo Productos'!C17,"")</f>
        <v>Guitarra Acustica</v>
      </c>
      <c r="D20" s="141">
        <v>40.0</v>
      </c>
      <c r="E20" s="141">
        <f>IF('Catálogo Productos'!B17&lt;&gt;"",COUNTIF('Abril 2026 - Ventas'!$C$5:$C$303,'Catálogo Productos'!B17),"")</f>
        <v>5</v>
      </c>
      <c r="F20" s="128">
        <f>IF('Catálogo Productos'!B17&lt;&gt;"",'Configuración'!$C$4,"")</f>
        <v>31</v>
      </c>
      <c r="G20" s="142">
        <f>IF(OR(NOT('Catálogo Productos'!B17&lt;&gt;""),E20="",E20=0),IF('Catálogo Productos'!B17&lt;&gt;"","Sin ventas",""),IF(M20=0,"Sin ventas",ROUND(F20/M20,1)))</f>
        <v>2</v>
      </c>
      <c r="H20" s="143">
        <f>IF(OR(NOT('Catálogo Productos'!B17&lt;&gt;""),D20="",D20=0),IF('Catálogo Productos'!B17&lt;&gt;"",IF(E20=0,"∞ (sin ventas)","🔴 Sin stock"),""),IF(G20="Sin ventas","∞ (sin ventas)",ROUND(D20*G20,0)))</f>
        <v>80</v>
      </c>
      <c r="I20" s="144">
        <f>IF(OR(NOT('Catálogo Productos'!B17&lt;&gt;""),H20="",ISNUMBER(SEARCH("∞",TEXT(H20,"@"))),ISNUMBER(SEARCH("🔴",TEXT(H20,"@")))),"",TODAY()+H20)</f>
        <v>46223</v>
      </c>
      <c r="J20" s="145" t="str">
        <f>IF(NOT('Catálogo Productos'!B17&lt;&gt;""),"",IF(OR(G20="Sin ventas",G20=""),"⚪ Sin ventas este mes",IF(G20&lt;=15,"🔥 Rotación rápida",IF(G20&lt;=30,"✅ Rotación normal","🐢 Rotación lenta"))))</f>
        <v>🔥 Rotación rápida</v>
      </c>
      <c r="K20" s="146">
        <f>IF('Catálogo Productos'!B17&lt;&gt;"",'Catálogo Productos'!G17,"")</f>
        <v>20</v>
      </c>
      <c r="L20" s="147" t="str">
        <f>IF(NOT(B20&lt;&gt;""),"",IF(D20=0,"🔴 REPONER YA",IF(OR(M20=0,M20=""),"🟢 Sin prisa",IF(Q20&lt;'Configuración'!$C$9,"🔴 PEDIR AHORA",IF(Q20&lt;('Configuración'!$C$9+'Configuración'!$C$10),"🟡 Reponer pronto","🟢 Sin prisa")))))</f>
        <v>🔴 PEDIR AHORA</v>
      </c>
      <c r="M20" s="148">
        <f>IF(B20="","",IF(OR(E20="",E20=0),0,ROUND(E20*('Configuración'!$C$4/'Configuración'!$C$11),1)))</f>
        <v>15.5</v>
      </c>
      <c r="N20" s="149">
        <f>IF(B20="","",IF(M20=0,"—",MAX(0,CEILING(M20*('Configuración'!$C$9+'Configuración'!$C$10)-D20,1))))</f>
        <v>38</v>
      </c>
      <c r="O20" s="150">
        <f t="shared" si="1"/>
        <v>46088</v>
      </c>
      <c r="P20" s="151" t="str">
        <f>IF(B20="","",IF(D20=0,"🔴 PEDIR URGENTE — sin stock",IF(OR(M20=0,M20=""),"⚪ Sin demanda — monitorear",IF(Q20&lt;'Configuración'!$C$9,"🔴 PEDIR AHORA — "&amp;N20&amp;" uds (stock cubre "&amp;Q20&amp;" meses, lead time "&amp;'Configuración'!$C$9&amp;" meses)",IF(Q20&lt;('Configuración'!$C$9+'Configuración'!$C$10),"🟡 VIGILAR — "&amp;N20&amp;" uds (cubre "&amp;Q20&amp;" meses, al límite del lead time)","🟢 OK — stock cubre "&amp;Q20&amp;" meses")))))</f>
        <v>🔴 PEDIR AHORA — 38 uds (stock cubre 2,6 meses, lead time 4 meses)</v>
      </c>
      <c r="Q20" s="2">
        <f t="shared" si="2"/>
        <v>2.6</v>
      </c>
      <c r="R20" s="2"/>
      <c r="S20" s="2"/>
      <c r="T20" s="2"/>
      <c r="U20" s="2"/>
      <c r="V20" s="2"/>
      <c r="W20" s="2"/>
      <c r="X20" s="2"/>
      <c r="Y20" s="2"/>
      <c r="Z20" s="2"/>
    </row>
    <row r="21" ht="27.75" customHeight="1">
      <c r="A21" s="61">
        <f>IF('Catálogo Productos'!B18&lt;&gt;"",COUNTA('Catálogo Productos'!$B$4:$B18),"")</f>
        <v>15</v>
      </c>
      <c r="B21" s="124" t="str">
        <f>IF('Catálogo Productos'!B18&lt;&gt;"",'Catálogo Productos'!B18,"")</f>
        <v>Cable Pedales</v>
      </c>
      <c r="C21" s="124" t="str">
        <f>IF('Catálogo Productos'!B18&lt;&gt;"",'Catálogo Productos'!C18,"")</f>
        <v>Guitarra Electrica</v>
      </c>
      <c r="D21" s="141">
        <f>IF('Catálogo Productos'!B18&lt;&gt;"",'Catálogo Productos'!H73,"")</f>
        <v>0</v>
      </c>
      <c r="E21" s="141">
        <f>IF('Catálogo Productos'!B18&lt;&gt;"",COUNTIF('Abril 2026 - Ventas'!$C$5:$C$303,'Catálogo Productos'!B18),"")</f>
        <v>0</v>
      </c>
      <c r="F21" s="128">
        <f>IF('Catálogo Productos'!B18&lt;&gt;"",'Configuración'!$C$4,"")</f>
        <v>31</v>
      </c>
      <c r="G21" s="142" t="str">
        <f>IF(OR(NOT('Catálogo Productos'!B18&lt;&gt;""),E21="",E21=0),IF('Catálogo Productos'!B18&lt;&gt;"","Sin ventas",""),IF(M21=0,"Sin ventas",ROUND(F21/M21,1)))</f>
        <v>Sin ventas</v>
      </c>
      <c r="H21" s="143" t="str">
        <f>IF(OR(NOT('Catálogo Productos'!B18&lt;&gt;""),D21="",D21=0),IF('Catálogo Productos'!B18&lt;&gt;"",IF(E21=0,"∞ (sin ventas)","🔴 Sin stock"),""),IF(G21="Sin ventas","∞ (sin ventas)",ROUND(D21*G21,0)))</f>
        <v>∞ (sin ventas)</v>
      </c>
      <c r="I21" s="144" t="str">
        <f>IF(OR(NOT('Catálogo Productos'!B18&lt;&gt;""),H21="",ISNUMBER(SEARCH("∞",TEXT(H21,"@"))),ISNUMBER(SEARCH("🔴",TEXT(H21,"@")))),"",TODAY()+H21)</f>
        <v/>
      </c>
      <c r="J21" s="145" t="str">
        <f>IF(NOT('Catálogo Productos'!B18&lt;&gt;""),"",IF(OR(G21="Sin ventas",G21=""),"⚪ Sin ventas este mes",IF(G21&lt;=15,"🔥 Rotación rápida",IF(G21&lt;=30,"✅ Rotación normal","🐢 Rotación lenta"))))</f>
        <v>⚪ Sin ventas este mes</v>
      </c>
      <c r="K21" s="146">
        <f>IF('Catálogo Productos'!B18&lt;&gt;"",'Catálogo Productos'!G18,"")</f>
        <v>5</v>
      </c>
      <c r="L21" s="147" t="str">
        <f>IF(NOT(B21&lt;&gt;""),"",IF(D21=0,"🔴 REPONER YA",IF(OR(M21=0,M21=""),"🟢 Sin prisa",IF(Q21&lt;'Configuración'!$C$9,"🔴 PEDIR AHORA",IF(Q21&lt;('Configuración'!$C$9+'Configuración'!$C$10),"🟡 Reponer pronto","🟢 Sin prisa")))))</f>
        <v>🔴 REPONER YA</v>
      </c>
      <c r="M21" s="148">
        <f>IF(B21="","",IF(OR(E21="",E21=0),0,ROUND(E21*('Configuración'!$C$4/'Configuración'!$C$11),1)))</f>
        <v>0</v>
      </c>
      <c r="N21" s="149" t="str">
        <f>IF(B21="","",IF(M21=0,"—",MAX(0,CEILING(M21*('Configuración'!$C$9+'Configuración'!$C$10)-D21,1))))</f>
        <v>—</v>
      </c>
      <c r="O21" s="150" t="str">
        <f t="shared" si="1"/>
        <v>—</v>
      </c>
      <c r="P21" s="151" t="str">
        <f>IF(B21="","",IF(D21=0,"🔴 PEDIR URGENTE — sin stock",IF(OR(M21=0,M21=""),"⚪ Sin demanda — monitorear",IF(Q21&lt;'Configuración'!$C$9,"🔴 PEDIR AHORA — "&amp;N21&amp;" uds (stock cubre "&amp;Q21&amp;" meses, lead time "&amp;'Configuración'!$C$9&amp;" meses)",IF(Q21&lt;('Configuración'!$C$9+'Configuración'!$C$10),"🟡 VIGILAR — "&amp;N21&amp;" uds (cubre "&amp;Q21&amp;" meses, al límite del lead time)","🟢 OK — stock cubre "&amp;Q21&amp;" meses")))))</f>
        <v>🔴 PEDIR URGENTE — sin stock</v>
      </c>
      <c r="Q21" s="2">
        <f t="shared" si="2"/>
        <v>999</v>
      </c>
      <c r="R21" s="2"/>
      <c r="S21" s="2"/>
      <c r="T21" s="2"/>
      <c r="U21" s="2"/>
      <c r="V21" s="2"/>
      <c r="W21" s="2"/>
      <c r="X21" s="2"/>
      <c r="Y21" s="2"/>
      <c r="Z21" s="2"/>
    </row>
    <row r="22" ht="27.75" customHeight="1">
      <c r="A22" s="61">
        <f>IF('Catálogo Productos'!B19&lt;&gt;"",COUNTA('Catálogo Productos'!$B$4:$B19),"")</f>
        <v>16</v>
      </c>
      <c r="B22" s="124" t="str">
        <f>IF('Catálogo Productos'!B19&lt;&gt;"",'Catálogo Productos'!B19,"")</f>
        <v>Cuerdas Bajo 4C Alice</v>
      </c>
      <c r="C22" s="124" t="str">
        <f>IF('Catálogo Productos'!B19&lt;&gt;"",'Catálogo Productos'!C19,"")</f>
        <v> Bajo Electrico</v>
      </c>
      <c r="D22" s="140">
        <v>6.0</v>
      </c>
      <c r="E22" s="141">
        <f>IF('Catálogo Productos'!B19&lt;&gt;"",COUNTIF('Abril 2026 - Ventas'!$C$5:$C$303,'Catálogo Productos'!B19),"")</f>
        <v>12</v>
      </c>
      <c r="F22" s="128">
        <f>IF('Catálogo Productos'!B19&lt;&gt;"",'Configuración'!$C$4,"")</f>
        <v>31</v>
      </c>
      <c r="G22" s="142">
        <f>IF(OR(NOT('Catálogo Productos'!B19&lt;&gt;""),E22="",E22=0),IF('Catálogo Productos'!B19&lt;&gt;"","Sin ventas",""),IF(M22=0,"Sin ventas",ROUND(F22/M22,1)))</f>
        <v>0.8</v>
      </c>
      <c r="H22" s="143">
        <f>IF(OR(NOT('Catálogo Productos'!B19&lt;&gt;""),D22="",D22=0),IF('Catálogo Productos'!B19&lt;&gt;"",IF(E22=0,"∞ (sin ventas)","🔴 Sin stock"),""),IF(G22="Sin ventas","∞ (sin ventas)",ROUND(D22*G22,0)))</f>
        <v>5</v>
      </c>
      <c r="I22" s="144">
        <f>IF(OR(NOT('Catálogo Productos'!B19&lt;&gt;""),H22="",ISNUMBER(SEARCH("∞",TEXT(H22,"@"))),ISNUMBER(SEARCH("🔴",TEXT(H22,"@")))),"",TODAY()+H22)</f>
        <v>46148</v>
      </c>
      <c r="J22" s="145" t="str">
        <f>IF(NOT('Catálogo Productos'!B19&lt;&gt;""),"",IF(OR(G22="Sin ventas",G22=""),"⚪ Sin ventas este mes",IF(G22&lt;=15,"🔥 Rotación rápida",IF(G22&lt;=30,"✅ Rotación normal","🐢 Rotación lenta"))))</f>
        <v>🔥 Rotación rápida</v>
      </c>
      <c r="K22" s="146">
        <f>IF('Catálogo Productos'!B19&lt;&gt;"",'Catálogo Productos'!G19,"")</f>
        <v>10</v>
      </c>
      <c r="L22" s="147" t="str">
        <f>IF(NOT(B22&lt;&gt;""),"",IF(D22=0,"🔴 REPONER YA",IF(OR(M22=0,M22=""),"🟢 Sin prisa",IF(Q22&lt;'Configuración'!$C$9,"🔴 PEDIR AHORA",IF(Q22&lt;('Configuración'!$C$9+'Configuración'!$C$10),"🟡 Reponer pronto","🟢 Sin prisa")))))</f>
        <v>🔴 PEDIR AHORA</v>
      </c>
      <c r="M22" s="148">
        <f>IF(B22="","",IF(OR(E22="",E22=0),0,ROUND(E22*('Configuración'!$C$4/'Configuración'!$C$11),1)))</f>
        <v>37.2</v>
      </c>
      <c r="N22" s="149">
        <f>IF(B22="","",IF(M22=0,"—",MAX(0,CEILING(M22*('Configuración'!$C$9+'Configuración'!$C$10)-D22,1))))</f>
        <v>180</v>
      </c>
      <c r="O22" s="150">
        <f t="shared" si="1"/>
        <v>46013</v>
      </c>
      <c r="P22" s="151" t="str">
        <f>IF(B22="","",IF(D22=0,"🔴 PEDIR URGENTE — sin stock",IF(OR(M22=0,M22=""),"⚪ Sin demanda — monitorear",IF(Q22&lt;'Configuración'!$C$9,"🔴 PEDIR AHORA — "&amp;N22&amp;" uds (stock cubre "&amp;Q22&amp;" meses, lead time "&amp;'Configuración'!$C$9&amp;" meses)",IF(Q22&lt;('Configuración'!$C$9+'Configuración'!$C$10),"🟡 VIGILAR — "&amp;N22&amp;" uds (cubre "&amp;Q22&amp;" meses, al límite del lead time)","🟢 OK — stock cubre "&amp;Q22&amp;" meses")))))</f>
        <v>🔴 PEDIR AHORA — 180 uds (stock cubre 0,2 meses, lead time 4 meses)</v>
      </c>
      <c r="Q22" s="2">
        <f t="shared" si="2"/>
        <v>0.2</v>
      </c>
      <c r="R22" s="2"/>
      <c r="S22" s="2"/>
      <c r="T22" s="2"/>
      <c r="U22" s="2"/>
      <c r="V22" s="2"/>
      <c r="W22" s="2"/>
      <c r="X22" s="2"/>
      <c r="Y22" s="2"/>
      <c r="Z22" s="2"/>
    </row>
    <row r="23" ht="27.75" customHeight="1">
      <c r="A23" s="61">
        <f>IF('Catálogo Productos'!B20&lt;&gt;"",COUNTA('Catálogo Productos'!$B$4:$B20),"")</f>
        <v>17</v>
      </c>
      <c r="B23" s="124" t="str">
        <f>IF('Catálogo Productos'!B20&lt;&gt;"",'Catálogo Productos'!B20,"")</f>
        <v>Cuerdas de Viola A90</v>
      </c>
      <c r="C23" s="124" t="str">
        <f>IF('Catálogo Productos'!B20&lt;&gt;"",'Catálogo Productos'!C20,"")</f>
        <v>Viola</v>
      </c>
      <c r="D23" s="141">
        <f>IF('Catálogo Productos'!B20&lt;&gt;"",'Catálogo Productos'!H75,"")</f>
        <v>16</v>
      </c>
      <c r="E23" s="141">
        <f>IF('Catálogo Productos'!B20&lt;&gt;"",COUNTIF('Abril 2026 - Ventas'!$C$5:$C$303,'Catálogo Productos'!B20),"")</f>
        <v>1</v>
      </c>
      <c r="F23" s="128">
        <f>IF('Catálogo Productos'!B20&lt;&gt;"",'Configuración'!$C$4,"")</f>
        <v>31</v>
      </c>
      <c r="G23" s="142">
        <f>IF(OR(NOT('Catálogo Productos'!B20&lt;&gt;""),E23="",E23=0),IF('Catálogo Productos'!B20&lt;&gt;"","Sin ventas",""),IF(M23=0,"Sin ventas",ROUND(F23/M23,1)))</f>
        <v>10</v>
      </c>
      <c r="H23" s="143">
        <f>IF(OR(NOT('Catálogo Productos'!B20&lt;&gt;""),D23="",D23=0),IF('Catálogo Productos'!B20&lt;&gt;"",IF(E23=0,"∞ (sin ventas)","🔴 Sin stock"),""),IF(G23="Sin ventas","∞ (sin ventas)",ROUND(D23*G23,0)))</f>
        <v>160</v>
      </c>
      <c r="I23" s="144">
        <f>IF(OR(NOT('Catálogo Productos'!B20&lt;&gt;""),H23="",ISNUMBER(SEARCH("∞",TEXT(H23,"@"))),ISNUMBER(SEARCH("🔴",TEXT(H23,"@")))),"",TODAY()+H23)</f>
        <v>46303</v>
      </c>
      <c r="J23" s="145" t="str">
        <f>IF(NOT('Catálogo Productos'!B20&lt;&gt;""),"",IF(OR(G23="Sin ventas",G23=""),"⚪ Sin ventas este mes",IF(G23&lt;=15,"🔥 Rotación rápida",IF(G23&lt;=30,"✅ Rotación normal","🐢 Rotación lenta"))))</f>
        <v>🔥 Rotación rápida</v>
      </c>
      <c r="K23" s="146">
        <f>IF('Catálogo Productos'!B20&lt;&gt;"",'Catálogo Productos'!G20,"")</f>
        <v>5</v>
      </c>
      <c r="L23" s="147" t="str">
        <f>IF(NOT(B23&lt;&gt;""),"",IF(D23=0,"🔴 REPONER YA",IF(OR(M23=0,M23=""),"🟢 Sin prisa",IF(Q23&lt;'Configuración'!$C$9,"🔴 PEDIR AHORA",IF(Q23&lt;('Configuración'!$C$9+'Configuración'!$C$10),"🟡 Reponer pronto","🟢 Sin prisa")))))</f>
        <v>🟢 Sin prisa</v>
      </c>
      <c r="M23" s="148">
        <f>IF(B23="","",IF(OR(E23="",E23=0),0,ROUND(E23*('Configuración'!$C$4/'Configuración'!$C$11),1)))</f>
        <v>3.1</v>
      </c>
      <c r="N23" s="149">
        <f>IF(B23="","",IF(M23=0,"—",MAX(0,CEILING(M23*('Configuración'!$C$9+'Configuración'!$C$10)-D23,1))))</f>
        <v>0</v>
      </c>
      <c r="O23" s="150">
        <f t="shared" si="1"/>
        <v>46168</v>
      </c>
      <c r="P23" s="151" t="str">
        <f>IF(B23="","",IF(D23=0,"🔴 PEDIR URGENTE — sin stock",IF(OR(M23=0,M23=""),"⚪ Sin demanda — monitorear",IF(Q23&lt;'Configuración'!$C$9,"🔴 PEDIR AHORA — "&amp;N23&amp;" uds (stock cubre "&amp;Q23&amp;" meses, lead time "&amp;'Configuración'!$C$9&amp;" meses)",IF(Q23&lt;('Configuración'!$C$9+'Configuración'!$C$10),"🟡 VIGILAR — "&amp;N23&amp;" uds (cubre "&amp;Q23&amp;" meses, al límite del lead time)","🟢 OK — stock cubre "&amp;Q23&amp;" meses")))))</f>
        <v>🟢 OK — stock cubre 5,2 meses</v>
      </c>
      <c r="Q23" s="2">
        <f t="shared" si="2"/>
        <v>5.2</v>
      </c>
      <c r="R23" s="2"/>
      <c r="S23" s="2"/>
      <c r="T23" s="2"/>
      <c r="U23" s="2"/>
      <c r="V23" s="2"/>
      <c r="W23" s="2"/>
      <c r="X23" s="2"/>
      <c r="Y23" s="2"/>
      <c r="Z23" s="2"/>
    </row>
    <row r="24" ht="27.75" customHeight="1">
      <c r="A24" s="61">
        <f>IF('Catálogo Productos'!B21&lt;&gt;"",COUNTA('Catálogo Productos'!$B$4:$B21),"")</f>
        <v>18</v>
      </c>
      <c r="B24" s="124" t="str">
        <f>IF('Catálogo Productos'!B21&lt;&gt;"",'Catálogo Productos'!B21,"")</f>
        <v>Baqueta Bateria 5A</v>
      </c>
      <c r="C24" s="124" t="str">
        <f>IF('Catálogo Productos'!B21&lt;&gt;"",'Catálogo Productos'!C21,"")</f>
        <v>Bateria</v>
      </c>
      <c r="D24" s="141">
        <f>IF('Catálogo Productos'!B21&lt;&gt;"",'Catálogo Productos'!H76,"")</f>
        <v>23</v>
      </c>
      <c r="E24" s="141">
        <f>IF('Catálogo Productos'!B21&lt;&gt;"",COUNTIF('Abril 2026 - Ventas'!$C$5:$C$303,'Catálogo Productos'!B21),"")</f>
        <v>1</v>
      </c>
      <c r="F24" s="128">
        <f>IF('Catálogo Productos'!B21&lt;&gt;"",'Configuración'!$C$4,"")</f>
        <v>31</v>
      </c>
      <c r="G24" s="142">
        <f>IF(OR(NOT('Catálogo Productos'!B21&lt;&gt;""),E24="",E24=0),IF('Catálogo Productos'!B21&lt;&gt;"","Sin ventas",""),IF(M24=0,"Sin ventas",ROUND(F24/M24,1)))</f>
        <v>10</v>
      </c>
      <c r="H24" s="143">
        <f>IF(OR(NOT('Catálogo Productos'!B21&lt;&gt;""),D24="",D24=0),IF('Catálogo Productos'!B21&lt;&gt;"",IF(E24=0,"∞ (sin ventas)","🔴 Sin stock"),""),IF(G24="Sin ventas","∞ (sin ventas)",ROUND(D24*G24,0)))</f>
        <v>230</v>
      </c>
      <c r="I24" s="144">
        <f>IF(OR(NOT('Catálogo Productos'!B21&lt;&gt;""),H24="",ISNUMBER(SEARCH("∞",TEXT(H24,"@"))),ISNUMBER(SEARCH("🔴",TEXT(H24,"@")))),"",TODAY()+H24)</f>
        <v>46373</v>
      </c>
      <c r="J24" s="145" t="str">
        <f>IF(NOT('Catálogo Productos'!B21&lt;&gt;""),"",IF(OR(G24="Sin ventas",G24=""),"⚪ Sin ventas este mes",IF(G24&lt;=15,"🔥 Rotación rápida",IF(G24&lt;=30,"✅ Rotación normal","🐢 Rotación lenta"))))</f>
        <v>🔥 Rotación rápida</v>
      </c>
      <c r="K24" s="146">
        <f>IF('Catálogo Productos'!B21&lt;&gt;"",'Catálogo Productos'!G21,"")</f>
        <v>5</v>
      </c>
      <c r="L24" s="147" t="str">
        <f>IF(NOT(B24&lt;&gt;""),"",IF(D24=0,"🔴 REPONER YA",IF(OR(M24=0,M24=""),"🟢 Sin prisa",IF(Q24&lt;'Configuración'!$C$9,"🔴 PEDIR AHORA",IF(Q24&lt;('Configuración'!$C$9+'Configuración'!$C$10),"🟡 Reponer pronto","🟢 Sin prisa")))))</f>
        <v>🟢 Sin prisa</v>
      </c>
      <c r="M24" s="148">
        <f>IF(B24="","",IF(OR(E24="",E24=0),0,ROUND(E24*('Configuración'!$C$4/'Configuración'!$C$11),1)))</f>
        <v>3.1</v>
      </c>
      <c r="N24" s="149">
        <f>IF(B24="","",IF(M24=0,"—",MAX(0,CEILING(M24*('Configuración'!$C$9+'Configuración'!$C$10)-D24,1))))</f>
        <v>0</v>
      </c>
      <c r="O24" s="150">
        <f t="shared" si="1"/>
        <v>46238</v>
      </c>
      <c r="P24" s="151" t="str">
        <f>IF(B24="","",IF(D24=0,"🔴 PEDIR URGENTE — sin stock",IF(OR(M24=0,M24=""),"⚪ Sin demanda — monitorear",IF(Q24&lt;'Configuración'!$C$9,"🔴 PEDIR AHORA — "&amp;N24&amp;" uds (stock cubre "&amp;Q24&amp;" meses, lead time "&amp;'Configuración'!$C$9&amp;" meses)",IF(Q24&lt;('Configuración'!$C$9+'Configuración'!$C$10),"🟡 VIGILAR — "&amp;N24&amp;" uds (cubre "&amp;Q24&amp;" meses, al límite del lead time)","🟢 OK — stock cubre "&amp;Q24&amp;" meses")))))</f>
        <v>🟢 OK — stock cubre 7,4 meses</v>
      </c>
      <c r="Q24" s="2">
        <f t="shared" si="2"/>
        <v>7.4</v>
      </c>
      <c r="R24" s="2"/>
      <c r="S24" s="2"/>
      <c r="T24" s="2"/>
      <c r="U24" s="2"/>
      <c r="V24" s="2"/>
      <c r="W24" s="2"/>
      <c r="X24" s="2"/>
      <c r="Y24" s="2"/>
      <c r="Z24" s="2"/>
    </row>
    <row r="25" ht="27.75" customHeight="1">
      <c r="A25" s="61">
        <f>IF('Catálogo Productos'!B22&lt;&gt;"",COUNTA('Catálogo Productos'!$B$4:$B22),"")</f>
        <v>19</v>
      </c>
      <c r="B25" s="124" t="str">
        <f>IF('Catálogo Productos'!B22&lt;&gt;"",'Catálogo Productos'!B22,"")</f>
        <v>Baqueta Bateria 7A</v>
      </c>
      <c r="C25" s="124" t="str">
        <f>IF('Catálogo Productos'!B22&lt;&gt;"",'Catálogo Productos'!C22,"")</f>
        <v>Bateria</v>
      </c>
      <c r="D25" s="141">
        <f>IF('Catálogo Productos'!B22&lt;&gt;"",'Catálogo Productos'!H77,"")</f>
        <v>24</v>
      </c>
      <c r="E25" s="141">
        <f>IF('Catálogo Productos'!B22&lt;&gt;"",COUNTIF('Abril 2026 - Ventas'!$C$5:$C$303,'Catálogo Productos'!B22),"")</f>
        <v>2</v>
      </c>
      <c r="F25" s="128">
        <f>IF('Catálogo Productos'!B22&lt;&gt;"",'Configuración'!$C$4,"")</f>
        <v>31</v>
      </c>
      <c r="G25" s="142">
        <f>IF(OR(NOT('Catálogo Productos'!B22&lt;&gt;""),E25="",E25=0),IF('Catálogo Productos'!B22&lt;&gt;"","Sin ventas",""),IF(M25=0,"Sin ventas",ROUND(F25/M25,1)))</f>
        <v>5</v>
      </c>
      <c r="H25" s="143">
        <f>IF(OR(NOT('Catálogo Productos'!B22&lt;&gt;""),D25="",D25=0),IF('Catálogo Productos'!B22&lt;&gt;"",IF(E25=0,"∞ (sin ventas)","🔴 Sin stock"),""),IF(G25="Sin ventas","∞ (sin ventas)",ROUND(D25*G25,0)))</f>
        <v>120</v>
      </c>
      <c r="I25" s="144">
        <f>IF(OR(NOT('Catálogo Productos'!B22&lt;&gt;""),H25="",ISNUMBER(SEARCH("∞",TEXT(H25,"@"))),ISNUMBER(SEARCH("🔴",TEXT(H25,"@")))),"",TODAY()+H25)</f>
        <v>46263</v>
      </c>
      <c r="J25" s="145" t="str">
        <f>IF(NOT('Catálogo Productos'!B22&lt;&gt;""),"",IF(OR(G25="Sin ventas",G25=""),"⚪ Sin ventas este mes",IF(G25&lt;=15,"🔥 Rotación rápida",IF(G25&lt;=30,"✅ Rotación normal","🐢 Rotación lenta"))))</f>
        <v>🔥 Rotación rápida</v>
      </c>
      <c r="K25" s="146">
        <f>IF('Catálogo Productos'!B22&lt;&gt;"",'Catálogo Productos'!G22,"")</f>
        <v>5</v>
      </c>
      <c r="L25" s="147" t="str">
        <f>IF(NOT(B25&lt;&gt;""),"",IF(D25=0,"🔴 REPONER YA",IF(OR(M25=0,M25=""),"🟢 Sin prisa",IF(Q25&lt;'Configuración'!$C$9,"🔴 PEDIR AHORA",IF(Q25&lt;('Configuración'!$C$9+'Configuración'!$C$10),"🟡 Reponer pronto","🟢 Sin prisa")))))</f>
        <v>🔴 PEDIR AHORA</v>
      </c>
      <c r="M25" s="148">
        <f>IF(B25="","",IF(OR(E25="",E25=0),0,ROUND(E25*('Configuración'!$C$4/'Configuración'!$C$11),1)))</f>
        <v>6.2</v>
      </c>
      <c r="N25" s="149">
        <f>IF(B25="","",IF(M25=0,"—",MAX(0,CEILING(M25*('Configuración'!$C$9+'Configuración'!$C$10)-D25,1))))</f>
        <v>7</v>
      </c>
      <c r="O25" s="150">
        <f t="shared" si="1"/>
        <v>46128</v>
      </c>
      <c r="P25" s="151" t="str">
        <f>IF(B25="","",IF(D25=0,"🔴 PEDIR URGENTE — sin stock",IF(OR(M25=0,M25=""),"⚪ Sin demanda — monitorear",IF(Q25&lt;'Configuración'!$C$9,"🔴 PEDIR AHORA — "&amp;N25&amp;" uds (stock cubre "&amp;Q25&amp;" meses, lead time "&amp;'Configuración'!$C$9&amp;" meses)",IF(Q25&lt;('Configuración'!$C$9+'Configuración'!$C$10),"🟡 VIGILAR — "&amp;N25&amp;" uds (cubre "&amp;Q25&amp;" meses, al límite del lead time)","🟢 OK — stock cubre "&amp;Q25&amp;" meses")))))</f>
        <v>🔴 PEDIR AHORA — 7 uds (stock cubre 3,9 meses, lead time 4 meses)</v>
      </c>
      <c r="Q25" s="2">
        <f t="shared" si="2"/>
        <v>3.9</v>
      </c>
      <c r="R25" s="2"/>
      <c r="S25" s="2"/>
      <c r="T25" s="2"/>
      <c r="U25" s="2"/>
      <c r="V25" s="2"/>
      <c r="W25" s="2"/>
      <c r="X25" s="2"/>
      <c r="Y25" s="2"/>
      <c r="Z25" s="2"/>
    </row>
    <row r="26" ht="27.75" customHeight="1">
      <c r="A26" s="61">
        <f>IF('Catálogo Productos'!B23&lt;&gt;"",COUNTA('Catálogo Productos'!$B$4:$B23),"")</f>
        <v>20</v>
      </c>
      <c r="B26" s="124" t="str">
        <f>IF('Catálogo Productos'!B23&lt;&gt;"",'Catálogo Productos'!B23,"")</f>
        <v>Baqueta Bateria 5B</v>
      </c>
      <c r="C26" s="124" t="str">
        <f>IF('Catálogo Productos'!B23&lt;&gt;"",'Catálogo Productos'!C23,"")</f>
        <v>Bateria</v>
      </c>
      <c r="D26" s="141">
        <f>IF('Catálogo Productos'!B23&lt;&gt;"",'Catálogo Productos'!H78,"")</f>
        <v>24</v>
      </c>
      <c r="E26" s="141">
        <f>IF('Catálogo Productos'!B23&lt;&gt;"",COUNTIF('Abril 2026 - Ventas'!$C$5:$C$303,'Catálogo Productos'!B23),"")</f>
        <v>1</v>
      </c>
      <c r="F26" s="128">
        <f>IF('Catálogo Productos'!B23&lt;&gt;"",'Configuración'!$C$4,"")</f>
        <v>31</v>
      </c>
      <c r="G26" s="142">
        <f>IF(OR(NOT('Catálogo Productos'!B23&lt;&gt;""),E26="",E26=0),IF('Catálogo Productos'!B23&lt;&gt;"","Sin ventas",""),IF(M26=0,"Sin ventas",ROUND(F26/M26,1)))</f>
        <v>10</v>
      </c>
      <c r="H26" s="143">
        <f>IF(OR(NOT('Catálogo Productos'!B23&lt;&gt;""),D26="",D26=0),IF('Catálogo Productos'!B23&lt;&gt;"",IF(E26=0,"∞ (sin ventas)","🔴 Sin stock"),""),IF(G26="Sin ventas","∞ (sin ventas)",ROUND(D26*G26,0)))</f>
        <v>240</v>
      </c>
      <c r="I26" s="144">
        <f>IF(OR(NOT('Catálogo Productos'!B23&lt;&gt;""),H26="",ISNUMBER(SEARCH("∞",TEXT(H26,"@"))),ISNUMBER(SEARCH("🔴",TEXT(H26,"@")))),"",TODAY()+H26)</f>
        <v>46383</v>
      </c>
      <c r="J26" s="145" t="str">
        <f>IF(NOT('Catálogo Productos'!B23&lt;&gt;""),"",IF(OR(G26="Sin ventas",G26=""),"⚪ Sin ventas este mes",IF(G26&lt;=15,"🔥 Rotación rápida",IF(G26&lt;=30,"✅ Rotación normal","🐢 Rotación lenta"))))</f>
        <v>🔥 Rotación rápida</v>
      </c>
      <c r="K26" s="146">
        <f>IF('Catálogo Productos'!B23&lt;&gt;"",'Catálogo Productos'!G23,"")</f>
        <v>5</v>
      </c>
      <c r="L26" s="147" t="str">
        <f>IF(NOT(B26&lt;&gt;""),"",IF(D26=0,"🔴 REPONER YA",IF(OR(M26=0,M26=""),"🟢 Sin prisa",IF(Q26&lt;'Configuración'!$C$9,"🔴 PEDIR AHORA",IF(Q26&lt;('Configuración'!$C$9+'Configuración'!$C$10),"🟡 Reponer pronto","🟢 Sin prisa")))))</f>
        <v>🟢 Sin prisa</v>
      </c>
      <c r="M26" s="148">
        <f>IF(B26="","",IF(OR(E26="",E26=0),0,ROUND(E26*('Configuración'!$C$4/'Configuración'!$C$11),1)))</f>
        <v>3.1</v>
      </c>
      <c r="N26" s="149">
        <f>IF(B26="","",IF(M26=0,"—",MAX(0,CEILING(M26*('Configuración'!$C$9+'Configuración'!$C$10)-D26,1))))</f>
        <v>0</v>
      </c>
      <c r="O26" s="150">
        <f t="shared" si="1"/>
        <v>46248</v>
      </c>
      <c r="P26" s="151" t="str">
        <f>IF(B26="","",IF(D26=0,"🔴 PEDIR URGENTE — sin stock",IF(OR(M26=0,M26=""),"⚪ Sin demanda — monitorear",IF(Q26&lt;'Configuración'!$C$9,"🔴 PEDIR AHORA — "&amp;N26&amp;" uds (stock cubre "&amp;Q26&amp;" meses, lead time "&amp;'Configuración'!$C$9&amp;" meses)",IF(Q26&lt;('Configuración'!$C$9+'Configuración'!$C$10),"🟡 VIGILAR — "&amp;N26&amp;" uds (cubre "&amp;Q26&amp;" meses, al límite del lead time)","🟢 OK — stock cubre "&amp;Q26&amp;" meses")))))</f>
        <v>🟢 OK — stock cubre 7,7 meses</v>
      </c>
      <c r="Q26" s="2">
        <f t="shared" si="2"/>
        <v>7.7</v>
      </c>
      <c r="R26" s="2"/>
      <c r="S26" s="2"/>
      <c r="T26" s="2"/>
      <c r="U26" s="2"/>
      <c r="V26" s="2"/>
      <c r="W26" s="2"/>
      <c r="X26" s="2"/>
      <c r="Y26" s="2"/>
      <c r="Z26" s="2"/>
    </row>
    <row r="27" ht="27.75" customHeight="1">
      <c r="A27" s="61">
        <f>IF('Catálogo Productos'!B24&lt;&gt;"",COUNTA('Catálogo Productos'!$B$4:$B24),"")</f>
        <v>21</v>
      </c>
      <c r="B27" s="124" t="str">
        <f>IF('Catálogo Productos'!B24&lt;&gt;"",'Catálogo Productos'!B24,"")</f>
        <v>Daddario 10-46 Electrica</v>
      </c>
      <c r="C27" s="124" t="str">
        <f>IF('Catálogo Productos'!B24&lt;&gt;"",'Catálogo Productos'!C24,"")</f>
        <v>Guitarra Electrica</v>
      </c>
      <c r="D27" s="141">
        <v>6.0</v>
      </c>
      <c r="E27" s="141">
        <f>IF('Catálogo Productos'!B24&lt;&gt;"",COUNTIF('Abril 2026 - Ventas'!$C$5:$C$303,'Catálogo Productos'!B24),"")</f>
        <v>0</v>
      </c>
      <c r="F27" s="128">
        <f>IF('Catálogo Productos'!B24&lt;&gt;"",'Configuración'!$C$4,"")</f>
        <v>31</v>
      </c>
      <c r="G27" s="142" t="str">
        <f>IF(OR(NOT('Catálogo Productos'!B24&lt;&gt;""),E27="",E27=0),IF('Catálogo Productos'!B24&lt;&gt;"","Sin ventas",""),IF(M27=0,"Sin ventas",ROUND(F27/M27,1)))</f>
        <v>Sin ventas</v>
      </c>
      <c r="H27" s="143" t="str">
        <f>IF(OR(NOT('Catálogo Productos'!B24&lt;&gt;""),D27="",D27=0),IF('Catálogo Productos'!B24&lt;&gt;"",IF(E27=0,"∞ (sin ventas)","🔴 Sin stock"),""),IF(G27="Sin ventas","∞ (sin ventas)",ROUND(D27*G27,0)))</f>
        <v>∞ (sin ventas)</v>
      </c>
      <c r="I27" s="144" t="str">
        <f>IF(OR(NOT('Catálogo Productos'!B24&lt;&gt;""),H27="",ISNUMBER(SEARCH("∞",TEXT(H27,"@"))),ISNUMBER(SEARCH("🔴",TEXT(H27,"@")))),"",TODAY()+H27)</f>
        <v/>
      </c>
      <c r="J27" s="145" t="str">
        <f>IF(NOT('Catálogo Productos'!B24&lt;&gt;""),"",IF(OR(G27="Sin ventas",G27=""),"⚪ Sin ventas este mes",IF(G27&lt;=15,"🔥 Rotación rápida",IF(G27&lt;=30,"✅ Rotación normal","🐢 Rotación lenta"))))</f>
        <v>⚪ Sin ventas este mes</v>
      </c>
      <c r="K27" s="146">
        <f>IF('Catálogo Productos'!B24&lt;&gt;"",'Catálogo Productos'!G24,"")</f>
        <v>3</v>
      </c>
      <c r="L27" s="147" t="str">
        <f>IF(NOT(B27&lt;&gt;""),"",IF(D27=0,"🔴 REPONER YA",IF(OR(M27=0,M27=""),"🟢 Sin prisa",IF(Q27&lt;'Configuración'!$C$9,"🔴 PEDIR AHORA",IF(Q27&lt;('Configuración'!$C$9+'Configuración'!$C$10),"🟡 Reponer pronto","🟢 Sin prisa")))))</f>
        <v>🟢 Sin prisa</v>
      </c>
      <c r="M27" s="148">
        <f>IF(B27="","",IF(OR(E27="",E27=0),0,ROUND(E27*('Configuración'!$C$4/'Configuración'!$C$11),1)))</f>
        <v>0</v>
      </c>
      <c r="N27" s="149" t="str">
        <f>IF(B27="","",IF(M27=0,"—",MAX(0,CEILING(M27*('Configuración'!$C$9+'Configuración'!$C$10)-D27,1))))</f>
        <v>—</v>
      </c>
      <c r="O27" s="150" t="str">
        <f t="shared" si="1"/>
        <v>—</v>
      </c>
      <c r="P27" s="151" t="str">
        <f>IF(B27="","",IF(D27=0,"🔴 PEDIR URGENTE — sin stock",IF(OR(M27=0,M27=""),"⚪ Sin demanda — monitorear",IF(Q27&lt;'Configuración'!$C$9,"🔴 PEDIR AHORA — "&amp;N27&amp;" uds (stock cubre "&amp;Q27&amp;" meses, lead time "&amp;'Configuración'!$C$9&amp;" meses)",IF(Q27&lt;('Configuración'!$C$9+'Configuración'!$C$10),"🟡 VIGILAR — "&amp;N27&amp;" uds (cubre "&amp;Q27&amp;" meses, al límite del lead time)","🟢 OK — stock cubre "&amp;Q27&amp;" meses")))))</f>
        <v>⚪ Sin demanda — monitorear</v>
      </c>
      <c r="Q27" s="2">
        <f t="shared" si="2"/>
        <v>999</v>
      </c>
      <c r="R27" s="2"/>
      <c r="S27" s="2"/>
      <c r="T27" s="2"/>
      <c r="U27" s="2"/>
      <c r="V27" s="2"/>
      <c r="W27" s="2"/>
      <c r="X27" s="2"/>
      <c r="Y27" s="2"/>
      <c r="Z27" s="2"/>
    </row>
    <row r="28" ht="27.75" customHeight="1">
      <c r="A28" s="61">
        <f>IF('Catálogo Productos'!B25&lt;&gt;"",COUNTA('Catálogo Productos'!$B$4:$B25),"")</f>
        <v>22</v>
      </c>
      <c r="B28" s="124" t="str">
        <f>IF('Catálogo Productos'!B25&lt;&gt;"",'Catálogo Productos'!B25,"")</f>
        <v>Daddario 09-44 Electrica</v>
      </c>
      <c r="C28" s="124" t="str">
        <f>IF('Catálogo Productos'!B25&lt;&gt;"",'Catálogo Productos'!C25,"")</f>
        <v>Guitarra Electrica</v>
      </c>
      <c r="D28" s="141">
        <v>4.0</v>
      </c>
      <c r="E28" s="141">
        <f>IF('Catálogo Productos'!B25&lt;&gt;"",COUNTIF('Abril 2026 - Ventas'!$C$5:$C$303,'Catálogo Productos'!B25),"")</f>
        <v>0</v>
      </c>
      <c r="F28" s="128">
        <f>IF('Catálogo Productos'!B25&lt;&gt;"",'Configuración'!$C$4,"")</f>
        <v>31</v>
      </c>
      <c r="G28" s="142" t="str">
        <f>IF(OR(NOT('Catálogo Productos'!B25&lt;&gt;""),E28="",E28=0),IF('Catálogo Productos'!B25&lt;&gt;"","Sin ventas",""),IF(M28=0,"Sin ventas",ROUND(F28/M28,1)))</f>
        <v>Sin ventas</v>
      </c>
      <c r="H28" s="143" t="str">
        <f>IF(OR(NOT('Catálogo Productos'!B25&lt;&gt;""),D28="",D28=0),IF('Catálogo Productos'!B25&lt;&gt;"",IF(E28=0,"∞ (sin ventas)","🔴 Sin stock"),""),IF(G28="Sin ventas","∞ (sin ventas)",ROUND(D28*G28,0)))</f>
        <v>∞ (sin ventas)</v>
      </c>
      <c r="I28" s="144" t="str">
        <f>IF(OR(NOT('Catálogo Productos'!B25&lt;&gt;""),H28="",ISNUMBER(SEARCH("∞",TEXT(H28,"@"))),ISNUMBER(SEARCH("🔴",TEXT(H28,"@")))),"",TODAY()+H28)</f>
        <v/>
      </c>
      <c r="J28" s="145" t="str">
        <f>IF(NOT('Catálogo Productos'!B25&lt;&gt;""),"",IF(OR(G28="Sin ventas",G28=""),"⚪ Sin ventas este mes",IF(G28&lt;=15,"🔥 Rotación rápida",IF(G28&lt;=30,"✅ Rotación normal","🐢 Rotación lenta"))))</f>
        <v>⚪ Sin ventas este mes</v>
      </c>
      <c r="K28" s="146">
        <f>IF('Catálogo Productos'!B25&lt;&gt;"",'Catálogo Productos'!G25,"")</f>
        <v>3</v>
      </c>
      <c r="L28" s="147" t="str">
        <f>IF(NOT(B28&lt;&gt;""),"",IF(D28=0,"🔴 REPONER YA",IF(OR(M28=0,M28=""),"🟢 Sin prisa",IF(Q28&lt;'Configuración'!$C$9,"🔴 PEDIR AHORA",IF(Q28&lt;('Configuración'!$C$9+'Configuración'!$C$10),"🟡 Reponer pronto","🟢 Sin prisa")))))</f>
        <v>🟢 Sin prisa</v>
      </c>
      <c r="M28" s="148">
        <f>IF(B28="","",IF(OR(E28="",E28=0),0,ROUND(E28*('Configuración'!$C$4/'Configuración'!$C$11),1)))</f>
        <v>0</v>
      </c>
      <c r="N28" s="149" t="str">
        <f>IF(B28="","",IF(M28=0,"—",MAX(0,CEILING(M28*('Configuración'!$C$9+'Configuración'!$C$10)-D28,1))))</f>
        <v>—</v>
      </c>
      <c r="O28" s="150" t="str">
        <f t="shared" si="1"/>
        <v>—</v>
      </c>
      <c r="P28" s="151" t="str">
        <f>IF(B28="","",IF(D28=0,"🔴 PEDIR URGENTE — sin stock",IF(OR(M28=0,M28=""),"⚪ Sin demanda — monitorear",IF(Q28&lt;'Configuración'!$C$9,"🔴 PEDIR AHORA — "&amp;N28&amp;" uds (stock cubre "&amp;Q28&amp;" meses, lead time "&amp;'Configuración'!$C$9&amp;" meses)",IF(Q28&lt;('Configuración'!$C$9+'Configuración'!$C$10),"🟡 VIGILAR — "&amp;N28&amp;" uds (cubre "&amp;Q28&amp;" meses, al límite del lead time)","🟢 OK — stock cubre "&amp;Q28&amp;" meses")))))</f>
        <v>⚪ Sin demanda — monitorear</v>
      </c>
      <c r="Q28" s="2">
        <f t="shared" si="2"/>
        <v>999</v>
      </c>
      <c r="R28" s="2"/>
      <c r="S28" s="2"/>
      <c r="T28" s="2"/>
      <c r="U28" s="2"/>
      <c r="V28" s="2"/>
      <c r="W28" s="2"/>
      <c r="X28" s="2"/>
      <c r="Y28" s="2"/>
      <c r="Z28" s="2"/>
    </row>
    <row r="29" ht="27.75" customHeight="1">
      <c r="A29" s="61">
        <f>IF('Catálogo Productos'!B26&lt;&gt;"",COUNTA('Catálogo Productos'!$B$4:$B26),"")</f>
        <v>23</v>
      </c>
      <c r="B29" s="124" t="str">
        <f>IF('Catálogo Productos'!B26&lt;&gt;"",'Catálogo Productos'!B26,"")</f>
        <v>Clavijas de Bajo Mariposa Detallado</v>
      </c>
      <c r="C29" s="124" t="str">
        <f>IF('Catálogo Productos'!B26&lt;&gt;"",'Catálogo Productos'!C26,"")</f>
        <v>Bajo</v>
      </c>
      <c r="D29" s="141">
        <v>2.0</v>
      </c>
      <c r="E29" s="141">
        <f>IF('Catálogo Productos'!B26&lt;&gt;"",COUNTIF('Abril 2026 - Ventas'!$C$5:$C$303,'Catálogo Productos'!B26),"")</f>
        <v>0</v>
      </c>
      <c r="F29" s="128">
        <f>IF('Catálogo Productos'!B26&lt;&gt;"",'Configuración'!$C$4,"")</f>
        <v>31</v>
      </c>
      <c r="G29" s="142" t="str">
        <f>IF(OR(NOT('Catálogo Productos'!B26&lt;&gt;""),E29="",E29=0),IF('Catálogo Productos'!B26&lt;&gt;"","Sin ventas",""),IF(M29=0,"Sin ventas",ROUND(F29/M29,1)))</f>
        <v>Sin ventas</v>
      </c>
      <c r="H29" s="143" t="str">
        <f>IF(OR(NOT('Catálogo Productos'!B26&lt;&gt;""),D29="",D29=0),IF('Catálogo Productos'!B26&lt;&gt;"",IF(E29=0,"∞ (sin ventas)","🔴 Sin stock"),""),IF(G29="Sin ventas","∞ (sin ventas)",ROUND(D29*G29,0)))</f>
        <v>∞ (sin ventas)</v>
      </c>
      <c r="I29" s="144" t="str">
        <f>IF(OR(NOT('Catálogo Productos'!B26&lt;&gt;""),H29="",ISNUMBER(SEARCH("∞",TEXT(H29,"@"))),ISNUMBER(SEARCH("🔴",TEXT(H29,"@")))),"",TODAY()+H29)</f>
        <v/>
      </c>
      <c r="J29" s="145" t="str">
        <f>IF(NOT('Catálogo Productos'!B26&lt;&gt;""),"",IF(OR(G29="Sin ventas",G29=""),"⚪ Sin ventas este mes",IF(G29&lt;=15,"🔥 Rotación rápida",IF(G29&lt;=30,"✅ Rotación normal","🐢 Rotación lenta"))))</f>
        <v>⚪ Sin ventas este mes</v>
      </c>
      <c r="K29" s="146">
        <f>IF('Catálogo Productos'!B26&lt;&gt;"",'Catálogo Productos'!G26,"")</f>
        <v>4</v>
      </c>
      <c r="L29" s="147" t="str">
        <f>IF(NOT(B29&lt;&gt;""),"",IF(D29=0,"🔴 REPONER YA",IF(OR(M29=0,M29=""),"🟢 Sin prisa",IF(Q29&lt;'Configuración'!$C$9,"🔴 PEDIR AHORA",IF(Q29&lt;('Configuración'!$C$9+'Configuración'!$C$10),"🟡 Reponer pronto","🟢 Sin prisa")))))</f>
        <v>🟢 Sin prisa</v>
      </c>
      <c r="M29" s="148">
        <f>IF(B29="","",IF(OR(E29="",E29=0),0,ROUND(E29*('Configuración'!$C$4/'Configuración'!$C$11),1)))</f>
        <v>0</v>
      </c>
      <c r="N29" s="149" t="str">
        <f>IF(B29="","",IF(M29=0,"—",MAX(0,CEILING(M29*('Configuración'!$C$9+'Configuración'!$C$10)-D29,1))))</f>
        <v>—</v>
      </c>
      <c r="O29" s="150" t="str">
        <f t="shared" si="1"/>
        <v>—</v>
      </c>
      <c r="P29" s="151" t="str">
        <f>IF(B29="","",IF(D29=0,"🔴 PEDIR URGENTE — sin stock",IF(OR(M29=0,M29=""),"⚪ Sin demanda — monitorear",IF(Q29&lt;'Configuración'!$C$9,"🔴 PEDIR AHORA — "&amp;N29&amp;" uds (stock cubre "&amp;Q29&amp;" meses, lead time "&amp;'Configuración'!$C$9&amp;" meses)",IF(Q29&lt;('Configuración'!$C$9+'Configuración'!$C$10),"🟡 VIGILAR — "&amp;N29&amp;" uds (cubre "&amp;Q29&amp;" meses, al límite del lead time)","🟢 OK — stock cubre "&amp;Q29&amp;" meses")))))</f>
        <v>⚪ Sin demanda — monitorear</v>
      </c>
      <c r="Q29" s="2">
        <f t="shared" si="2"/>
        <v>999</v>
      </c>
      <c r="R29" s="2"/>
      <c r="S29" s="2"/>
      <c r="T29" s="2"/>
      <c r="U29" s="2"/>
      <c r="V29" s="2"/>
      <c r="W29" s="2"/>
      <c r="X29" s="2"/>
      <c r="Y29" s="2"/>
      <c r="Z29" s="2"/>
    </row>
    <row r="30" ht="27.75" customHeight="1">
      <c r="A30" s="61">
        <f>IF('Catálogo Productos'!B27&lt;&gt;"",COUNTA('Catálogo Productos'!$B$4:$B27),"")</f>
        <v>24</v>
      </c>
      <c r="B30" s="124" t="str">
        <f>IF('Catálogo Productos'!B27&lt;&gt;"",'Catálogo Productos'!B27,"")</f>
        <v>Pickguard Negro Guitarra Acustica</v>
      </c>
      <c r="C30" s="124" t="str">
        <f>IF('Catálogo Productos'!B27&lt;&gt;"",'Catálogo Productos'!C27,"")</f>
        <v>Guitarra Acustica</v>
      </c>
      <c r="D30" s="141">
        <v>24.0</v>
      </c>
      <c r="E30" s="141">
        <f>IF('Catálogo Productos'!B27&lt;&gt;"",COUNTIF('Abril 2026 - Ventas'!$C$5:$C$303,'Catálogo Productos'!B27),"")</f>
        <v>1</v>
      </c>
      <c r="F30" s="128">
        <f>IF('Catálogo Productos'!B27&lt;&gt;"",'Configuración'!$C$4,"")</f>
        <v>31</v>
      </c>
      <c r="G30" s="142">
        <f>IF(OR(NOT('Catálogo Productos'!B27&lt;&gt;""),E30="",E30=0),IF('Catálogo Productos'!B27&lt;&gt;"","Sin ventas",""),IF(M30=0,"Sin ventas",ROUND(F30/M30,1)))</f>
        <v>10</v>
      </c>
      <c r="H30" s="143">
        <f>IF(OR(NOT('Catálogo Productos'!B27&lt;&gt;""),D30="",D30=0),IF('Catálogo Productos'!B27&lt;&gt;"",IF(E30=0,"∞ (sin ventas)","🔴 Sin stock"),""),IF(G30="Sin ventas","∞ (sin ventas)",ROUND(D30*G30,0)))</f>
        <v>240</v>
      </c>
      <c r="I30" s="144">
        <f>IF(OR(NOT('Catálogo Productos'!B27&lt;&gt;""),H30="",ISNUMBER(SEARCH("∞",TEXT(H30,"@"))),ISNUMBER(SEARCH("🔴",TEXT(H30,"@")))),"",TODAY()+H30)</f>
        <v>46383</v>
      </c>
      <c r="J30" s="145" t="str">
        <f>IF(NOT('Catálogo Productos'!B27&lt;&gt;""),"",IF(OR(G30="Sin ventas",G30=""),"⚪ Sin ventas este mes",IF(G30&lt;=15,"🔥 Rotación rápida",IF(G30&lt;=30,"✅ Rotación normal","🐢 Rotación lenta"))))</f>
        <v>🔥 Rotación rápida</v>
      </c>
      <c r="K30" s="146">
        <f>IF('Catálogo Productos'!B27&lt;&gt;"",'Catálogo Productos'!G27,"")</f>
        <v>5</v>
      </c>
      <c r="L30" s="147" t="str">
        <f>IF(NOT(B30&lt;&gt;""),"",IF(D30=0,"🔴 REPONER YA",IF(OR(M30=0,M30=""),"🟢 Sin prisa",IF(Q30&lt;'Configuración'!$C$9,"🔴 PEDIR AHORA",IF(Q30&lt;('Configuración'!$C$9+'Configuración'!$C$10),"🟡 Reponer pronto","🟢 Sin prisa")))))</f>
        <v>🟢 Sin prisa</v>
      </c>
      <c r="M30" s="148">
        <f>IF(B30="","",IF(OR(E30="",E30=0),0,ROUND(E30*('Configuración'!$C$4/'Configuración'!$C$11),1)))</f>
        <v>3.1</v>
      </c>
      <c r="N30" s="149">
        <f>IF(B30="","",IF(M30=0,"—",MAX(0,CEILING(M30*('Configuración'!$C$9+'Configuración'!$C$10)-D30,1))))</f>
        <v>0</v>
      </c>
      <c r="O30" s="150">
        <f t="shared" si="1"/>
        <v>46248</v>
      </c>
      <c r="P30" s="151" t="str">
        <f>IF(B30="","",IF(D30=0,"🔴 PEDIR URGENTE — sin stock",IF(OR(M30=0,M30=""),"⚪ Sin demanda — monitorear",IF(Q30&lt;'Configuración'!$C$9,"🔴 PEDIR AHORA — "&amp;N30&amp;" uds (stock cubre "&amp;Q30&amp;" meses, lead time "&amp;'Configuración'!$C$9&amp;" meses)",IF(Q30&lt;('Configuración'!$C$9+'Configuración'!$C$10),"🟡 VIGILAR — "&amp;N30&amp;" uds (cubre "&amp;Q30&amp;" meses, al límite del lead time)","🟢 OK — stock cubre "&amp;Q30&amp;" meses")))))</f>
        <v>🟢 OK — stock cubre 7,7 meses</v>
      </c>
      <c r="Q30" s="2">
        <f t="shared" si="2"/>
        <v>7.7</v>
      </c>
      <c r="R30" s="2"/>
      <c r="S30" s="2"/>
      <c r="T30" s="2"/>
      <c r="U30" s="2"/>
      <c r="V30" s="2"/>
      <c r="W30" s="2"/>
      <c r="X30" s="2"/>
      <c r="Y30" s="2"/>
      <c r="Z30" s="2"/>
    </row>
    <row r="31" ht="27.75" customHeight="1">
      <c r="A31" s="61">
        <f>IF('Catálogo Productos'!B28&lt;&gt;"",COUNTA('Catálogo Productos'!$B$4:$B28),"")</f>
        <v>25</v>
      </c>
      <c r="B31" s="124" t="str">
        <f>IF('Catálogo Productos'!B28&lt;&gt;"",'Catálogo Productos'!B28,"")</f>
        <v>Ernie Ball Power Slinky</v>
      </c>
      <c r="C31" s="124" t="str">
        <f>IF('Catálogo Productos'!B28&lt;&gt;"",'Catálogo Productos'!C28,"")</f>
        <v>Guitarra Electrica</v>
      </c>
      <c r="D31" s="141">
        <v>6.0</v>
      </c>
      <c r="E31" s="141">
        <f>IF('Catálogo Productos'!B28&lt;&gt;"",COUNTIF('Abril 2026 - Ventas'!$C$5:$C$303,'Catálogo Productos'!B28),"")</f>
        <v>0</v>
      </c>
      <c r="F31" s="128">
        <f>IF('Catálogo Productos'!B28&lt;&gt;"",'Configuración'!$C$4,"")</f>
        <v>31</v>
      </c>
      <c r="G31" s="142" t="str">
        <f>IF(OR(NOT('Catálogo Productos'!B28&lt;&gt;""),E31="",E31=0),IF('Catálogo Productos'!B28&lt;&gt;"","Sin ventas",""),IF(M31=0,"Sin ventas",ROUND(F31/M31,1)))</f>
        <v>Sin ventas</v>
      </c>
      <c r="H31" s="143" t="str">
        <f>IF(OR(NOT('Catálogo Productos'!B28&lt;&gt;""),D31="",D31=0),IF('Catálogo Productos'!B28&lt;&gt;"",IF(E31=0,"∞ (sin ventas)","🔴 Sin stock"),""),IF(G31="Sin ventas","∞ (sin ventas)",ROUND(D31*G31,0)))</f>
        <v>∞ (sin ventas)</v>
      </c>
      <c r="I31" s="144" t="str">
        <f>IF(OR(NOT('Catálogo Productos'!B28&lt;&gt;""),H31="",ISNUMBER(SEARCH("∞",TEXT(H31,"@"))),ISNUMBER(SEARCH("🔴",TEXT(H31,"@")))),"",TODAY()+H31)</f>
        <v/>
      </c>
      <c r="J31" s="145" t="str">
        <f>IF(NOT('Catálogo Productos'!B28&lt;&gt;""),"",IF(OR(G31="Sin ventas",G31=""),"⚪ Sin ventas este mes",IF(G31&lt;=15,"🔥 Rotación rápida",IF(G31&lt;=30,"✅ Rotación normal","🐢 Rotación lenta"))))</f>
        <v>⚪ Sin ventas este mes</v>
      </c>
      <c r="K31" s="146">
        <f>IF('Catálogo Productos'!B28&lt;&gt;"",'Catálogo Productos'!G28,"")</f>
        <v>2</v>
      </c>
      <c r="L31" s="147" t="str">
        <f>IF(NOT(B31&lt;&gt;""),"",IF(D31=0,"🔴 REPONER YA",IF(OR(M31=0,M31=""),"🟢 Sin prisa",IF(Q31&lt;'Configuración'!$C$9,"🔴 PEDIR AHORA",IF(Q31&lt;('Configuración'!$C$9+'Configuración'!$C$10),"🟡 Reponer pronto","🟢 Sin prisa")))))</f>
        <v>🟢 Sin prisa</v>
      </c>
      <c r="M31" s="148">
        <f>IF(B31="","",IF(OR(E31="",E31=0),0,ROUND(E31*('Configuración'!$C$4/'Configuración'!$C$11),1)))</f>
        <v>0</v>
      </c>
      <c r="N31" s="149" t="str">
        <f>IF(B31="","",IF(M31=0,"—",MAX(0,CEILING(M31*('Configuración'!$C$9+'Configuración'!$C$10)-D31,1))))</f>
        <v>—</v>
      </c>
      <c r="O31" s="150" t="str">
        <f t="shared" si="1"/>
        <v>—</v>
      </c>
      <c r="P31" s="151" t="str">
        <f>IF(B31="","",IF(D31=0,"🔴 PEDIR URGENTE — sin stock",IF(OR(M31=0,M31=""),"⚪ Sin demanda — monitorear",IF(Q31&lt;'Configuración'!$C$9,"🔴 PEDIR AHORA — "&amp;N31&amp;" uds (stock cubre "&amp;Q31&amp;" meses, lead time "&amp;'Configuración'!$C$9&amp;" meses)",IF(Q31&lt;('Configuración'!$C$9+'Configuración'!$C$10),"🟡 VIGILAR — "&amp;N31&amp;" uds (cubre "&amp;Q31&amp;" meses, al límite del lead time)","🟢 OK — stock cubre "&amp;Q31&amp;" meses")))))</f>
        <v>⚪ Sin demanda — monitorear</v>
      </c>
      <c r="Q31" s="2">
        <f t="shared" si="2"/>
        <v>999</v>
      </c>
      <c r="R31" s="2"/>
      <c r="S31" s="2"/>
      <c r="T31" s="2"/>
      <c r="U31" s="2"/>
      <c r="V31" s="2"/>
      <c r="W31" s="2"/>
      <c r="X31" s="2"/>
      <c r="Y31" s="2"/>
      <c r="Z31" s="2"/>
    </row>
    <row r="32" ht="27.75" customHeight="1">
      <c r="A32" s="61">
        <f>IF('Catálogo Productos'!B29&lt;&gt;"",COUNTA('Catálogo Productos'!$B$4:$B29),"")</f>
        <v>26</v>
      </c>
      <c r="B32" s="124" t="str">
        <f>IF('Catálogo Productos'!B29&lt;&gt;"",'Catálogo Productos'!B29,"")</f>
        <v>Ernie Ball Super Slinky</v>
      </c>
      <c r="C32" s="124" t="str">
        <f>IF('Catálogo Productos'!B29&lt;&gt;"",'Catálogo Productos'!C29,"")</f>
        <v>Guitarra Electrica</v>
      </c>
      <c r="D32" s="141">
        <v>6.0</v>
      </c>
      <c r="E32" s="141">
        <f>IF('Catálogo Productos'!B29&lt;&gt;"",COUNTIF('Abril 2026 - Ventas'!$C$5:$C$303,'Catálogo Productos'!B29),"")</f>
        <v>0</v>
      </c>
      <c r="F32" s="128">
        <f>IF('Catálogo Productos'!B29&lt;&gt;"",'Configuración'!$C$4,"")</f>
        <v>31</v>
      </c>
      <c r="G32" s="142" t="str">
        <f>IF(OR(NOT('Catálogo Productos'!B29&lt;&gt;""),E32="",E32=0),IF('Catálogo Productos'!B29&lt;&gt;"","Sin ventas",""),IF(M32=0,"Sin ventas",ROUND(F32/M32,1)))</f>
        <v>Sin ventas</v>
      </c>
      <c r="H32" s="143" t="str">
        <f>IF(OR(NOT('Catálogo Productos'!B29&lt;&gt;""),D32="",D32=0),IF('Catálogo Productos'!B29&lt;&gt;"",IF(E32=0,"∞ (sin ventas)","🔴 Sin stock"),""),IF(G32="Sin ventas","∞ (sin ventas)",ROUND(D32*G32,0)))</f>
        <v>∞ (sin ventas)</v>
      </c>
      <c r="I32" s="144" t="str">
        <f>IF(OR(NOT('Catálogo Productos'!B29&lt;&gt;""),H32="",ISNUMBER(SEARCH("∞",TEXT(H32,"@"))),ISNUMBER(SEARCH("🔴",TEXT(H32,"@")))),"",TODAY()+H32)</f>
        <v/>
      </c>
      <c r="J32" s="145" t="str">
        <f>IF(NOT('Catálogo Productos'!B29&lt;&gt;""),"",IF(OR(G32="Sin ventas",G32=""),"⚪ Sin ventas este mes",IF(G32&lt;=15,"🔥 Rotación rápida",IF(G32&lt;=30,"✅ Rotación normal","🐢 Rotación lenta"))))</f>
        <v>⚪ Sin ventas este mes</v>
      </c>
      <c r="K32" s="146">
        <f>IF('Catálogo Productos'!B29&lt;&gt;"",'Catálogo Productos'!G29,"")</f>
        <v>2</v>
      </c>
      <c r="L32" s="147" t="str">
        <f>IF(NOT(B32&lt;&gt;""),"",IF(D32=0,"🔴 REPONER YA",IF(OR(M32=0,M32=""),"🟢 Sin prisa",IF(Q32&lt;'Configuración'!$C$9,"🔴 PEDIR AHORA",IF(Q32&lt;('Configuración'!$C$9+'Configuración'!$C$10),"🟡 Reponer pronto","🟢 Sin prisa")))))</f>
        <v>🟢 Sin prisa</v>
      </c>
      <c r="M32" s="148">
        <f>IF(B32="","",IF(OR(E32="",E32=0),0,ROUND(E32*('Configuración'!$C$4/'Configuración'!$C$11),1)))</f>
        <v>0</v>
      </c>
      <c r="N32" s="149" t="str">
        <f>IF(B32="","",IF(M32=0,"—",MAX(0,CEILING(M32*('Configuración'!$C$9+'Configuración'!$C$10)-D32,1))))</f>
        <v>—</v>
      </c>
      <c r="O32" s="150" t="str">
        <f t="shared" si="1"/>
        <v>—</v>
      </c>
      <c r="P32" s="151" t="str">
        <f>IF(B32="","",IF(D32=0,"🔴 PEDIR URGENTE — sin stock",IF(OR(M32=0,M32=""),"⚪ Sin demanda — monitorear",IF(Q32&lt;'Configuración'!$C$9,"🔴 PEDIR AHORA — "&amp;N32&amp;" uds (stock cubre "&amp;Q32&amp;" meses, lead time "&amp;'Configuración'!$C$9&amp;" meses)",IF(Q32&lt;('Configuración'!$C$9+'Configuración'!$C$10),"🟡 VIGILAR — "&amp;N32&amp;" uds (cubre "&amp;Q32&amp;" meses, al límite del lead time)","🟢 OK — stock cubre "&amp;Q32&amp;" meses")))))</f>
        <v>⚪ Sin demanda — monitorear</v>
      </c>
      <c r="Q32" s="2">
        <f t="shared" si="2"/>
        <v>999</v>
      </c>
      <c r="R32" s="2"/>
      <c r="S32" s="2"/>
      <c r="T32" s="2"/>
      <c r="U32" s="2"/>
      <c r="V32" s="2"/>
      <c r="W32" s="2"/>
      <c r="X32" s="2"/>
      <c r="Y32" s="2"/>
      <c r="Z32" s="2"/>
    </row>
    <row r="33" ht="27.75" customHeight="1">
      <c r="A33" s="61">
        <f>IF('Catálogo Productos'!B30&lt;&gt;"",COUNTA('Catálogo Productos'!$B$4:$B30),"")</f>
        <v>27</v>
      </c>
      <c r="B33" s="124" t="str">
        <f>IF('Catálogo Productos'!B30&lt;&gt;"",'Catálogo Productos'!B30,"")</f>
        <v>Ernie Ball Regular Slinky</v>
      </c>
      <c r="C33" s="124" t="str">
        <f>IF('Catálogo Productos'!B30&lt;&gt;"",'Catálogo Productos'!C30,"")</f>
        <v>Guitarra Electrica</v>
      </c>
      <c r="D33" s="141">
        <v>6.0</v>
      </c>
      <c r="E33" s="141">
        <f>IF('Catálogo Productos'!B30&lt;&gt;"",COUNTIF('Abril 2026 - Ventas'!$C$5:$C$303,'Catálogo Productos'!B30),"")</f>
        <v>0</v>
      </c>
      <c r="F33" s="128">
        <f>IF('Catálogo Productos'!B30&lt;&gt;"",'Configuración'!$C$4,"")</f>
        <v>31</v>
      </c>
      <c r="G33" s="142" t="str">
        <f>IF(OR(NOT('Catálogo Productos'!B30&lt;&gt;""),E33="",E33=0),IF('Catálogo Productos'!B30&lt;&gt;"","Sin ventas",""),IF(M33=0,"Sin ventas",ROUND(F33/M33,1)))</f>
        <v>Sin ventas</v>
      </c>
      <c r="H33" s="143" t="str">
        <f>IF(OR(NOT('Catálogo Productos'!B30&lt;&gt;""),D33="",D33=0),IF('Catálogo Productos'!B30&lt;&gt;"",IF(E33=0,"∞ (sin ventas)","🔴 Sin stock"),""),IF(G33="Sin ventas","∞ (sin ventas)",ROUND(D33*G33,0)))</f>
        <v>∞ (sin ventas)</v>
      </c>
      <c r="I33" s="144" t="str">
        <f>IF(OR(NOT('Catálogo Productos'!B30&lt;&gt;""),H33="",ISNUMBER(SEARCH("∞",TEXT(H33,"@"))),ISNUMBER(SEARCH("🔴",TEXT(H33,"@")))),"",TODAY()+H33)</f>
        <v/>
      </c>
      <c r="J33" s="145" t="str">
        <f>IF(NOT('Catálogo Productos'!B30&lt;&gt;""),"",IF(OR(G33="Sin ventas",G33=""),"⚪ Sin ventas este mes",IF(G33&lt;=15,"🔥 Rotación rápida",IF(G33&lt;=30,"✅ Rotación normal","🐢 Rotación lenta"))))</f>
        <v>⚪ Sin ventas este mes</v>
      </c>
      <c r="K33" s="146">
        <f>IF('Catálogo Productos'!B30&lt;&gt;"",'Catálogo Productos'!G30,"")</f>
        <v>2</v>
      </c>
      <c r="L33" s="147" t="str">
        <f>IF(NOT(B33&lt;&gt;""),"",IF(D33=0,"🔴 REPONER YA",IF(OR(M33=0,M33=""),"🟢 Sin prisa",IF(Q33&lt;'Configuración'!$C$9,"🔴 PEDIR AHORA",IF(Q33&lt;('Configuración'!$C$9+'Configuración'!$C$10),"🟡 Reponer pronto","🟢 Sin prisa")))))</f>
        <v>🟢 Sin prisa</v>
      </c>
      <c r="M33" s="148">
        <f>IF(B33="","",IF(OR(E33="",E33=0),0,ROUND(E33*('Configuración'!$C$4/'Configuración'!$C$11),1)))</f>
        <v>0</v>
      </c>
      <c r="N33" s="149" t="str">
        <f>IF(B33="","",IF(M33=0,"—",MAX(0,CEILING(M33*('Configuración'!$C$9+'Configuración'!$C$10)-D33,1))))</f>
        <v>—</v>
      </c>
      <c r="O33" s="150" t="str">
        <f t="shared" si="1"/>
        <v>—</v>
      </c>
      <c r="P33" s="151" t="str">
        <f>IF(B33="","",IF(D33=0,"🔴 PEDIR URGENTE — sin stock",IF(OR(M33=0,M33=""),"⚪ Sin demanda — monitorear",IF(Q33&lt;'Configuración'!$C$9,"🔴 PEDIR AHORA — "&amp;N33&amp;" uds (stock cubre "&amp;Q33&amp;" meses, lead time "&amp;'Configuración'!$C$9&amp;" meses)",IF(Q33&lt;('Configuración'!$C$9+'Configuración'!$C$10),"🟡 VIGILAR — "&amp;N33&amp;" uds (cubre "&amp;Q33&amp;" meses, al límite del lead time)","🟢 OK — stock cubre "&amp;Q33&amp;" meses")))))</f>
        <v>⚪ Sin demanda — monitorear</v>
      </c>
      <c r="Q33" s="2">
        <f t="shared" si="2"/>
        <v>999</v>
      </c>
      <c r="R33" s="2"/>
      <c r="S33" s="2"/>
      <c r="T33" s="2"/>
      <c r="U33" s="2"/>
      <c r="V33" s="2"/>
      <c r="W33" s="2"/>
      <c r="X33" s="2"/>
      <c r="Y33" s="2"/>
      <c r="Z33" s="2"/>
    </row>
    <row r="34" ht="27.75" customHeight="1">
      <c r="A34" s="61">
        <f>IF('Catálogo Productos'!B31&lt;&gt;"",COUNTA('Catálogo Productos'!$B$4:$B31),"")</f>
        <v>28</v>
      </c>
      <c r="B34" s="124" t="str">
        <f>IF('Catálogo Productos'!B31&lt;&gt;"",'Catálogo Productos'!B31,"")</f>
        <v>Puente Violin 4/4</v>
      </c>
      <c r="C34" s="124" t="str">
        <f>IF('Catálogo Productos'!B31&lt;&gt;"",'Catálogo Productos'!C31,"")</f>
        <v>Violin</v>
      </c>
      <c r="D34" s="141">
        <f>IF('Catálogo Productos'!B31&lt;&gt;"",'Catálogo Productos'!H86,"")</f>
        <v>0</v>
      </c>
      <c r="E34" s="141">
        <f>IF('Catálogo Productos'!B31&lt;&gt;"",COUNTIF('Abril 2026 - Ventas'!$C$5:$C$303,'Catálogo Productos'!B31),"")</f>
        <v>1</v>
      </c>
      <c r="F34" s="128">
        <f>IF('Catálogo Productos'!B31&lt;&gt;"",'Configuración'!$C$4,"")</f>
        <v>31</v>
      </c>
      <c r="G34" s="142">
        <f>IF(OR(NOT('Catálogo Productos'!B31&lt;&gt;""),E34="",E34=0),IF('Catálogo Productos'!B31&lt;&gt;"","Sin ventas",""),IF(M34=0,"Sin ventas",ROUND(F34/M34,1)))</f>
        <v>10</v>
      </c>
      <c r="H34" s="143" t="str">
        <f>IF(OR(NOT('Catálogo Productos'!B31&lt;&gt;""),D34="",D34=0),IF('Catálogo Productos'!B31&lt;&gt;"",IF(E34=0,"∞ (sin ventas)","🔴 Sin stock"),""),IF(G34="Sin ventas","∞ (sin ventas)",ROUND(D34*G34,0)))</f>
        <v>🔴 Sin stock</v>
      </c>
      <c r="I34" s="144" t="str">
        <f>IF(OR(NOT('Catálogo Productos'!B31&lt;&gt;""),H34="",ISNUMBER(SEARCH("∞",TEXT(H34,"@"))),ISNUMBER(SEARCH("🔴",TEXT(H34,"@")))),"",TODAY()+H34)</f>
        <v/>
      </c>
      <c r="J34" s="145" t="str">
        <f>IF(NOT('Catálogo Productos'!B31&lt;&gt;""),"",IF(OR(G34="Sin ventas",G34=""),"⚪ Sin ventas este mes",IF(G34&lt;=15,"🔥 Rotación rápida",IF(G34&lt;=30,"✅ Rotación normal","🐢 Rotación lenta"))))</f>
        <v>🔥 Rotación rápida</v>
      </c>
      <c r="K34" s="146">
        <f>IF('Catálogo Productos'!B31&lt;&gt;"",'Catálogo Productos'!G31,"")</f>
        <v>4</v>
      </c>
      <c r="L34" s="147" t="str">
        <f>IF(NOT(B34&lt;&gt;""),"",IF(D34=0,"🔴 REPONER YA",IF(OR(M34=0,M34=""),"🟢 Sin prisa",IF(Q34&lt;'Configuración'!$C$9,"🔴 PEDIR AHORA",IF(Q34&lt;('Configuración'!$C$9+'Configuración'!$C$10),"🟡 Reponer pronto","🟢 Sin prisa")))))</f>
        <v>🔴 REPONER YA</v>
      </c>
      <c r="M34" s="148">
        <f>IF(B34="","",IF(OR(E34="",E34=0),0,ROUND(E34*('Configuración'!$C$4/'Configuración'!$C$11),1)))</f>
        <v>3.1</v>
      </c>
      <c r="N34" s="149">
        <f>IF(B34="","",IF(M34=0,"—",MAX(0,CEILING(M34*('Configuración'!$C$9+'Configuración'!$C$10)-D34,1))))</f>
        <v>16</v>
      </c>
      <c r="O34" s="150" t="str">
        <f t="shared" si="1"/>
        <v>—</v>
      </c>
      <c r="P34" s="151" t="str">
        <f>IF(B34="","",IF(D34=0,"🔴 PEDIR URGENTE — sin stock",IF(OR(M34=0,M34=""),"⚪ Sin demanda — monitorear",IF(Q34&lt;'Configuración'!$C$9,"🔴 PEDIR AHORA — "&amp;N34&amp;" uds (stock cubre "&amp;Q34&amp;" meses, lead time "&amp;'Configuración'!$C$9&amp;" meses)",IF(Q34&lt;('Configuración'!$C$9+'Configuración'!$C$10),"🟡 VIGILAR — "&amp;N34&amp;" uds (cubre "&amp;Q34&amp;" meses, al límite del lead time)","🟢 OK — stock cubre "&amp;Q34&amp;" meses")))))</f>
        <v>🔴 PEDIR URGENTE — sin stock</v>
      </c>
      <c r="Q34" s="2">
        <f t="shared" si="2"/>
        <v>0</v>
      </c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61">
        <f>IF('Catálogo Productos'!B32&lt;&gt;"",COUNTA('Catálogo Productos'!$B$4:$B32),"")</f>
        <v>29</v>
      </c>
      <c r="B35" s="124" t="str">
        <f>IF('Catálogo Productos'!B32&lt;&gt;"",'Catálogo Productos'!B32,"")</f>
        <v>Puente Violin 3/4</v>
      </c>
      <c r="C35" s="124" t="str">
        <f>IF('Catálogo Productos'!B32&lt;&gt;"",'Catálogo Productos'!C32,"")</f>
        <v>Violin</v>
      </c>
      <c r="D35" s="141">
        <f>IF('Catálogo Productos'!B32&lt;&gt;"",'Catálogo Productos'!H87,"")</f>
        <v>0</v>
      </c>
      <c r="E35" s="141">
        <f>IF('Catálogo Productos'!B32&lt;&gt;"",COUNTIF('Abril 2026 - Ventas'!$C$5:$C$303,'Catálogo Productos'!B32),"")</f>
        <v>1</v>
      </c>
      <c r="F35" s="128">
        <f>IF('Catálogo Productos'!B32&lt;&gt;"",'Configuración'!$C$4,"")</f>
        <v>31</v>
      </c>
      <c r="G35" s="142">
        <f>IF(OR(NOT('Catálogo Productos'!B32&lt;&gt;""),E35="",E35=0),IF('Catálogo Productos'!B32&lt;&gt;"","Sin ventas",""),IF(M35=0,"Sin ventas",ROUND(F35/M35,1)))</f>
        <v>10</v>
      </c>
      <c r="H35" s="143" t="str">
        <f>IF(OR(NOT('Catálogo Productos'!B32&lt;&gt;""),D35="",D35=0),IF('Catálogo Productos'!B32&lt;&gt;"",IF(E35=0,"∞ (sin ventas)","🔴 Sin stock"),""),IF(G35="Sin ventas","∞ (sin ventas)",ROUND(D35*G35,0)))</f>
        <v>🔴 Sin stock</v>
      </c>
      <c r="I35" s="144" t="str">
        <f>IF(OR(NOT('Catálogo Productos'!B32&lt;&gt;""),H35="",ISNUMBER(SEARCH("∞",TEXT(H35,"@"))),ISNUMBER(SEARCH("🔴",TEXT(H35,"@")))),"",TODAY()+H35)</f>
        <v/>
      </c>
      <c r="J35" s="145" t="str">
        <f>IF(NOT('Catálogo Productos'!B32&lt;&gt;""),"",IF(OR(G35="Sin ventas",G35=""),"⚪ Sin ventas este mes",IF(G35&lt;=15,"🔥 Rotación rápida",IF(G35&lt;=30,"✅ Rotación normal","🐢 Rotación lenta"))))</f>
        <v>🔥 Rotación rápida</v>
      </c>
      <c r="K35" s="146">
        <f>IF('Catálogo Productos'!B32&lt;&gt;"",'Catálogo Productos'!G32,"")</f>
        <v>4</v>
      </c>
      <c r="L35" s="147" t="str">
        <f>IF(NOT(B35&lt;&gt;""),"",IF(D35=0,"🔴 REPONER YA",IF(OR(M35=0,M35=""),"🟢 Sin prisa",IF(Q35&lt;'Configuración'!$C$9,"🔴 PEDIR AHORA",IF(Q35&lt;('Configuración'!$C$9+'Configuración'!$C$10),"🟡 Reponer pronto","🟢 Sin prisa")))))</f>
        <v>🔴 REPONER YA</v>
      </c>
      <c r="M35" s="2">
        <f>IF(B35="","",IF(OR(E35="",E35=0),0,ROUND(E35*('Configuración'!$C$4/'Configuración'!$C$11),1)))</f>
        <v>3.1</v>
      </c>
      <c r="N35" s="2">
        <f>IF(B35="","",IF(M35=0,"—",MAX(0,CEILING(M35*('Configuración'!$C$9+'Configuración'!$C$10)-D35,1))))</f>
        <v>16</v>
      </c>
      <c r="O35" s="2"/>
      <c r="P35" s="2" t="str">
        <f>IF(B35="","",IF(D35=0,"🔴 PEDIR URGENTE — sin stock",IF(OR(M35=0,M35=""),"⚪ Sin demanda — monitorear",IF(Q35&lt;'Configuración'!$C$9,"🔴 PEDIR AHORA — "&amp;N35&amp;" uds (stock cubre "&amp;Q35&amp;" meses, lead time "&amp;'Configuración'!$C$9&amp;" meses)",IF(Q35&lt;('Configuración'!$C$9+'Configuración'!$C$10),"🟡 VIGILAR — "&amp;N35&amp;" uds (cubre "&amp;Q35&amp;" meses, al límite del lead time)","🟢 OK — stock cubre "&amp;Q35&amp;" meses")))))</f>
        <v>🔴 PEDIR URGENTE — sin stock</v>
      </c>
      <c r="Q35" s="2">
        <f t="shared" si="2"/>
        <v>0</v>
      </c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61" t="str">
        <f>IF('Catálogo Productos'!B33&lt;&gt;"",COUNTA('Catálogo Productos'!$B$4:$B33),"")</f>
        <v/>
      </c>
      <c r="B36" s="124" t="str">
        <f>IF('Catálogo Productos'!B33&lt;&gt;"",'Catálogo Productos'!B33,"")</f>
        <v/>
      </c>
      <c r="C36" s="124" t="str">
        <f>IF('Catálogo Productos'!B33&lt;&gt;"",'Catálogo Productos'!C33,"")</f>
        <v/>
      </c>
      <c r="D36" s="141" t="str">
        <f>IF('Catálogo Productos'!B33&lt;&gt;"",'Catálogo Productos'!H88,"")</f>
        <v/>
      </c>
      <c r="E36" s="141" t="str">
        <f>IF('Catálogo Productos'!B33&lt;&gt;"",COUNTIF('Abril 2026 - Ventas'!$C$5:$C$303,'Catálogo Productos'!B33),"")</f>
        <v/>
      </c>
      <c r="F36" s="128" t="str">
        <f>IF('Catálogo Productos'!B33&lt;&gt;"",'Configuración'!$C$4,"")</f>
        <v/>
      </c>
      <c r="G36" s="142" t="str">
        <f>IF(OR(NOT('Catálogo Productos'!B33&lt;&gt;""),E36="",E36=0),IF('Catálogo Productos'!B33&lt;&gt;"","Sin ventas",""),IF(M36=0,"Sin ventas",ROUND(F36/M36,1)))</f>
        <v/>
      </c>
      <c r="H36" s="143" t="str">
        <f>IF(OR(NOT('Catálogo Productos'!B33&lt;&gt;""),D36="",D36=0),IF('Catálogo Productos'!B33&lt;&gt;"",IF(E36=0,"∞ (sin ventas)","🔴 Sin stock"),""),IF(G36="Sin ventas","∞ (sin ventas)",ROUND(D36*G36,0)))</f>
        <v/>
      </c>
      <c r="I36" s="144" t="str">
        <f>IF(OR(NOT('Catálogo Productos'!B33&lt;&gt;""),H36="",ISNUMBER(SEARCH("∞",TEXT(H36,"@"))),ISNUMBER(SEARCH("🔴",TEXT(H36,"@")))),"",TODAY()+H36)</f>
        <v/>
      </c>
      <c r="J36" s="145" t="str">
        <f>IF(NOT('Catálogo Productos'!B33&lt;&gt;""),"",IF(OR(G36="Sin ventas",G36=""),"⚪ Sin ventas este mes",IF(G36&lt;=15,"🔥 Rotación rápida",IF(G36&lt;=30,"✅ Rotación normal","🐢 Rotación lenta"))))</f>
        <v/>
      </c>
      <c r="K36" s="146" t="str">
        <f>IF('Catálogo Productos'!B33&lt;&gt;"",'Catálogo Productos'!G33,"")</f>
        <v/>
      </c>
      <c r="L36" s="147" t="str">
        <f>IF(NOT(B36&lt;&gt;""),"",IF(D36=0,"🔴 REPONER YA",IF(OR(M36=0,M36=""),"🟢 Sin prisa",IF(Q36&lt;'Configuración'!$C$9,"🔴 PEDIR AHORA",IF(Q36&lt;('Configuración'!$C$9+'Configuración'!$C$10),"🟡 Reponer pronto","🟢 Sin prisa")))))</f>
        <v/>
      </c>
      <c r="M36" s="2" t="str">
        <f>IF(B36="","",IF(OR(E36="",E36=0),0,ROUND(E36*('Configuración'!$C$4/'Configuración'!$C$11),1)))</f>
        <v/>
      </c>
      <c r="N36" s="2" t="str">
        <f>IF(B36="","",IF(M36=0,"—",MAX(0,CEILING(M36*('Configuración'!$C$9+'Configuración'!$C$10)-D36,1))))</f>
        <v/>
      </c>
      <c r="O36" s="2"/>
      <c r="P36" s="2" t="str">
        <f>IF(B36="","",IF(D36=0,"🔴 PEDIR URGENTE — sin stock",IF(OR(M36=0,M36=""),"⚪ Sin demanda — monitorear",IF(Q36&lt;'Configuración'!$C$9,"🔴 PEDIR AHORA — "&amp;N36&amp;" uds (stock cubre "&amp;Q36&amp;" meses, lead time "&amp;'Configuración'!$C$9&amp;" meses)",IF(Q36&lt;('Configuración'!$C$9+'Configuración'!$C$10),"🟡 VIGILAR — "&amp;N36&amp;" uds (cubre "&amp;Q36&amp;" meses, al límite del lead time)","🟢 OK — stock cubre "&amp;Q36&amp;" meses")))))</f>
        <v/>
      </c>
      <c r="Q36" s="2" t="str">
        <f t="shared" si="2"/>
        <v/>
      </c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61" t="str">
        <f>IF('Catálogo Productos'!B34&lt;&gt;"",COUNTA('Catálogo Productos'!$B$4:$B34),"")</f>
        <v/>
      </c>
      <c r="B37" s="124" t="str">
        <f>IF('Catálogo Productos'!B34&lt;&gt;"",'Catálogo Productos'!B34,"")</f>
        <v/>
      </c>
      <c r="C37" s="124" t="str">
        <f>IF('Catálogo Productos'!B34&lt;&gt;"",'Catálogo Productos'!C34,"")</f>
        <v/>
      </c>
      <c r="D37" s="141" t="str">
        <f>IF('Catálogo Productos'!B34&lt;&gt;"",'Catálogo Productos'!H89,"")</f>
        <v/>
      </c>
      <c r="E37" s="141" t="str">
        <f>IF('Catálogo Productos'!B34&lt;&gt;"",COUNTIF('Abril 2026 - Ventas'!$C$5:$C$303,'Catálogo Productos'!B34),"")</f>
        <v/>
      </c>
      <c r="F37" s="128" t="str">
        <f>IF('Catálogo Productos'!B34&lt;&gt;"",'Configuración'!$C$4,"")</f>
        <v/>
      </c>
      <c r="G37" s="142" t="str">
        <f>IF(OR(NOT('Catálogo Productos'!B34&lt;&gt;""),E37="",E37=0),IF('Catálogo Productos'!B34&lt;&gt;"","Sin ventas",""),IF(M37=0,"Sin ventas",ROUND(F37/M37,1)))</f>
        <v/>
      </c>
      <c r="H37" s="143" t="str">
        <f>IF(OR(NOT('Catálogo Productos'!B34&lt;&gt;""),D37="",D37=0),IF('Catálogo Productos'!B34&lt;&gt;"",IF(E37=0,"∞ (sin ventas)","🔴 Sin stock"),""),IF(G37="Sin ventas","∞ (sin ventas)",ROUND(D37*G37,0)))</f>
        <v/>
      </c>
      <c r="I37" s="144" t="str">
        <f>IF(OR(NOT('Catálogo Productos'!B34&lt;&gt;""),H37="",ISNUMBER(SEARCH("∞",TEXT(H37,"@"))),ISNUMBER(SEARCH("🔴",TEXT(H37,"@")))),"",TODAY()+H37)</f>
        <v/>
      </c>
      <c r="J37" s="145" t="str">
        <f>IF(NOT('Catálogo Productos'!B34&lt;&gt;""),"",IF(OR(G37="Sin ventas",G37=""),"⚪ Sin ventas este mes",IF(G37&lt;=15,"🔥 Rotación rápida",IF(G37&lt;=30,"✅ Rotación normal","🐢 Rotación lenta"))))</f>
        <v/>
      </c>
      <c r="K37" s="146" t="str">
        <f>IF('Catálogo Productos'!B34&lt;&gt;"",'Catálogo Productos'!G34,"")</f>
        <v/>
      </c>
      <c r="L37" s="147" t="str">
        <f>IF(NOT(B37&lt;&gt;""),"",IF(D37=0,"🔴 REPONER YA",IF(OR(M37=0,M37=""),"🟢 Sin prisa",IF(Q37&lt;'Configuración'!$C$9,"🔴 PEDIR AHORA",IF(Q37&lt;('Configuración'!$C$9+'Configuración'!$C$10),"🟡 Reponer pronto","🟢 Sin prisa")))))</f>
        <v/>
      </c>
      <c r="M37" s="2" t="str">
        <f>IF(B37="","",IF(OR(E37="",E37=0),0,ROUND(E37*('Configuración'!$C$4/'Configuración'!$C$11),1)))</f>
        <v/>
      </c>
      <c r="N37" s="2" t="str">
        <f>IF(B37="","",IF(M37=0,"—",MAX(0,CEILING(M37*('Configuración'!$C$9+'Configuración'!$C$10)-D37,1))))</f>
        <v/>
      </c>
      <c r="O37" s="2"/>
      <c r="P37" s="2" t="str">
        <f>IF(B37="","",IF(D37=0,"🔴 PEDIR URGENTE — sin stock",IF(OR(M37=0,M37=""),"⚪ Sin demanda — monitorear",IF(Q37&lt;'Configuración'!$C$9,"🔴 PEDIR AHORA — "&amp;N37&amp;" uds (stock cubre "&amp;Q37&amp;" meses, lead time "&amp;'Configuración'!$C$9&amp;" meses)",IF(Q37&lt;('Configuración'!$C$9+'Configuración'!$C$10),"🟡 VIGILAR — "&amp;N37&amp;" uds (cubre "&amp;Q37&amp;" meses, al límite del lead time)","🟢 OK — stock cubre "&amp;Q37&amp;" meses")))))</f>
        <v/>
      </c>
      <c r="Q37" s="2" t="str">
        <f t="shared" si="2"/>
        <v/>
      </c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61" t="str">
        <f>IF('Catálogo Productos'!B35&lt;&gt;"",COUNTA('Catálogo Productos'!$B$4:$B35),"")</f>
        <v/>
      </c>
      <c r="B38" s="124" t="str">
        <f>IF('Catálogo Productos'!B35&lt;&gt;"",'Catálogo Productos'!B35,"")</f>
        <v/>
      </c>
      <c r="C38" s="124" t="str">
        <f>IF('Catálogo Productos'!B35&lt;&gt;"",'Catálogo Productos'!C35,"")</f>
        <v/>
      </c>
      <c r="D38" s="141" t="str">
        <f>IF('Catálogo Productos'!B35&lt;&gt;"",'Catálogo Productos'!H90,"")</f>
        <v/>
      </c>
      <c r="E38" s="141" t="str">
        <f>IF('Catálogo Productos'!B35&lt;&gt;"",COUNTIF('Abril 2026 - Ventas'!$C$5:$C$303,'Catálogo Productos'!B35),"")</f>
        <v/>
      </c>
      <c r="F38" s="128" t="str">
        <f>IF('Catálogo Productos'!B35&lt;&gt;"",'Configuración'!$C$4,"")</f>
        <v/>
      </c>
      <c r="G38" s="142" t="str">
        <f>IF(OR(NOT('Catálogo Productos'!B35&lt;&gt;""),E38="",E38=0),IF('Catálogo Productos'!B35&lt;&gt;"","Sin ventas",""),IF(M38=0,"Sin ventas",ROUND(F38/M38,1)))</f>
        <v/>
      </c>
      <c r="H38" s="143" t="str">
        <f>IF(OR(NOT('Catálogo Productos'!B35&lt;&gt;""),D38="",D38=0),IF('Catálogo Productos'!B35&lt;&gt;"",IF(E38=0,"∞ (sin ventas)","🔴 Sin stock"),""),IF(G38="Sin ventas","∞ (sin ventas)",ROUND(D38*G38,0)))</f>
        <v/>
      </c>
      <c r="I38" s="144" t="str">
        <f>IF(OR(NOT('Catálogo Productos'!B35&lt;&gt;""),H38="",ISNUMBER(SEARCH("∞",TEXT(H38,"@"))),ISNUMBER(SEARCH("🔴",TEXT(H38,"@")))),"",TODAY()+H38)</f>
        <v/>
      </c>
      <c r="J38" s="145" t="str">
        <f>IF(NOT('Catálogo Productos'!B35&lt;&gt;""),"",IF(OR(G38="Sin ventas",G38=""),"⚪ Sin ventas este mes",IF(G38&lt;=15,"🔥 Rotación rápida",IF(G38&lt;=30,"✅ Rotación normal","🐢 Rotación lenta"))))</f>
        <v/>
      </c>
      <c r="K38" s="146" t="str">
        <f>IF('Catálogo Productos'!B35&lt;&gt;"",'Catálogo Productos'!G35,"")</f>
        <v/>
      </c>
      <c r="L38" s="147" t="str">
        <f>IF(NOT(B38&lt;&gt;""),"",IF(D38=0,"🔴 REPONER YA",IF(OR(M38=0,M38=""),"🟢 Sin prisa",IF(Q38&lt;'Configuración'!$C$9,"🔴 PEDIR AHORA",IF(Q38&lt;('Configuración'!$C$9+'Configuración'!$C$10),"🟡 Reponer pronto","🟢 Sin prisa")))))</f>
        <v/>
      </c>
      <c r="M38" s="2" t="str">
        <f>IF(B38="","",IF(OR(E38="",E38=0),0,ROUND(E38*('Configuración'!$C$4/'Configuración'!$C$11),1)))</f>
        <v/>
      </c>
      <c r="N38" s="2" t="str">
        <f>IF(B38="","",IF(M38=0,"—",MAX(0,CEILING(M38*('Configuración'!$C$9+'Configuración'!$C$10)-D38,1))))</f>
        <v/>
      </c>
      <c r="O38" s="2"/>
      <c r="P38" s="2" t="str">
        <f>IF(B38="","",IF(D38=0,"🔴 PEDIR URGENTE — sin stock",IF(OR(M38=0,M38=""),"⚪ Sin demanda — monitorear",IF(Q38&lt;'Configuración'!$C$9,"🔴 PEDIR AHORA — "&amp;N38&amp;" uds (stock cubre "&amp;Q38&amp;" meses, lead time "&amp;'Configuración'!$C$9&amp;" meses)",IF(Q38&lt;('Configuración'!$C$9+'Configuración'!$C$10),"🟡 VIGILAR — "&amp;N38&amp;" uds (cubre "&amp;Q38&amp;" meses, al límite del lead time)","🟢 OK — stock cubre "&amp;Q38&amp;" meses")))))</f>
        <v/>
      </c>
      <c r="Q38" s="2" t="str">
        <f t="shared" si="2"/>
        <v/>
      </c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61" t="str">
        <f>IF('Catálogo Productos'!B36&lt;&gt;"",COUNTA('Catálogo Productos'!$B$4:$B36),"")</f>
        <v/>
      </c>
      <c r="B39" s="124" t="str">
        <f>IF('Catálogo Productos'!B36&lt;&gt;"",'Catálogo Productos'!B36,"")</f>
        <v/>
      </c>
      <c r="C39" s="124" t="str">
        <f>IF('Catálogo Productos'!B36&lt;&gt;"",'Catálogo Productos'!C36,"")</f>
        <v/>
      </c>
      <c r="D39" s="141" t="str">
        <f>IF('Catálogo Productos'!B36&lt;&gt;"",'Catálogo Productos'!H91,"")</f>
        <v/>
      </c>
      <c r="E39" s="141" t="str">
        <f>IF('Catálogo Productos'!B36&lt;&gt;"",COUNTIF('Abril 2026 - Ventas'!$C$5:$C$303,'Catálogo Productos'!B36),"")</f>
        <v/>
      </c>
      <c r="F39" s="128" t="str">
        <f>IF('Catálogo Productos'!B36&lt;&gt;"",'Configuración'!$C$4,"")</f>
        <v/>
      </c>
      <c r="G39" s="142" t="str">
        <f>IF(OR(NOT('Catálogo Productos'!B36&lt;&gt;""),E39="",E39=0),IF('Catálogo Productos'!B36&lt;&gt;"","Sin ventas",""),IF(M39=0,"Sin ventas",ROUND(F39/M39,1)))</f>
        <v/>
      </c>
      <c r="H39" s="143" t="str">
        <f>IF(OR(NOT('Catálogo Productos'!B36&lt;&gt;""),D39="",D39=0),IF('Catálogo Productos'!B36&lt;&gt;"",IF(E39=0,"∞ (sin ventas)","🔴 Sin stock"),""),IF(G39="Sin ventas","∞ (sin ventas)",ROUND(D39*G39,0)))</f>
        <v/>
      </c>
      <c r="I39" s="144" t="str">
        <f>IF(OR(NOT('Catálogo Productos'!B36&lt;&gt;""),H39="",ISNUMBER(SEARCH("∞",TEXT(H39,"@"))),ISNUMBER(SEARCH("🔴",TEXT(H39,"@")))),"",TODAY()+H39)</f>
        <v/>
      </c>
      <c r="J39" s="145" t="str">
        <f>IF(NOT('Catálogo Productos'!B36&lt;&gt;""),"",IF(OR(G39="Sin ventas",G39=""),"⚪ Sin ventas este mes",IF(G39&lt;=15,"🔥 Rotación rápida",IF(G39&lt;=30,"✅ Rotación normal","🐢 Rotación lenta"))))</f>
        <v/>
      </c>
      <c r="K39" s="146" t="str">
        <f>IF('Catálogo Productos'!B36&lt;&gt;"",'Catálogo Productos'!G36,"")</f>
        <v/>
      </c>
      <c r="L39" s="147" t="str">
        <f>IF(NOT(B39&lt;&gt;""),"",IF(D39=0,"🔴 REPONER YA",IF(OR(M39=0,M39=""),"🟢 Sin prisa",IF(Q39&lt;'Configuración'!$C$9,"🔴 PEDIR AHORA",IF(Q39&lt;('Configuración'!$C$9+'Configuración'!$C$10),"🟡 Reponer pronto","🟢 Sin prisa")))))</f>
        <v/>
      </c>
      <c r="M39" s="2" t="str">
        <f>IF(B39="","",IF(OR(E39="",E39=0),0,ROUND(E39*('Configuración'!$C$4/'Configuración'!$C$11),1)))</f>
        <v/>
      </c>
      <c r="N39" s="2" t="str">
        <f>IF(B39="","",IF(M39=0,"—",MAX(0,CEILING(M39*('Configuración'!$C$9+'Configuración'!$C$10)-D39,1))))</f>
        <v/>
      </c>
      <c r="O39" s="2"/>
      <c r="P39" s="2" t="str">
        <f>IF(B39="","",IF(D39=0,"🔴 PEDIR URGENTE — sin stock",IF(OR(M39=0,M39=""),"⚪ Sin demanda — monitorear",IF(Q39&lt;'Configuración'!$C$9,"🔴 PEDIR AHORA — "&amp;N39&amp;" uds (stock cubre "&amp;Q39&amp;" meses, lead time "&amp;'Configuración'!$C$9&amp;" meses)",IF(Q39&lt;('Configuración'!$C$9+'Configuración'!$C$10),"🟡 VIGILAR — "&amp;N39&amp;" uds (cubre "&amp;Q39&amp;" meses, al límite del lead time)","🟢 OK — stock cubre "&amp;Q39&amp;" meses")))))</f>
        <v/>
      </c>
      <c r="Q39" s="2" t="str">
        <f t="shared" si="2"/>
        <v/>
      </c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61" t="str">
        <f>IF('Catálogo Productos'!B37&lt;&gt;"",COUNTA('Catálogo Productos'!$B$4:$B37),"")</f>
        <v/>
      </c>
      <c r="B40" s="124" t="str">
        <f>IF('Catálogo Productos'!B37&lt;&gt;"",'Catálogo Productos'!B37,"")</f>
        <v/>
      </c>
      <c r="C40" s="124" t="str">
        <f>IF('Catálogo Productos'!B37&lt;&gt;"",'Catálogo Productos'!C37,"")</f>
        <v/>
      </c>
      <c r="D40" s="141" t="str">
        <f>IF('Catálogo Productos'!B37&lt;&gt;"",'Catálogo Productos'!H92,"")</f>
        <v/>
      </c>
      <c r="E40" s="141" t="str">
        <f>IF('Catálogo Productos'!B37&lt;&gt;"",COUNTIF('Marzo 2026 - Ventas'!$C$5:$C$63,'Catálogo Productos'!B37),"")</f>
        <v/>
      </c>
      <c r="F40" s="128" t="str">
        <f>IF('Catálogo Productos'!B37&lt;&gt;"",'Configuración'!$C$4,"")</f>
        <v/>
      </c>
      <c r="G40" s="142" t="str">
        <f>IF(OR(NOT('Catálogo Productos'!B37&lt;&gt;""),E40="",E40=0),IF('Catálogo Productos'!B37&lt;&gt;"","Sin ventas",""),ROUND(F40/E40,1))</f>
        <v/>
      </c>
      <c r="H40" s="143" t="str">
        <f>IF(OR(NOT('Catálogo Productos'!B37&lt;&gt;""),D40="",D40=0),IF('Catálogo Productos'!B37&lt;&gt;"",IF(E40=0,"∞ (sin ventas)","🔴 Sin stock"),""),IF(G40="Sin ventas","∞ (sin ventas)",ROUND(D40*G40,0)))</f>
        <v/>
      </c>
      <c r="I40" s="144" t="str">
        <f>IF(OR(NOT('Catálogo Productos'!B37&lt;&gt;""),H40="",ISNUMBER(SEARCH("∞",TEXT(H40,"@"))),ISNUMBER(SEARCH("🔴",TEXT(H40,"@")))),"",TODAY()+H40)</f>
        <v/>
      </c>
      <c r="J40" s="145" t="str">
        <f>IF(NOT('Catálogo Productos'!B37&lt;&gt;""),"",IF(OR(G40="Sin ventas",G40=""),"⚪ Sin ventas este mes",IF(G40&lt;=15,"🔥 Rotación rápida",IF(G40&lt;=30,"✅ Rotación normal","🐢 Rotación lenta"))))</f>
        <v/>
      </c>
      <c r="K40" s="146" t="str">
        <f>IF('Catálogo Productos'!B37&lt;&gt;"",'Catálogo Productos'!G37,"")</f>
        <v/>
      </c>
      <c r="L40" s="147" t="str">
        <f>IF(NOT('Catálogo Productos'!B37&lt;&gt;""),"",IF(D40=0,"🔴 REPONER YA",IF(AND(K40&lt;&gt;"",K40&gt;0,D40&lt;K40),"🔴 REPONER YA",IF(AND(K40&lt;&gt;"",K40&gt;0,D40&lt;K40*1.5),"🟡 Reponer pronto",IF(OR(G40="Sin ventas",H40="∞ (sin ventas)"),"🟢 Sin prisa",IF(H40&lt;15,"🔴 REPONER YA",IF(H40&lt;45,"🟡 Reponer pronto","🟢 Sin prisa")))))))</f>
        <v/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61" t="str">
        <f>IF('Catálogo Productos'!B38&lt;&gt;"",COUNTA('Catálogo Productos'!$B$4:$B38),"")</f>
        <v/>
      </c>
      <c r="B41" s="124" t="str">
        <f>IF('Catálogo Productos'!B38&lt;&gt;"",'Catálogo Productos'!B38,"")</f>
        <v/>
      </c>
      <c r="C41" s="124" t="str">
        <f>IF('Catálogo Productos'!B38&lt;&gt;"",'Catálogo Productos'!C38,"")</f>
        <v/>
      </c>
      <c r="D41" s="141" t="str">
        <f>IF('Catálogo Productos'!B38&lt;&gt;"",'Catálogo Productos'!H93,"")</f>
        <v/>
      </c>
      <c r="E41" s="141" t="str">
        <f>IF('Catálogo Productos'!B38&lt;&gt;"",COUNTIF('Marzo 2026 - Ventas'!$C$5:$C$63,'Catálogo Productos'!B38),"")</f>
        <v/>
      </c>
      <c r="F41" s="128" t="str">
        <f>IF('Catálogo Productos'!B38&lt;&gt;"",'Configuración'!$C$4,"")</f>
        <v/>
      </c>
      <c r="G41" s="142" t="str">
        <f>IF(OR(NOT('Catálogo Productos'!B38&lt;&gt;""),E41="",E41=0),IF('Catálogo Productos'!B38&lt;&gt;"","Sin ventas",""),ROUND(F41/E41,1))</f>
        <v/>
      </c>
      <c r="H41" s="143" t="str">
        <f>IF(OR(NOT('Catálogo Productos'!B38&lt;&gt;""),D41="",D41=0),IF('Catálogo Productos'!B38&lt;&gt;"",IF(E41=0,"∞ (sin ventas)","🔴 Sin stock"),""),IF(G41="Sin ventas","∞ (sin ventas)",ROUND(D41*G41,0)))</f>
        <v/>
      </c>
      <c r="I41" s="144" t="str">
        <f>IF(OR(NOT('Catálogo Productos'!B38&lt;&gt;""),H41="",ISNUMBER(SEARCH("∞",TEXT(H41,"@"))),ISNUMBER(SEARCH("🔴",TEXT(H41,"@")))),"",TODAY()+H41)</f>
        <v/>
      </c>
      <c r="J41" s="145" t="str">
        <f>IF(NOT('Catálogo Productos'!B38&lt;&gt;""),"",IF(OR(G41="Sin ventas",G41=""),"⚪ Sin ventas este mes",IF(G41&lt;=15,"🔥 Rotación rápida",IF(G41&lt;=30,"✅ Rotación normal","🐢 Rotación lenta"))))</f>
        <v/>
      </c>
      <c r="K41" s="146" t="str">
        <f>IF('Catálogo Productos'!B38&lt;&gt;"",'Catálogo Productos'!G38,"")</f>
        <v/>
      </c>
      <c r="L41" s="147" t="str">
        <f>IF(NOT('Catálogo Productos'!B38&lt;&gt;""),"",IF(D41=0,"🔴 REPONER YA",IF(AND(K41&lt;&gt;"",K41&gt;0,D41&lt;K41),"🔴 REPONER YA",IF(AND(K41&lt;&gt;"",K41&gt;0,D41&lt;K41*1.5),"🟡 Reponer pronto",IF(OR(G41="Sin ventas",H41="∞ (sin ventas)"),"🟢 Sin prisa",IF(H41&lt;15,"🔴 REPONER YA",IF(H41&lt;45,"🟡 Reponer pronto","🟢 Sin prisa")))))))</f>
        <v/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61" t="str">
        <f>IF('Catálogo Productos'!B39&lt;&gt;"",COUNTA('Catálogo Productos'!$B$4:$B39),"")</f>
        <v/>
      </c>
      <c r="B42" s="124" t="str">
        <f>IF('Catálogo Productos'!B39&lt;&gt;"",'Catálogo Productos'!B39,"")</f>
        <v/>
      </c>
      <c r="C42" s="124" t="str">
        <f>IF('Catálogo Productos'!B39&lt;&gt;"",'Catálogo Productos'!C39,"")</f>
        <v/>
      </c>
      <c r="D42" s="141" t="str">
        <f>IF('Catálogo Productos'!B39&lt;&gt;"",'Catálogo Productos'!H94,"")</f>
        <v/>
      </c>
      <c r="E42" s="141" t="str">
        <f>IF('Catálogo Productos'!B39&lt;&gt;"",COUNTIF('Marzo 2026 - Ventas'!$C$5:$C$63,'Catálogo Productos'!B39),"")</f>
        <v/>
      </c>
      <c r="F42" s="128" t="str">
        <f>IF('Catálogo Productos'!B39&lt;&gt;"",'Configuración'!$C$4,"")</f>
        <v/>
      </c>
      <c r="G42" s="142" t="str">
        <f>IF(OR(NOT('Catálogo Productos'!B39&lt;&gt;""),E42="",E42=0),IF('Catálogo Productos'!B39&lt;&gt;"","Sin ventas",""),ROUND(F42/E42,1))</f>
        <v/>
      </c>
      <c r="H42" s="143" t="str">
        <f>IF(OR(NOT('Catálogo Productos'!B39&lt;&gt;""),D42="",D42=0),IF('Catálogo Productos'!B39&lt;&gt;"",IF(E42=0,"∞ (sin ventas)","🔴 Sin stock"),""),IF(G42="Sin ventas","∞ (sin ventas)",ROUND(D42*G42,0)))</f>
        <v/>
      </c>
      <c r="I42" s="144" t="str">
        <f>IF(OR(NOT('Catálogo Productos'!B39&lt;&gt;""),H42="",ISNUMBER(SEARCH("∞",TEXT(H42,"@"))),ISNUMBER(SEARCH("🔴",TEXT(H42,"@")))),"",TODAY()+H42)</f>
        <v/>
      </c>
      <c r="J42" s="145" t="str">
        <f>IF(NOT('Catálogo Productos'!B39&lt;&gt;""),"",IF(OR(G42="Sin ventas",G42=""),"⚪ Sin ventas este mes",IF(G42&lt;=15,"🔥 Rotación rápida",IF(G42&lt;=30,"✅ Rotación normal","🐢 Rotación lenta"))))</f>
        <v/>
      </c>
      <c r="K42" s="146" t="str">
        <f>IF('Catálogo Productos'!B39&lt;&gt;"",'Catálogo Productos'!G39,"")</f>
        <v/>
      </c>
      <c r="L42" s="147" t="str">
        <f>IF(NOT('Catálogo Productos'!B39&lt;&gt;""),"",IF(D42=0,"🔴 REPONER YA",IF(AND(K42&lt;&gt;"",K42&gt;0,D42&lt;K42),"🔴 REPONER YA",IF(AND(K42&lt;&gt;"",K42&gt;0,D42&lt;K42*1.5),"🟡 Reponer pronto",IF(OR(G42="Sin ventas",H42="∞ (sin ventas)"),"🟢 Sin prisa",IF(H42&lt;15,"🔴 REPONER YA",IF(H42&lt;45,"🟡 Reponer pronto","🟢 Sin prisa")))))))</f>
        <v/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61" t="str">
        <f>IF('Catálogo Productos'!B40&lt;&gt;"",COUNTA('Catálogo Productos'!$B$4:$B40),"")</f>
        <v/>
      </c>
      <c r="B43" s="124" t="str">
        <f>IF('Catálogo Productos'!B40&lt;&gt;"",'Catálogo Productos'!B40,"")</f>
        <v/>
      </c>
      <c r="C43" s="124" t="str">
        <f>IF('Catálogo Productos'!B40&lt;&gt;"",'Catálogo Productos'!C40,"")</f>
        <v/>
      </c>
      <c r="D43" s="141" t="str">
        <f>IF('Catálogo Productos'!B40&lt;&gt;"",'Catálogo Productos'!H95,"")</f>
        <v/>
      </c>
      <c r="E43" s="141" t="str">
        <f>IF('Catálogo Productos'!B40&lt;&gt;"",COUNTIF('Marzo 2026 - Ventas'!$C$5:$C$63,'Catálogo Productos'!B40),"")</f>
        <v/>
      </c>
      <c r="F43" s="128" t="str">
        <f>IF('Catálogo Productos'!B40&lt;&gt;"",'Configuración'!$C$4,"")</f>
        <v/>
      </c>
      <c r="G43" s="142" t="str">
        <f>IF(OR(NOT('Catálogo Productos'!B40&lt;&gt;""),E43="",E43=0),IF('Catálogo Productos'!B40&lt;&gt;"","Sin ventas",""),ROUND(F43/E43,1))</f>
        <v/>
      </c>
      <c r="H43" s="143" t="str">
        <f>IF(OR(NOT('Catálogo Productos'!B40&lt;&gt;""),D43="",D43=0),IF('Catálogo Productos'!B40&lt;&gt;"",IF(E43=0,"∞ (sin ventas)","🔴 Sin stock"),""),IF(G43="Sin ventas","∞ (sin ventas)",ROUND(D43*G43,0)))</f>
        <v/>
      </c>
      <c r="I43" s="144" t="str">
        <f>IF(OR(NOT('Catálogo Productos'!B40&lt;&gt;""),H43="",ISNUMBER(SEARCH("∞",TEXT(H43,"@"))),ISNUMBER(SEARCH("🔴",TEXT(H43,"@")))),"",TODAY()+H43)</f>
        <v/>
      </c>
      <c r="J43" s="145" t="str">
        <f>IF(NOT('Catálogo Productos'!B40&lt;&gt;""),"",IF(OR(G43="Sin ventas",G43=""),"⚪ Sin ventas este mes",IF(G43&lt;=15,"🔥 Rotación rápida",IF(G43&lt;=30,"✅ Rotación normal","🐢 Rotación lenta"))))</f>
        <v/>
      </c>
      <c r="K43" s="146" t="str">
        <f>IF('Catálogo Productos'!B40&lt;&gt;"",'Catálogo Productos'!G40,"")</f>
        <v/>
      </c>
      <c r="L43" s="147" t="str">
        <f>IF(NOT('Catálogo Productos'!B40&lt;&gt;""),"",IF(D43=0,"🔴 REPONER YA",IF(AND(K43&lt;&gt;"",K43&gt;0,D43&lt;K43),"🔴 REPONER YA",IF(AND(K43&lt;&gt;"",K43&gt;0,D43&lt;K43*1.5),"🟡 Reponer pronto",IF(OR(G43="Sin ventas",H43="∞ (sin ventas)"),"🟢 Sin prisa",IF(H43&lt;15,"🔴 REPONER YA",IF(H43&lt;45,"🟡 Reponer pronto","🟢 Sin prisa")))))))</f>
        <v/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61" t="str">
        <f>IF('Catálogo Productos'!B41&lt;&gt;"",COUNTA('Catálogo Productos'!$B$4:$B41),"")</f>
        <v/>
      </c>
      <c r="B44" s="124" t="str">
        <f>IF('Catálogo Productos'!B41&lt;&gt;"",'Catálogo Productos'!B41,"")</f>
        <v/>
      </c>
      <c r="C44" s="124" t="str">
        <f>IF('Catálogo Productos'!B41&lt;&gt;"",'Catálogo Productos'!C41,"")</f>
        <v/>
      </c>
      <c r="D44" s="141" t="str">
        <f>IF('Catálogo Productos'!B41&lt;&gt;"",'Catálogo Productos'!H96,"")</f>
        <v/>
      </c>
      <c r="E44" s="141" t="str">
        <f>IF('Catálogo Productos'!B41&lt;&gt;"",COUNTIF('Marzo 2026 - Ventas'!$C$5:$C$63,'Catálogo Productos'!B41),"")</f>
        <v/>
      </c>
      <c r="F44" s="128" t="str">
        <f>IF('Catálogo Productos'!B41&lt;&gt;"",'Configuración'!$C$4,"")</f>
        <v/>
      </c>
      <c r="G44" s="142" t="str">
        <f>IF(OR(NOT('Catálogo Productos'!B41&lt;&gt;""),E44="",E44=0),IF('Catálogo Productos'!B41&lt;&gt;"","Sin ventas",""),ROUND(F44/E44,1))</f>
        <v/>
      </c>
      <c r="H44" s="143" t="str">
        <f>IF(OR(NOT('Catálogo Productos'!B41&lt;&gt;""),D44="",D44=0),IF('Catálogo Productos'!B41&lt;&gt;"",IF(E44=0,"∞ (sin ventas)","🔴 Sin stock"),""),IF(G44="Sin ventas","∞ (sin ventas)",ROUND(D44*G44,0)))</f>
        <v/>
      </c>
      <c r="I44" s="144" t="str">
        <f>IF(OR(NOT('Catálogo Productos'!B41&lt;&gt;""),H44="",ISNUMBER(SEARCH("∞",TEXT(H44,"@"))),ISNUMBER(SEARCH("🔴",TEXT(H44,"@")))),"",TODAY()+H44)</f>
        <v/>
      </c>
      <c r="J44" s="145" t="str">
        <f>IF(NOT('Catálogo Productos'!B41&lt;&gt;""),"",IF(OR(G44="Sin ventas",G44=""),"⚪ Sin ventas este mes",IF(G44&lt;=15,"🔥 Rotación rápida",IF(G44&lt;=30,"✅ Rotación normal","🐢 Rotación lenta"))))</f>
        <v/>
      </c>
      <c r="K44" s="146" t="str">
        <f>IF('Catálogo Productos'!B41&lt;&gt;"",'Catálogo Productos'!G41,"")</f>
        <v/>
      </c>
      <c r="L44" s="147" t="str">
        <f>IF(NOT('Catálogo Productos'!B41&lt;&gt;""),"",IF(D44=0,"🔴 REPONER YA",IF(AND(K44&lt;&gt;"",K44&gt;0,D44&lt;K44),"🔴 REPONER YA",IF(AND(K44&lt;&gt;"",K44&gt;0,D44&lt;K44*1.5),"🟡 Reponer pronto",IF(OR(G44="Sin ventas",H44="∞ (sin ventas)"),"🟢 Sin prisa",IF(H44&lt;15,"🔴 REPONER YA",IF(H44&lt;45,"🟡 Reponer pronto","🟢 Sin prisa")))))))</f>
        <v/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61" t="str">
        <f>IF('Catálogo Productos'!B42&lt;&gt;"",COUNTA('Catálogo Productos'!$B$4:$B42),"")</f>
        <v/>
      </c>
      <c r="B45" s="124" t="str">
        <f>IF('Catálogo Productos'!B42&lt;&gt;"",'Catálogo Productos'!B42,"")</f>
        <v/>
      </c>
      <c r="C45" s="124" t="str">
        <f>IF('Catálogo Productos'!B42&lt;&gt;"",'Catálogo Productos'!C42,"")</f>
        <v/>
      </c>
      <c r="D45" s="141" t="str">
        <f>IF('Catálogo Productos'!B42&lt;&gt;"",'Catálogo Productos'!H97,"")</f>
        <v/>
      </c>
      <c r="E45" s="141" t="str">
        <f>IF('Catálogo Productos'!B42&lt;&gt;"",COUNTIF('Marzo 2026 - Ventas'!$C$5:$C$63,'Catálogo Productos'!B42),"")</f>
        <v/>
      </c>
      <c r="F45" s="128" t="str">
        <f>IF('Catálogo Productos'!B42&lt;&gt;"",'Configuración'!$C$4,"")</f>
        <v/>
      </c>
      <c r="G45" s="142" t="str">
        <f>IF(OR(NOT('Catálogo Productos'!B42&lt;&gt;""),E45="",E45=0),IF('Catálogo Productos'!B42&lt;&gt;"","Sin ventas",""),ROUND(F45/E45,1))</f>
        <v/>
      </c>
      <c r="H45" s="143" t="str">
        <f>IF(OR(NOT('Catálogo Productos'!B42&lt;&gt;""),D45="",D45=0),IF('Catálogo Productos'!B42&lt;&gt;"",IF(E45=0,"∞ (sin ventas)","🔴 Sin stock"),""),IF(G45="Sin ventas","∞ (sin ventas)",ROUND(D45*G45,0)))</f>
        <v/>
      </c>
      <c r="I45" s="144" t="str">
        <f>IF(OR(NOT('Catálogo Productos'!B42&lt;&gt;""),H45="",ISNUMBER(SEARCH("∞",TEXT(H45,"@"))),ISNUMBER(SEARCH("🔴",TEXT(H45,"@")))),"",TODAY()+H45)</f>
        <v/>
      </c>
      <c r="J45" s="145" t="str">
        <f>IF(NOT('Catálogo Productos'!B42&lt;&gt;""),"",IF(OR(G45="Sin ventas",G45=""),"⚪ Sin ventas este mes",IF(G45&lt;=15,"🔥 Rotación rápida",IF(G45&lt;=30,"✅ Rotación normal","🐢 Rotación lenta"))))</f>
        <v/>
      </c>
      <c r="K45" s="146" t="str">
        <f>IF('Catálogo Productos'!B42&lt;&gt;"",'Catálogo Productos'!G42,"")</f>
        <v/>
      </c>
      <c r="L45" s="147" t="str">
        <f>IF(NOT('Catálogo Productos'!B42&lt;&gt;""),"",IF(D45=0,"🔴 REPONER YA",IF(AND(K45&lt;&gt;"",K45&gt;0,D45&lt;K45),"🔴 REPONER YA",IF(AND(K45&lt;&gt;"",K45&gt;0,D45&lt;K45*1.5),"🟡 Reponer pronto",IF(OR(G45="Sin ventas",H45="∞ (sin ventas)"),"🟢 Sin prisa",IF(H45&lt;15,"🔴 REPONER YA",IF(H45&lt;45,"🟡 Reponer pronto","🟢 Sin prisa")))))))</f>
        <v/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61" t="str">
        <f>IF('Catálogo Productos'!B43&lt;&gt;"",COUNTA('Catálogo Productos'!$B$4:$B43),"")</f>
        <v/>
      </c>
      <c r="B46" s="124" t="str">
        <f>IF('Catálogo Productos'!B43&lt;&gt;"",'Catálogo Productos'!B43,"")</f>
        <v/>
      </c>
      <c r="C46" s="124" t="str">
        <f>IF('Catálogo Productos'!B43&lt;&gt;"",'Catálogo Productos'!C43,"")</f>
        <v/>
      </c>
      <c r="D46" s="141" t="str">
        <f>IF('Catálogo Productos'!B43&lt;&gt;"",'Catálogo Productos'!H98,"")</f>
        <v/>
      </c>
      <c r="E46" s="141" t="str">
        <f>IF('Catálogo Productos'!B43&lt;&gt;"",COUNTIF('Marzo 2026 - Ventas'!$C$5:$C$63,'Catálogo Productos'!B43),"")</f>
        <v/>
      </c>
      <c r="F46" s="128" t="str">
        <f>IF('Catálogo Productos'!B43&lt;&gt;"",'Configuración'!$C$4,"")</f>
        <v/>
      </c>
      <c r="G46" s="142" t="str">
        <f>IF(OR(NOT('Catálogo Productos'!B43&lt;&gt;""),E46="",E46=0),IF('Catálogo Productos'!B43&lt;&gt;"","Sin ventas",""),ROUND(F46/E46,1))</f>
        <v/>
      </c>
      <c r="H46" s="143" t="str">
        <f>IF(OR(NOT('Catálogo Productos'!B43&lt;&gt;""),D46="",D46=0),IF('Catálogo Productos'!B43&lt;&gt;"",IF(E46=0,"∞ (sin ventas)","🔴 Sin stock"),""),IF(G46="Sin ventas","∞ (sin ventas)",ROUND(D46*G46,0)))</f>
        <v/>
      </c>
      <c r="I46" s="144" t="str">
        <f>IF(OR(NOT('Catálogo Productos'!B43&lt;&gt;""),H46="",ISNUMBER(SEARCH("∞",TEXT(H46,"@"))),ISNUMBER(SEARCH("🔴",TEXT(H46,"@")))),"",TODAY()+H46)</f>
        <v/>
      </c>
      <c r="J46" s="145" t="str">
        <f>IF(NOT('Catálogo Productos'!B43&lt;&gt;""),"",IF(OR(G46="Sin ventas",G46=""),"⚪ Sin ventas este mes",IF(G46&lt;=15,"🔥 Rotación rápida",IF(G46&lt;=30,"✅ Rotación normal","🐢 Rotación lenta"))))</f>
        <v/>
      </c>
      <c r="K46" s="146" t="str">
        <f>IF('Catálogo Productos'!B43&lt;&gt;"",'Catálogo Productos'!G43,"")</f>
        <v/>
      </c>
      <c r="L46" s="147" t="str">
        <f>IF(NOT('Catálogo Productos'!B43&lt;&gt;""),"",IF(D46=0,"🔴 REPONER YA",IF(AND(K46&lt;&gt;"",K46&gt;0,D46&lt;K46),"🔴 REPONER YA",IF(AND(K46&lt;&gt;"",K46&gt;0,D46&lt;K46*1.5),"🟡 Reponer pronto",IF(OR(G46="Sin ventas",H46="∞ (sin ventas)"),"🟢 Sin prisa",IF(H46&lt;15,"🔴 REPONER YA",IF(H46&lt;45,"🟡 Reponer pronto","🟢 Sin prisa")))))))</f>
        <v/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61" t="str">
        <f>IF('Catálogo Productos'!B44&lt;&gt;"",COUNTA('Catálogo Productos'!$B$4:$B44),"")</f>
        <v/>
      </c>
      <c r="B47" s="124" t="str">
        <f>IF('Catálogo Productos'!B44&lt;&gt;"",'Catálogo Productos'!B44,"")</f>
        <v/>
      </c>
      <c r="C47" s="124" t="str">
        <f>IF('Catálogo Productos'!B44&lt;&gt;"",'Catálogo Productos'!C44,"")</f>
        <v/>
      </c>
      <c r="D47" s="141" t="str">
        <f>IF('Catálogo Productos'!B44&lt;&gt;"",'Catálogo Productos'!H99,"")</f>
        <v/>
      </c>
      <c r="E47" s="141" t="str">
        <f>IF('Catálogo Productos'!B44&lt;&gt;"",COUNTIF('Marzo 2026 - Ventas'!$C$5:$C$63,'Catálogo Productos'!B44),"")</f>
        <v/>
      </c>
      <c r="F47" s="128" t="str">
        <f>IF('Catálogo Productos'!B44&lt;&gt;"",'Configuración'!$C$4,"")</f>
        <v/>
      </c>
      <c r="G47" s="142" t="str">
        <f>IF(OR(NOT('Catálogo Productos'!B44&lt;&gt;""),E47="",E47=0),IF('Catálogo Productos'!B44&lt;&gt;"","Sin ventas",""),ROUND(F47/E47,1))</f>
        <v/>
      </c>
      <c r="H47" s="143" t="str">
        <f>IF(OR(NOT('Catálogo Productos'!B44&lt;&gt;""),D47="",D47=0),IF('Catálogo Productos'!B44&lt;&gt;"",IF(E47=0,"∞ (sin ventas)","🔴 Sin stock"),""),IF(G47="Sin ventas","∞ (sin ventas)",ROUND(D47*G47,0)))</f>
        <v/>
      </c>
      <c r="I47" s="144" t="str">
        <f>IF(OR(NOT('Catálogo Productos'!B44&lt;&gt;""),H47="",ISNUMBER(SEARCH("∞",TEXT(H47,"@"))),ISNUMBER(SEARCH("🔴",TEXT(H47,"@")))),"",TODAY()+H47)</f>
        <v/>
      </c>
      <c r="J47" s="145" t="str">
        <f>IF(NOT('Catálogo Productos'!B44&lt;&gt;""),"",IF(OR(G47="Sin ventas",G47=""),"⚪ Sin ventas este mes",IF(G47&lt;=15,"🔥 Rotación rápida",IF(G47&lt;=30,"✅ Rotación normal","🐢 Rotación lenta"))))</f>
        <v/>
      </c>
      <c r="K47" s="146" t="str">
        <f>IF('Catálogo Productos'!B44&lt;&gt;"",'Catálogo Productos'!G44,"")</f>
        <v/>
      </c>
      <c r="L47" s="147" t="str">
        <f>IF(NOT('Catálogo Productos'!B44&lt;&gt;""),"",IF(D47=0,"🔴 REPONER YA",IF(AND(K47&lt;&gt;"",K47&gt;0,D47&lt;K47),"🔴 REPONER YA",IF(AND(K47&lt;&gt;"",K47&gt;0,D47&lt;K47*1.5),"🟡 Reponer pronto",IF(OR(G47="Sin ventas",H47="∞ (sin ventas)"),"🟢 Sin prisa",IF(H47&lt;15,"🔴 REPONER YA",IF(H47&lt;45,"🟡 Reponer pronto","🟢 Sin prisa")))))))</f>
        <v/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61" t="str">
        <f>IF('Catálogo Productos'!B45&lt;&gt;"",COUNTA('Catálogo Productos'!$B$4:$B45),"")</f>
        <v/>
      </c>
      <c r="B48" s="124" t="str">
        <f>IF('Catálogo Productos'!B45&lt;&gt;"",'Catálogo Productos'!B45,"")</f>
        <v/>
      </c>
      <c r="C48" s="124" t="str">
        <f>IF('Catálogo Productos'!B45&lt;&gt;"",'Catálogo Productos'!C45,"")</f>
        <v/>
      </c>
      <c r="D48" s="141" t="str">
        <f>IF('Catálogo Productos'!B45&lt;&gt;"",'Catálogo Productos'!H100,"")</f>
        <v/>
      </c>
      <c r="E48" s="141" t="str">
        <f>IF('Catálogo Productos'!B45&lt;&gt;"",COUNTIF('Marzo 2026 - Ventas'!$C$5:$C$63,'Catálogo Productos'!B45),"")</f>
        <v/>
      </c>
      <c r="F48" s="128" t="str">
        <f>IF('Catálogo Productos'!B45&lt;&gt;"",'Configuración'!$C$4,"")</f>
        <v/>
      </c>
      <c r="G48" s="142" t="str">
        <f>IF(OR(NOT('Catálogo Productos'!B45&lt;&gt;""),E48="",E48=0),IF('Catálogo Productos'!B45&lt;&gt;"","Sin ventas",""),ROUND(F48/E48,1))</f>
        <v/>
      </c>
      <c r="H48" s="143" t="str">
        <f>IF(OR(NOT('Catálogo Productos'!B45&lt;&gt;""),D48="",D48=0),IF('Catálogo Productos'!B45&lt;&gt;"",IF(E48=0,"∞ (sin ventas)","🔴 Sin stock"),""),IF(G48="Sin ventas","∞ (sin ventas)",ROUND(D48*G48,0)))</f>
        <v/>
      </c>
      <c r="I48" s="144" t="str">
        <f>IF(OR(NOT('Catálogo Productos'!B45&lt;&gt;""),H48="",ISNUMBER(SEARCH("∞",TEXT(H48,"@"))),ISNUMBER(SEARCH("🔴",TEXT(H48,"@")))),"",TODAY()+H48)</f>
        <v/>
      </c>
      <c r="J48" s="145" t="str">
        <f>IF(NOT('Catálogo Productos'!B45&lt;&gt;""),"",IF(OR(G48="Sin ventas",G48=""),"⚪ Sin ventas este mes",IF(G48&lt;=15,"🔥 Rotación rápida",IF(G48&lt;=30,"✅ Rotación normal","🐢 Rotación lenta"))))</f>
        <v/>
      </c>
      <c r="K48" s="146" t="str">
        <f>IF('Catálogo Productos'!B45&lt;&gt;"",'Catálogo Productos'!G45,"")</f>
        <v/>
      </c>
      <c r="L48" s="147" t="str">
        <f>IF(NOT('Catálogo Productos'!B45&lt;&gt;""),"",IF(D48=0,"🔴 REPONER YA",IF(AND(K48&lt;&gt;"",K48&gt;0,D48&lt;K48),"🔴 REPONER YA",IF(AND(K48&lt;&gt;"",K48&gt;0,D48&lt;K48*1.5),"🟡 Reponer pronto",IF(OR(G48="Sin ventas",H48="∞ (sin ventas)"),"🟢 Sin prisa",IF(H48&lt;15,"🔴 REPONER YA",IF(H48&lt;45,"🟡 Reponer pronto","🟢 Sin prisa")))))))</f>
        <v/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61" t="str">
        <f>IF('Catálogo Productos'!B46&lt;&gt;"",COUNTA('Catálogo Productos'!$B$4:$B46),"")</f>
        <v/>
      </c>
      <c r="B49" s="124" t="str">
        <f>IF('Catálogo Productos'!B46&lt;&gt;"",'Catálogo Productos'!B46,"")</f>
        <v/>
      </c>
      <c r="C49" s="124" t="str">
        <f>IF('Catálogo Productos'!B46&lt;&gt;"",'Catálogo Productos'!C46,"")</f>
        <v/>
      </c>
      <c r="D49" s="141" t="str">
        <f>IF('Catálogo Productos'!B46&lt;&gt;"",'Catálogo Productos'!H101,"")</f>
        <v/>
      </c>
      <c r="E49" s="141" t="str">
        <f>IF('Catálogo Productos'!B46&lt;&gt;"",COUNTIF('Marzo 2026 - Ventas'!$C$5:$C$63,'Catálogo Productos'!B46),"")</f>
        <v/>
      </c>
      <c r="F49" s="128" t="str">
        <f>IF('Catálogo Productos'!B46&lt;&gt;"",'Configuración'!$C$4,"")</f>
        <v/>
      </c>
      <c r="G49" s="142" t="str">
        <f>IF(OR(NOT('Catálogo Productos'!B46&lt;&gt;""),E49="",E49=0),IF('Catálogo Productos'!B46&lt;&gt;"","Sin ventas",""),ROUND(F49/E49,1))</f>
        <v/>
      </c>
      <c r="H49" s="143" t="str">
        <f>IF(OR(NOT('Catálogo Productos'!B46&lt;&gt;""),D49="",D49=0),IF('Catálogo Productos'!B46&lt;&gt;"",IF(E49=0,"∞ (sin ventas)","🔴 Sin stock"),""),IF(G49="Sin ventas","∞ (sin ventas)",ROUND(D49*G49,0)))</f>
        <v/>
      </c>
      <c r="I49" s="144" t="str">
        <f>IF(OR(NOT('Catálogo Productos'!B46&lt;&gt;""),H49="",ISNUMBER(SEARCH("∞",TEXT(H49,"@"))),ISNUMBER(SEARCH("🔴",TEXT(H49,"@")))),"",TODAY()+H49)</f>
        <v/>
      </c>
      <c r="J49" s="145" t="str">
        <f>IF(NOT('Catálogo Productos'!B46&lt;&gt;""),"",IF(OR(G49="Sin ventas",G49=""),"⚪ Sin ventas este mes",IF(G49&lt;=15,"🔥 Rotación rápida",IF(G49&lt;=30,"✅ Rotación normal","🐢 Rotación lenta"))))</f>
        <v/>
      </c>
      <c r="K49" s="146" t="str">
        <f>IF('Catálogo Productos'!B46&lt;&gt;"",'Catálogo Productos'!G46,"")</f>
        <v/>
      </c>
      <c r="L49" s="147" t="str">
        <f>IF(NOT('Catálogo Productos'!B46&lt;&gt;""),"",IF(D49=0,"🔴 REPONER YA",IF(AND(K49&lt;&gt;"",K49&gt;0,D49&lt;K49),"🔴 REPONER YA",IF(AND(K49&lt;&gt;"",K49&gt;0,D49&lt;K49*1.5),"🟡 Reponer pronto",IF(OR(G49="Sin ventas",H49="∞ (sin ventas)"),"🟢 Sin prisa",IF(H49&lt;15,"🔴 REPONER YA",IF(H49&lt;45,"🟡 Reponer pronto","🟢 Sin prisa")))))))</f>
        <v/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61" t="str">
        <f>IF('Catálogo Productos'!B47&lt;&gt;"",COUNTA('Catálogo Productos'!$B$4:$B47),"")</f>
        <v/>
      </c>
      <c r="B50" s="124" t="str">
        <f>IF('Catálogo Productos'!B47&lt;&gt;"",'Catálogo Productos'!B47,"")</f>
        <v/>
      </c>
      <c r="C50" s="124" t="str">
        <f>IF('Catálogo Productos'!B47&lt;&gt;"",'Catálogo Productos'!C47,"")</f>
        <v/>
      </c>
      <c r="D50" s="141" t="str">
        <f>IF('Catálogo Productos'!B47&lt;&gt;"",'Catálogo Productos'!H102,"")</f>
        <v/>
      </c>
      <c r="E50" s="141" t="str">
        <f>IF('Catálogo Productos'!B47&lt;&gt;"",COUNTIF('Marzo 2026 - Ventas'!$C$5:$C$63,'Catálogo Productos'!B47),"")</f>
        <v/>
      </c>
      <c r="F50" s="128" t="str">
        <f>IF('Catálogo Productos'!B47&lt;&gt;"",'Configuración'!$C$4,"")</f>
        <v/>
      </c>
      <c r="G50" s="142" t="str">
        <f>IF(OR(NOT('Catálogo Productos'!B47&lt;&gt;""),E50="",E50=0),IF('Catálogo Productos'!B47&lt;&gt;"","Sin ventas",""),ROUND(F50/E50,1))</f>
        <v/>
      </c>
      <c r="H50" s="143" t="str">
        <f>IF(OR(NOT('Catálogo Productos'!B47&lt;&gt;""),D50="",D50=0),IF('Catálogo Productos'!B47&lt;&gt;"",IF(E50=0,"∞ (sin ventas)","🔴 Sin stock"),""),IF(G50="Sin ventas","∞ (sin ventas)",ROUND(D50*G50,0)))</f>
        <v/>
      </c>
      <c r="I50" s="144" t="str">
        <f>IF(OR(NOT('Catálogo Productos'!B47&lt;&gt;""),H50="",ISNUMBER(SEARCH("∞",TEXT(H50,"@"))),ISNUMBER(SEARCH("🔴",TEXT(H50,"@")))),"",TODAY()+H50)</f>
        <v/>
      </c>
      <c r="J50" s="145" t="str">
        <f>IF(NOT('Catálogo Productos'!B47&lt;&gt;""),"",IF(OR(G50="Sin ventas",G50=""),"⚪ Sin ventas este mes",IF(G50&lt;=15,"🔥 Rotación rápida",IF(G50&lt;=30,"✅ Rotación normal","🐢 Rotación lenta"))))</f>
        <v/>
      </c>
      <c r="K50" s="146" t="str">
        <f>IF('Catálogo Productos'!B47&lt;&gt;"",'Catálogo Productos'!G47,"")</f>
        <v/>
      </c>
      <c r="L50" s="147" t="str">
        <f>IF(NOT('Catálogo Productos'!B47&lt;&gt;""),"",IF(D50=0,"🔴 REPONER YA",IF(AND(K50&lt;&gt;"",K50&gt;0,D50&lt;K50),"🔴 REPONER YA",IF(AND(K50&lt;&gt;"",K50&gt;0,D50&lt;K50*1.5),"🟡 Reponer pronto",IF(OR(G50="Sin ventas",H50="∞ (sin ventas)"),"🟢 Sin prisa",IF(H50&lt;15,"🔴 REPONER YA",IF(H50&lt;45,"🟡 Reponer pronto","🟢 Sin prisa")))))))</f>
        <v/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61" t="str">
        <f>IF('Catálogo Productos'!B48&lt;&gt;"",COUNTA('Catálogo Productos'!$B$4:$B48),"")</f>
        <v/>
      </c>
      <c r="B51" s="124" t="str">
        <f>IF('Catálogo Productos'!B48&lt;&gt;"",'Catálogo Productos'!B48,"")</f>
        <v/>
      </c>
      <c r="C51" s="124" t="str">
        <f>IF('Catálogo Productos'!B48&lt;&gt;"",'Catálogo Productos'!C48,"")</f>
        <v/>
      </c>
      <c r="D51" s="141" t="str">
        <f>IF('Catálogo Productos'!B48&lt;&gt;"",'Catálogo Productos'!H103,"")</f>
        <v/>
      </c>
      <c r="E51" s="141" t="str">
        <f>IF('Catálogo Productos'!B48&lt;&gt;"",COUNTIF('Marzo 2026 - Ventas'!$C$5:$C$63,'Catálogo Productos'!B48),"")</f>
        <v/>
      </c>
      <c r="F51" s="128" t="str">
        <f>IF('Catálogo Productos'!B48&lt;&gt;"",'Configuración'!$C$4,"")</f>
        <v/>
      </c>
      <c r="G51" s="142" t="str">
        <f>IF(OR(NOT('Catálogo Productos'!B48&lt;&gt;""),E51="",E51=0),IF('Catálogo Productos'!B48&lt;&gt;"","Sin ventas",""),ROUND(F51/E51,1))</f>
        <v/>
      </c>
      <c r="H51" s="143" t="str">
        <f>IF(OR(NOT('Catálogo Productos'!B48&lt;&gt;""),D51="",D51=0),IF('Catálogo Productos'!B48&lt;&gt;"",IF(E51=0,"∞ (sin ventas)","🔴 Sin stock"),""),IF(G51="Sin ventas","∞ (sin ventas)",ROUND(D51*G51,0)))</f>
        <v/>
      </c>
      <c r="I51" s="144" t="str">
        <f>IF(OR(NOT('Catálogo Productos'!B48&lt;&gt;""),H51="",ISNUMBER(SEARCH("∞",TEXT(H51,"@"))),ISNUMBER(SEARCH("🔴",TEXT(H51,"@")))),"",TODAY()+H51)</f>
        <v/>
      </c>
      <c r="J51" s="145" t="str">
        <f>IF(NOT('Catálogo Productos'!B48&lt;&gt;""),"",IF(OR(G51="Sin ventas",G51=""),"⚪ Sin ventas este mes",IF(G51&lt;=15,"🔥 Rotación rápida",IF(G51&lt;=30,"✅ Rotación normal","🐢 Rotación lenta"))))</f>
        <v/>
      </c>
      <c r="K51" s="146" t="str">
        <f>IF('Catálogo Productos'!B48&lt;&gt;"",'Catálogo Productos'!G48,"")</f>
        <v/>
      </c>
      <c r="L51" s="147" t="str">
        <f>IF(NOT('Catálogo Productos'!B48&lt;&gt;""),"",IF(D51=0,"🔴 REPONER YA",IF(AND(K51&lt;&gt;"",K51&gt;0,D51&lt;K51),"🔴 REPONER YA",IF(AND(K51&lt;&gt;"",K51&gt;0,D51&lt;K51*1.5),"🟡 Reponer pronto",IF(OR(G51="Sin ventas",H51="∞ (sin ventas)"),"🟢 Sin prisa",IF(H51&lt;15,"🔴 REPONER YA",IF(H51&lt;45,"🟡 Reponer pronto","🟢 Sin prisa")))))))</f>
        <v/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61" t="str">
        <f>IF('Catálogo Productos'!B49&lt;&gt;"",COUNTA('Catálogo Productos'!$B$4:$B49),"")</f>
        <v/>
      </c>
      <c r="B52" s="124" t="str">
        <f>IF('Catálogo Productos'!B49&lt;&gt;"",'Catálogo Productos'!B49,"")</f>
        <v/>
      </c>
      <c r="C52" s="124" t="str">
        <f>IF('Catálogo Productos'!B49&lt;&gt;"",'Catálogo Productos'!C49,"")</f>
        <v/>
      </c>
      <c r="D52" s="141" t="str">
        <f>IF('Catálogo Productos'!B49&lt;&gt;"",'Catálogo Productos'!H104,"")</f>
        <v/>
      </c>
      <c r="E52" s="141" t="str">
        <f>IF('Catálogo Productos'!B49&lt;&gt;"",COUNTIF('Marzo 2026 - Ventas'!$C$5:$C$63,'Catálogo Productos'!B49),"")</f>
        <v/>
      </c>
      <c r="F52" s="128" t="str">
        <f>IF('Catálogo Productos'!B49&lt;&gt;"",'Configuración'!$C$4,"")</f>
        <v/>
      </c>
      <c r="G52" s="142" t="str">
        <f>IF(OR(NOT('Catálogo Productos'!B49&lt;&gt;""),E52="",E52=0),IF('Catálogo Productos'!B49&lt;&gt;"","Sin ventas",""),ROUND(F52/E52,1))</f>
        <v/>
      </c>
      <c r="H52" s="143" t="str">
        <f>IF(OR(NOT('Catálogo Productos'!B49&lt;&gt;""),D52="",D52=0),IF('Catálogo Productos'!B49&lt;&gt;"",IF(E52=0,"∞ (sin ventas)","🔴 Sin stock"),""),IF(G52="Sin ventas","∞ (sin ventas)",ROUND(D52*G52,0)))</f>
        <v/>
      </c>
      <c r="I52" s="144" t="str">
        <f>IF(OR(NOT('Catálogo Productos'!B49&lt;&gt;""),H52="",ISNUMBER(SEARCH("∞",TEXT(H52,"@"))),ISNUMBER(SEARCH("🔴",TEXT(H52,"@")))),"",TODAY()+H52)</f>
        <v/>
      </c>
      <c r="J52" s="145" t="str">
        <f>IF(NOT('Catálogo Productos'!B49&lt;&gt;""),"",IF(OR(G52="Sin ventas",G52=""),"⚪ Sin ventas este mes",IF(G52&lt;=15,"🔥 Rotación rápida",IF(G52&lt;=30,"✅ Rotación normal","🐢 Rotación lenta"))))</f>
        <v/>
      </c>
      <c r="K52" s="146" t="str">
        <f>IF('Catálogo Productos'!B49&lt;&gt;"",'Catálogo Productos'!G49,"")</f>
        <v/>
      </c>
      <c r="L52" s="147" t="str">
        <f>IF(NOT('Catálogo Productos'!B49&lt;&gt;""),"",IF(D52=0,"🔴 REPONER YA",IF(AND(K52&lt;&gt;"",K52&gt;0,D52&lt;K52),"🔴 REPONER YA",IF(AND(K52&lt;&gt;"",K52&gt;0,D52&lt;K52*1.5),"🟡 Reponer pronto",IF(OR(G52="Sin ventas",H52="∞ (sin ventas)"),"🟢 Sin prisa",IF(H52&lt;15,"🔴 REPONER YA",IF(H52&lt;45,"🟡 Reponer pronto","🟢 Sin prisa")))))))</f>
        <v/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61" t="str">
        <f>IF('Catálogo Productos'!B50&lt;&gt;"",COUNTA('Catálogo Productos'!$B$4:$B50),"")</f>
        <v/>
      </c>
      <c r="B53" s="124" t="str">
        <f>IF('Catálogo Productos'!B50&lt;&gt;"",'Catálogo Productos'!B50,"")</f>
        <v/>
      </c>
      <c r="C53" s="124" t="str">
        <f>IF('Catálogo Productos'!B50&lt;&gt;"",'Catálogo Productos'!C50,"")</f>
        <v/>
      </c>
      <c r="D53" s="141" t="str">
        <f>IF('Catálogo Productos'!B50&lt;&gt;"",'Catálogo Productos'!H105,"")</f>
        <v/>
      </c>
      <c r="E53" s="141" t="str">
        <f>IF('Catálogo Productos'!B50&lt;&gt;"",COUNTIF('Marzo 2026 - Ventas'!$C$5:$C$63,'Catálogo Productos'!B50),"")</f>
        <v/>
      </c>
      <c r="F53" s="128" t="str">
        <f>IF('Catálogo Productos'!B50&lt;&gt;"",'Configuración'!$C$4,"")</f>
        <v/>
      </c>
      <c r="G53" s="142" t="str">
        <f>IF(OR(NOT('Catálogo Productos'!B50&lt;&gt;""),E53="",E53=0),IF('Catálogo Productos'!B50&lt;&gt;"","Sin ventas",""),ROUND(F53/E53,1))</f>
        <v/>
      </c>
      <c r="H53" s="143" t="str">
        <f>IF(OR(NOT('Catálogo Productos'!B50&lt;&gt;""),D53="",D53=0),IF('Catálogo Productos'!B50&lt;&gt;"",IF(E53=0,"∞ (sin ventas)","🔴 Sin stock"),""),IF(G53="Sin ventas","∞ (sin ventas)",ROUND(D53*G53,0)))</f>
        <v/>
      </c>
      <c r="I53" s="144" t="str">
        <f>IF(OR(NOT('Catálogo Productos'!B50&lt;&gt;""),H53="",ISNUMBER(SEARCH("∞",TEXT(H53,"@"))),ISNUMBER(SEARCH("🔴",TEXT(H53,"@")))),"",TODAY()+H53)</f>
        <v/>
      </c>
      <c r="J53" s="145" t="str">
        <f>IF(NOT('Catálogo Productos'!B50&lt;&gt;""),"",IF(OR(G53="Sin ventas",G53=""),"⚪ Sin ventas este mes",IF(G53&lt;=15,"🔥 Rotación rápida",IF(G53&lt;=30,"✅ Rotación normal","🐢 Rotación lenta"))))</f>
        <v/>
      </c>
      <c r="K53" s="146" t="str">
        <f>IF('Catálogo Productos'!B50&lt;&gt;"",'Catálogo Productos'!G50,"")</f>
        <v/>
      </c>
      <c r="L53" s="147" t="str">
        <f>IF(NOT('Catálogo Productos'!B50&lt;&gt;""),"",IF(D53=0,"🔴 REPONER YA",IF(AND(K53&lt;&gt;"",K53&gt;0,D53&lt;K53),"🔴 REPONER YA",IF(AND(K53&lt;&gt;"",K53&gt;0,D53&lt;K53*1.5),"🟡 Reponer pronto",IF(OR(G53="Sin ventas",H53="∞ (sin ventas)"),"🟢 Sin prisa",IF(H53&lt;15,"🔴 REPONER YA",IF(H53&lt;45,"🟡 Reponer pronto","🟢 Sin prisa")))))))</f>
        <v/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61" t="str">
        <f>IF('Catálogo Productos'!B51&lt;&gt;"",COUNTA('Catálogo Productos'!$B$4:$B51),"")</f>
        <v/>
      </c>
      <c r="B54" s="124" t="str">
        <f>IF('Catálogo Productos'!B51&lt;&gt;"",'Catálogo Productos'!B51,"")</f>
        <v/>
      </c>
      <c r="C54" s="124" t="str">
        <f>IF('Catálogo Productos'!B51&lt;&gt;"",'Catálogo Productos'!C51,"")</f>
        <v/>
      </c>
      <c r="D54" s="141" t="str">
        <f>IF('Catálogo Productos'!B51&lt;&gt;"",'Catálogo Productos'!H106,"")</f>
        <v/>
      </c>
      <c r="E54" s="141" t="str">
        <f>IF('Catálogo Productos'!B51&lt;&gt;"",COUNTIF('Marzo 2026 - Ventas'!$C$5:$C$63,'Catálogo Productos'!B51),"")</f>
        <v/>
      </c>
      <c r="F54" s="128" t="str">
        <f>IF('Catálogo Productos'!B51&lt;&gt;"",'Configuración'!$C$4,"")</f>
        <v/>
      </c>
      <c r="G54" s="142" t="str">
        <f>IF(OR(NOT('Catálogo Productos'!B51&lt;&gt;""),E54="",E54=0),IF('Catálogo Productos'!B51&lt;&gt;"","Sin ventas",""),ROUND(F54/E54,1))</f>
        <v/>
      </c>
      <c r="H54" s="143" t="str">
        <f>IF(OR(NOT('Catálogo Productos'!B51&lt;&gt;""),D54="",D54=0),IF('Catálogo Productos'!B51&lt;&gt;"",IF(E54=0,"∞ (sin ventas)","🔴 Sin stock"),""),IF(G54="Sin ventas","∞ (sin ventas)",ROUND(D54*G54,0)))</f>
        <v/>
      </c>
      <c r="I54" s="144" t="str">
        <f>IF(OR(NOT('Catálogo Productos'!B51&lt;&gt;""),H54="",ISNUMBER(SEARCH("∞",TEXT(H54,"@"))),ISNUMBER(SEARCH("🔴",TEXT(H54,"@")))),"",TODAY()+H54)</f>
        <v/>
      </c>
      <c r="J54" s="145" t="str">
        <f>IF(NOT('Catálogo Productos'!B51&lt;&gt;""),"",IF(OR(G54="Sin ventas",G54=""),"⚪ Sin ventas este mes",IF(G54&lt;=15,"🔥 Rotación rápida",IF(G54&lt;=30,"✅ Rotación normal","🐢 Rotación lenta"))))</f>
        <v/>
      </c>
      <c r="K54" s="146" t="str">
        <f>IF('Catálogo Productos'!B51&lt;&gt;"",'Catálogo Productos'!G51,"")</f>
        <v/>
      </c>
      <c r="L54" s="147" t="str">
        <f>IF(NOT('Catálogo Productos'!B51&lt;&gt;""),"",IF(D54=0,"🔴 REPONER YA",IF(AND(K54&lt;&gt;"",K54&gt;0,D54&lt;K54),"🔴 REPONER YA",IF(AND(K54&lt;&gt;"",K54&gt;0,D54&lt;K54*1.5),"🟡 Reponer pronto",IF(OR(G54="Sin ventas",H54="∞ (sin ventas)"),"🟢 Sin prisa",IF(H54&lt;15,"🔴 REPONER YA",IF(H54&lt;45,"🟡 Reponer pronto","🟢 Sin prisa")))))))</f>
        <v/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61" t="str">
        <f>IF('Catálogo Productos'!B52&lt;&gt;"",COUNTA('Catálogo Productos'!$B$4:$B52),"")</f>
        <v/>
      </c>
      <c r="B55" s="124" t="str">
        <f>IF('Catálogo Productos'!B52&lt;&gt;"",'Catálogo Productos'!B52,"")</f>
        <v/>
      </c>
      <c r="C55" s="124" t="str">
        <f>IF('Catálogo Productos'!B52&lt;&gt;"",'Catálogo Productos'!C52,"")</f>
        <v/>
      </c>
      <c r="D55" s="141" t="str">
        <f>IF('Catálogo Productos'!B52&lt;&gt;"",'Catálogo Productos'!H107,"")</f>
        <v/>
      </c>
      <c r="E55" s="141" t="str">
        <f>IF('Catálogo Productos'!B52&lt;&gt;"",COUNTIF('Marzo 2026 - Ventas'!$C$5:$C$63,'Catálogo Productos'!B52),"")</f>
        <v/>
      </c>
      <c r="F55" s="128" t="str">
        <f>IF('Catálogo Productos'!B52&lt;&gt;"",'Configuración'!$C$4,"")</f>
        <v/>
      </c>
      <c r="G55" s="142" t="str">
        <f>IF(OR(NOT('Catálogo Productos'!B52&lt;&gt;""),E55="",E55=0),IF('Catálogo Productos'!B52&lt;&gt;"","Sin ventas",""),ROUND(F55/E55,1))</f>
        <v/>
      </c>
      <c r="H55" s="143" t="str">
        <f>IF(OR(NOT('Catálogo Productos'!B52&lt;&gt;""),D55="",D55=0),IF('Catálogo Productos'!B52&lt;&gt;"",IF(E55=0,"∞ (sin ventas)","🔴 Sin stock"),""),IF(G55="Sin ventas","∞ (sin ventas)",ROUND(D55*G55,0)))</f>
        <v/>
      </c>
      <c r="I55" s="144" t="str">
        <f>IF(OR(NOT('Catálogo Productos'!B52&lt;&gt;""),H55="",ISNUMBER(SEARCH("∞",TEXT(H55,"@"))),ISNUMBER(SEARCH("🔴",TEXT(H55,"@")))),"",TODAY()+H55)</f>
        <v/>
      </c>
      <c r="J55" s="145" t="str">
        <f>IF(NOT('Catálogo Productos'!B52&lt;&gt;""),"",IF(OR(G55="Sin ventas",G55=""),"⚪ Sin ventas este mes",IF(G55&lt;=15,"🔥 Rotación rápida",IF(G55&lt;=30,"✅ Rotación normal","🐢 Rotación lenta"))))</f>
        <v/>
      </c>
      <c r="K55" s="146" t="str">
        <f>IF('Catálogo Productos'!B52&lt;&gt;"",'Catálogo Productos'!G52,"")</f>
        <v/>
      </c>
      <c r="L55" s="147" t="str">
        <f>IF(NOT('Catálogo Productos'!B52&lt;&gt;""),"",IF(D55=0,"🔴 REPONER YA",IF(AND(K55&lt;&gt;"",K55&gt;0,D55&lt;K55),"🔴 REPONER YA",IF(AND(K55&lt;&gt;"",K55&gt;0,D55&lt;K55*1.5),"🟡 Reponer pronto",IF(OR(G55="Sin ventas",H55="∞ (sin ventas)"),"🟢 Sin prisa",IF(H55&lt;15,"🔴 REPONER YA",IF(H55&lt;45,"🟡 Reponer pronto","🟢 Sin prisa")))))))</f>
        <v/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61" t="str">
        <f>IF('Catálogo Productos'!B53&lt;&gt;"",COUNTA('Catálogo Productos'!$B$4:$B53),"")</f>
        <v/>
      </c>
      <c r="B56" s="124" t="str">
        <f>IF('Catálogo Productos'!B53&lt;&gt;"",'Catálogo Productos'!B53,"")</f>
        <v/>
      </c>
      <c r="C56" s="124" t="str">
        <f>IF('Catálogo Productos'!B53&lt;&gt;"",'Catálogo Productos'!C53,"")</f>
        <v/>
      </c>
      <c r="D56" s="141" t="str">
        <f>IF('Catálogo Productos'!B53&lt;&gt;"",'Catálogo Productos'!H108,"")</f>
        <v/>
      </c>
      <c r="E56" s="141" t="str">
        <f>IF('Catálogo Productos'!B53&lt;&gt;"",COUNTIF('Marzo 2026 - Ventas'!$C$5:$C$63,'Catálogo Productos'!B53),"")</f>
        <v/>
      </c>
      <c r="F56" s="128" t="str">
        <f>IF('Catálogo Productos'!B53&lt;&gt;"",'Configuración'!$C$4,"")</f>
        <v/>
      </c>
      <c r="G56" s="142" t="str">
        <f>IF(OR(NOT('Catálogo Productos'!B53&lt;&gt;""),E56="",E56=0),IF('Catálogo Productos'!B53&lt;&gt;"","Sin ventas",""),ROUND(F56/E56,1))</f>
        <v/>
      </c>
      <c r="H56" s="143" t="str">
        <f>IF(OR(NOT('Catálogo Productos'!B53&lt;&gt;""),D56="",D56=0),IF('Catálogo Productos'!B53&lt;&gt;"",IF(E56=0,"∞ (sin ventas)","🔴 Sin stock"),""),IF(G56="Sin ventas","∞ (sin ventas)",ROUND(D56*G56,0)))</f>
        <v/>
      </c>
      <c r="I56" s="144" t="str">
        <f>IF(OR(NOT('Catálogo Productos'!B53&lt;&gt;""),H56="",ISNUMBER(SEARCH("∞",TEXT(H56,"@"))),ISNUMBER(SEARCH("🔴",TEXT(H56,"@")))),"",TODAY()+H56)</f>
        <v/>
      </c>
      <c r="J56" s="145" t="str">
        <f>IF(NOT('Catálogo Productos'!B53&lt;&gt;""),"",IF(OR(G56="Sin ventas",G56=""),"⚪ Sin ventas este mes",IF(G56&lt;=15,"🔥 Rotación rápida",IF(G56&lt;=30,"✅ Rotación normal","🐢 Rotación lenta"))))</f>
        <v/>
      </c>
      <c r="K56" s="146" t="str">
        <f>IF('Catálogo Productos'!B53&lt;&gt;"",'Catálogo Productos'!G53,"")</f>
        <v/>
      </c>
      <c r="L56" s="147" t="str">
        <f>IF(NOT('Catálogo Productos'!B53&lt;&gt;""),"",IF(D56=0,"🔴 REPONER YA",IF(AND(K56&lt;&gt;"",K56&gt;0,D56&lt;K56),"🔴 REPONER YA",IF(AND(K56&lt;&gt;"",K56&gt;0,D56&lt;K56*1.5),"🟡 Reponer pronto",IF(OR(G56="Sin ventas",H56="∞ (sin ventas)"),"🟢 Sin prisa",IF(H56&lt;15,"🔴 REPONER YA",IF(H56&lt;45,"🟡 Reponer pronto","🟢 Sin prisa")))))))</f>
        <v/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7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9.5" customHeight="1">
      <c r="A58" s="131" t="s">
        <v>187</v>
      </c>
      <c r="B58" s="117"/>
      <c r="C58" s="117"/>
      <c r="D58" s="117"/>
      <c r="E58" s="117"/>
      <c r="F58" s="117"/>
      <c r="G58" s="117"/>
      <c r="H58" s="117"/>
      <c r="I58" s="117"/>
      <c r="J58" s="117"/>
      <c r="K58" s="11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7.75" customHeight="1">
      <c r="A59" s="152" t="s">
        <v>188</v>
      </c>
      <c r="B59" s="9"/>
      <c r="C59" s="10"/>
      <c r="D59" s="152" t="s">
        <v>189</v>
      </c>
      <c r="E59" s="9"/>
      <c r="F59" s="9"/>
      <c r="G59" s="9"/>
      <c r="H59" s="9"/>
      <c r="I59" s="9"/>
      <c r="J59" s="9"/>
      <c r="K59" s="153"/>
      <c r="L59" s="24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154" t="s">
        <v>190</v>
      </c>
      <c r="B60" s="9"/>
      <c r="C60" s="10"/>
      <c r="D60" s="155">
        <f>COUNTIF(J7:J56,"*rápida*")</f>
        <v>22</v>
      </c>
      <c r="E60" s="9"/>
      <c r="F60" s="9"/>
      <c r="G60" s="9"/>
      <c r="H60" s="9"/>
      <c r="I60" s="9"/>
      <c r="J60" s="9"/>
      <c r="K60" s="153"/>
      <c r="L60" s="24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154" t="s">
        <v>191</v>
      </c>
      <c r="B61" s="9"/>
      <c r="C61" s="10"/>
      <c r="D61" s="156">
        <f>COUNTIF(J7:J56,"*lenta*")</f>
        <v>0</v>
      </c>
      <c r="E61" s="9"/>
      <c r="F61" s="9"/>
      <c r="G61" s="9"/>
      <c r="H61" s="9"/>
      <c r="I61" s="9"/>
      <c r="J61" s="9"/>
      <c r="K61" s="153"/>
      <c r="L61" s="24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154" t="s">
        <v>192</v>
      </c>
      <c r="B62" s="9"/>
      <c r="C62" s="10"/>
      <c r="D62" s="157">
        <f>COUNTIF(J7:J56,"*Sin ventas*")</f>
        <v>7</v>
      </c>
      <c r="E62" s="9"/>
      <c r="F62" s="9"/>
      <c r="G62" s="9"/>
      <c r="H62" s="9"/>
      <c r="I62" s="9"/>
      <c r="J62" s="9"/>
      <c r="K62" s="153"/>
      <c r="L62" s="24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154" t="s">
        <v>193</v>
      </c>
      <c r="B63" s="9"/>
      <c r="C63" s="10"/>
      <c r="D63" s="158">
        <f>COUNTIF(L7:L56,"*REPONER YA*")</f>
        <v>3</v>
      </c>
      <c r="E63" s="9"/>
      <c r="F63" s="9"/>
      <c r="G63" s="9"/>
      <c r="H63" s="9"/>
      <c r="I63" s="9"/>
      <c r="J63" s="9"/>
      <c r="K63" s="153"/>
      <c r="L63" s="24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154" t="s">
        <v>194</v>
      </c>
      <c r="B64" s="9"/>
      <c r="C64" s="10"/>
      <c r="D64" s="156">
        <f>COUNTIF(L7:L56,"*pronto*")</f>
        <v>1</v>
      </c>
      <c r="E64" s="9"/>
      <c r="F64" s="9"/>
      <c r="G64" s="9"/>
      <c r="H64" s="9"/>
      <c r="I64" s="9"/>
      <c r="J64" s="9"/>
      <c r="K64" s="153"/>
      <c r="L64" s="24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154" t="s">
        <v>195</v>
      </c>
      <c r="B65" s="9"/>
      <c r="C65" s="10"/>
      <c r="D65" s="159">
        <f>SUMPRODUCT((ISNUMBER(SEARCH("lenta",J7:J56)))*IFERROR('Catálogo Productos'!D59:D108,0)*IFERROR('Catálogo Productos'!H59:H108,0))</f>
        <v>0</v>
      </c>
      <c r="E65" s="9"/>
      <c r="F65" s="9"/>
      <c r="G65" s="9"/>
      <c r="H65" s="9"/>
      <c r="I65" s="9"/>
      <c r="J65" s="9"/>
      <c r="K65" s="153"/>
      <c r="L65" s="24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136" t="s">
        <v>196</v>
      </c>
      <c r="B67" s="117"/>
      <c r="C67" s="117"/>
      <c r="D67" s="117"/>
      <c r="E67" s="117"/>
      <c r="F67" s="117"/>
      <c r="G67" s="117"/>
      <c r="H67" s="117"/>
      <c r="I67" s="117"/>
      <c r="J67" s="117"/>
      <c r="K67" s="118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</row>
  </sheetData>
  <mergeCells count="20">
    <mergeCell ref="A1:L1"/>
    <mergeCell ref="A2:L2"/>
    <mergeCell ref="A3:L3"/>
    <mergeCell ref="A5:L5"/>
    <mergeCell ref="A58:K58"/>
    <mergeCell ref="A59:C59"/>
    <mergeCell ref="D59:K59"/>
    <mergeCell ref="A63:C63"/>
    <mergeCell ref="A64:C64"/>
    <mergeCell ref="A65:C65"/>
    <mergeCell ref="D64:K64"/>
    <mergeCell ref="D65:K65"/>
    <mergeCell ref="A67:K67"/>
    <mergeCell ref="A60:C60"/>
    <mergeCell ref="D60:K60"/>
    <mergeCell ref="A61:C61"/>
    <mergeCell ref="D61:K61"/>
    <mergeCell ref="A62:C62"/>
    <mergeCell ref="D62:K62"/>
    <mergeCell ref="D63:K63"/>
  </mergeCells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7E22"/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10" width="14.0"/>
  </cols>
  <sheetData>
    <row r="1" ht="39.75" customHeight="1">
      <c r="A1" s="8" t="s">
        <v>197</v>
      </c>
      <c r="B1" s="9"/>
      <c r="C1" s="9"/>
      <c r="D1" s="9"/>
      <c r="E1" s="9"/>
      <c r="F1" s="9"/>
      <c r="G1" s="9"/>
      <c r="H1" s="9"/>
      <c r="I1" s="9"/>
      <c r="J1" s="10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4.5" customHeight="1">
      <c r="A3" s="2"/>
      <c r="B3" s="34" t="s">
        <v>62</v>
      </c>
      <c r="C3" s="34" t="s">
        <v>198</v>
      </c>
      <c r="D3" s="34" t="s">
        <v>199</v>
      </c>
      <c r="E3" s="34" t="s">
        <v>200</v>
      </c>
      <c r="F3" s="34" t="s">
        <v>201</v>
      </c>
      <c r="G3" s="34" t="s">
        <v>202</v>
      </c>
      <c r="H3" s="34" t="s">
        <v>203</v>
      </c>
      <c r="I3" s="34" t="s">
        <v>204</v>
      </c>
      <c r="J3" s="34" t="s">
        <v>205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A4" s="2"/>
      <c r="B4" s="30" t="s">
        <v>206</v>
      </c>
      <c r="C4" s="160"/>
      <c r="D4" s="161"/>
      <c r="E4" s="161"/>
      <c r="F4" s="161"/>
      <c r="G4" s="161"/>
      <c r="H4" s="161"/>
      <c r="I4" s="161"/>
      <c r="J4" s="16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2"/>
      <c r="B5" s="30" t="s">
        <v>63</v>
      </c>
      <c r="C5" s="163">
        <v>37.0</v>
      </c>
      <c r="D5" s="164">
        <v>314.34</v>
      </c>
      <c r="E5" s="165">
        <v>82.68</v>
      </c>
      <c r="F5" s="165">
        <v>50.69</v>
      </c>
      <c r="G5" s="165">
        <v>180.97</v>
      </c>
      <c r="H5" s="165">
        <v>126.68</v>
      </c>
      <c r="I5" s="165">
        <v>54.29</v>
      </c>
      <c r="J5" s="166">
        <v>3.57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0" customHeight="1">
      <c r="A6" s="2"/>
      <c r="B6" s="167" t="s">
        <v>207</v>
      </c>
      <c r="C6" s="168">
        <f>'Marzo 2026 - Resumen'!C29</f>
        <v>60</v>
      </c>
      <c r="D6" s="164">
        <f>'Marzo 2026 - Resumen'!C6</f>
        <v>436.09</v>
      </c>
      <c r="E6" s="164">
        <f>'Marzo 2026 - Resumen'!C33</f>
        <v>114.9293</v>
      </c>
      <c r="F6" s="164">
        <f>'Marzo 2026 - Resumen'!C10</f>
        <v>76.72</v>
      </c>
      <c r="G6" s="164">
        <f>'Marzo 2026 - Resumen'!C18</f>
        <v>244.4407</v>
      </c>
      <c r="H6" s="164">
        <f>'Marzo 2026 - Resumen'!C24</f>
        <v>171.10849</v>
      </c>
      <c r="I6" s="164">
        <f>'Marzo 2026 - Resumen'!C25</f>
        <v>73.33221</v>
      </c>
      <c r="J6" s="169">
        <f>'Marzo 2026 - Resumen'!C34</f>
        <v>3.186140511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2"/>
      <c r="B7" s="30" t="s">
        <v>63</v>
      </c>
      <c r="C7" s="160"/>
      <c r="D7" s="161"/>
      <c r="E7" s="161"/>
      <c r="F7" s="161"/>
      <c r="G7" s="161"/>
      <c r="H7" s="161"/>
      <c r="I7" s="161"/>
      <c r="J7" s="16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0" customHeight="1">
      <c r="A8" s="2"/>
      <c r="B8" s="30" t="s">
        <v>208</v>
      </c>
      <c r="C8" s="160"/>
      <c r="D8" s="161"/>
      <c r="E8" s="161"/>
      <c r="F8" s="161"/>
      <c r="G8" s="161"/>
      <c r="H8" s="161"/>
      <c r="I8" s="161"/>
      <c r="J8" s="16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2"/>
      <c r="B9" s="30" t="s">
        <v>209</v>
      </c>
      <c r="C9" s="160"/>
      <c r="D9" s="161"/>
      <c r="E9" s="161"/>
      <c r="F9" s="161"/>
      <c r="G9" s="161"/>
      <c r="H9" s="161"/>
      <c r="I9" s="161"/>
      <c r="J9" s="16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2"/>
      <c r="B10" s="30" t="s">
        <v>210</v>
      </c>
      <c r="C10" s="160"/>
      <c r="D10" s="161"/>
      <c r="E10" s="161"/>
      <c r="F10" s="161"/>
      <c r="G10" s="161"/>
      <c r="H10" s="161"/>
      <c r="I10" s="161"/>
      <c r="J10" s="16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2"/>
      <c r="B11" s="30" t="s">
        <v>211</v>
      </c>
      <c r="C11" s="160"/>
      <c r="D11" s="161"/>
      <c r="E11" s="161"/>
      <c r="F11" s="161"/>
      <c r="G11" s="161"/>
      <c r="H11" s="161"/>
      <c r="I11" s="161"/>
      <c r="J11" s="16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2"/>
      <c r="B12" s="30" t="s">
        <v>212</v>
      </c>
      <c r="C12" s="160"/>
      <c r="D12" s="161"/>
      <c r="E12" s="161"/>
      <c r="F12" s="161"/>
      <c r="G12" s="161"/>
      <c r="H12" s="161"/>
      <c r="I12" s="161"/>
      <c r="J12" s="16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0" customHeight="1">
      <c r="A13" s="2"/>
      <c r="B13" s="30" t="s">
        <v>213</v>
      </c>
      <c r="C13" s="160"/>
      <c r="D13" s="161"/>
      <c r="E13" s="161"/>
      <c r="F13" s="161"/>
      <c r="G13" s="161"/>
      <c r="H13" s="161"/>
      <c r="I13" s="161"/>
      <c r="J13" s="16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0" customHeight="1">
      <c r="A14" s="2"/>
      <c r="B14" s="30" t="s">
        <v>214</v>
      </c>
      <c r="C14" s="160"/>
      <c r="D14" s="161"/>
      <c r="E14" s="161"/>
      <c r="F14" s="161"/>
      <c r="G14" s="161"/>
      <c r="H14" s="161"/>
      <c r="I14" s="161"/>
      <c r="J14" s="16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0" customHeight="1">
      <c r="A15" s="2"/>
      <c r="B15" s="30" t="s">
        <v>215</v>
      </c>
      <c r="C15" s="160"/>
      <c r="D15" s="161"/>
      <c r="E15" s="161"/>
      <c r="F15" s="161"/>
      <c r="G15" s="161"/>
      <c r="H15" s="161"/>
      <c r="I15" s="161"/>
      <c r="J15" s="16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0" customHeight="1">
      <c r="A16" s="87" t="s">
        <v>216</v>
      </c>
      <c r="B16" s="10"/>
      <c r="C16" s="170">
        <f t="shared" ref="C16:I16" si="1">SUM(C4:C15)</f>
        <v>97</v>
      </c>
      <c r="D16" s="88">
        <f t="shared" si="1"/>
        <v>750.43</v>
      </c>
      <c r="E16" s="88">
        <f t="shared" si="1"/>
        <v>197.6093</v>
      </c>
      <c r="F16" s="88">
        <f t="shared" si="1"/>
        <v>127.41</v>
      </c>
      <c r="G16" s="88">
        <f t="shared" si="1"/>
        <v>425.4107</v>
      </c>
      <c r="H16" s="88">
        <f t="shared" si="1"/>
        <v>297.78849</v>
      </c>
      <c r="I16" s="88">
        <f t="shared" si="1"/>
        <v>127.62221</v>
      </c>
      <c r="J16" s="171">
        <f>IF(F16=0,0,G16/F16)</f>
        <v>3.338911388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0" customHeight="1">
      <c r="A18" s="172" t="s">
        <v>217</v>
      </c>
      <c r="B18" s="9"/>
      <c r="C18" s="9"/>
      <c r="D18" s="9"/>
      <c r="E18" s="9"/>
      <c r="F18" s="9"/>
      <c r="G18" s="9"/>
      <c r="H18" s="9"/>
      <c r="I18" s="9"/>
      <c r="J18" s="10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</row>
  </sheetData>
  <mergeCells count="3">
    <mergeCell ref="A1:J1"/>
    <mergeCell ref="A16:B16"/>
    <mergeCell ref="A18:J18"/>
  </mergeCells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44AD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28.0"/>
    <col customWidth="1" min="3" max="3" width="18.0"/>
    <col customWidth="1" min="4" max="8" width="12.0"/>
    <col customWidth="1" min="9" max="10" width="14.0"/>
    <col customWidth="1" min="11" max="12" width="10.0"/>
  </cols>
  <sheetData>
    <row r="1" ht="39.75" customHeight="1">
      <c r="A1" s="8" t="s">
        <v>218</v>
      </c>
      <c r="B1" s="9"/>
      <c r="C1" s="9"/>
      <c r="D1" s="9"/>
      <c r="E1" s="9"/>
      <c r="F1" s="9"/>
      <c r="G1" s="9"/>
      <c r="H1" s="9"/>
      <c r="I1" s="9"/>
      <c r="J1" s="9"/>
      <c r="K1" s="9"/>
      <c r="L1" s="10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5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23.25" customHeight="1">
      <c r="A3" s="34" t="s">
        <v>74</v>
      </c>
      <c r="B3" s="34" t="s">
        <v>76</v>
      </c>
      <c r="C3" s="34" t="s">
        <v>77</v>
      </c>
      <c r="D3" s="34" t="s">
        <v>219</v>
      </c>
      <c r="E3" s="34" t="s">
        <v>79</v>
      </c>
      <c r="F3" s="34" t="s">
        <v>220</v>
      </c>
      <c r="G3" s="34" t="s">
        <v>180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15.0" customHeight="1">
      <c r="A4" s="35">
        <v>1.0</v>
      </c>
      <c r="B4" s="29" t="s">
        <v>89</v>
      </c>
      <c r="C4" s="53" t="s">
        <v>221</v>
      </c>
      <c r="D4" s="54">
        <v>1.21</v>
      </c>
      <c r="E4" s="173">
        <v>5.49</v>
      </c>
      <c r="F4" s="29"/>
      <c r="G4" s="174">
        <v>40.0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15.0" customHeight="1">
      <c r="A5" s="35">
        <v>2.0</v>
      </c>
      <c r="B5" s="29" t="s">
        <v>90</v>
      </c>
      <c r="C5" s="53" t="s">
        <v>222</v>
      </c>
      <c r="D5" s="54">
        <v>1.21</v>
      </c>
      <c r="E5" s="173">
        <v>5.49</v>
      </c>
      <c r="F5" s="29"/>
      <c r="G5" s="174">
        <v>20.0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ht="15.0" customHeight="1">
      <c r="A6" s="35">
        <v>3.0</v>
      </c>
      <c r="B6" s="29" t="s">
        <v>95</v>
      </c>
      <c r="C6" s="53" t="s">
        <v>222</v>
      </c>
      <c r="D6" s="54">
        <v>1.21</v>
      </c>
      <c r="E6" s="173">
        <v>5.49</v>
      </c>
      <c r="F6" s="29"/>
      <c r="G6" s="174">
        <v>20.0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ht="15.0" customHeight="1">
      <c r="A7" s="35">
        <v>4.0</v>
      </c>
      <c r="B7" s="29" t="s">
        <v>102</v>
      </c>
      <c r="C7" s="53" t="s">
        <v>223</v>
      </c>
      <c r="D7" s="54">
        <v>1.21</v>
      </c>
      <c r="E7" s="173">
        <v>5.49</v>
      </c>
      <c r="F7" s="29"/>
      <c r="G7" s="174">
        <v>20.0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15.0" customHeight="1">
      <c r="A8" s="35">
        <v>5.0</v>
      </c>
      <c r="B8" s="29" t="s">
        <v>99</v>
      </c>
      <c r="C8" s="53" t="s">
        <v>224</v>
      </c>
      <c r="D8" s="54">
        <v>2.69</v>
      </c>
      <c r="E8" s="173">
        <v>11.0</v>
      </c>
      <c r="F8" s="29"/>
      <c r="G8" s="174">
        <v>20.0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t="15.0" customHeight="1">
      <c r="A9" s="35">
        <v>6.0</v>
      </c>
      <c r="B9" s="29" t="s">
        <v>106</v>
      </c>
      <c r="C9" s="53" t="s">
        <v>221</v>
      </c>
      <c r="D9" s="54">
        <v>2.5</v>
      </c>
      <c r="E9" s="173">
        <v>9.99</v>
      </c>
      <c r="F9" s="29"/>
      <c r="G9" s="174">
        <v>5.0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ht="15.0" customHeight="1">
      <c r="A10" s="35">
        <v>7.0</v>
      </c>
      <c r="B10" s="29" t="s">
        <v>104</v>
      </c>
      <c r="C10" s="53" t="s">
        <v>221</v>
      </c>
      <c r="D10" s="54">
        <v>2.5</v>
      </c>
      <c r="E10" s="173">
        <v>12.99</v>
      </c>
      <c r="F10" s="29"/>
      <c r="G10" s="174">
        <v>5.0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ht="15.0" customHeight="1">
      <c r="A11" s="35">
        <v>8.0</v>
      </c>
      <c r="B11" s="29" t="s">
        <v>103</v>
      </c>
      <c r="C11" s="53" t="s">
        <v>225</v>
      </c>
      <c r="D11" s="54">
        <v>0.2</v>
      </c>
      <c r="E11" s="173">
        <v>5.49</v>
      </c>
      <c r="F11" s="29"/>
      <c r="G11" s="174">
        <v>10.0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ht="15.0" customHeight="1">
      <c r="A12" s="35">
        <v>9.0</v>
      </c>
      <c r="B12" s="29" t="s">
        <v>93</v>
      </c>
      <c r="C12" s="53" t="s">
        <v>226</v>
      </c>
      <c r="D12" s="54">
        <v>0.5</v>
      </c>
      <c r="E12" s="173">
        <v>4.99</v>
      </c>
      <c r="F12" s="29"/>
      <c r="G12" s="174">
        <v>20.0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ht="15.0" customHeight="1">
      <c r="A13" s="35">
        <v>10.0</v>
      </c>
      <c r="B13" s="29" t="s">
        <v>94</v>
      </c>
      <c r="C13" s="53" t="s">
        <v>227</v>
      </c>
      <c r="D13" s="54">
        <v>0.65</v>
      </c>
      <c r="E13" s="173">
        <v>6.99</v>
      </c>
      <c r="F13" s="29"/>
      <c r="G13" s="174">
        <v>10.0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ht="15.0" customHeight="1">
      <c r="A14" s="35">
        <v>11.0</v>
      </c>
      <c r="B14" s="29" t="s">
        <v>87</v>
      </c>
      <c r="C14" s="53" t="s">
        <v>224</v>
      </c>
      <c r="D14" s="54">
        <v>1.06</v>
      </c>
      <c r="E14" s="173">
        <v>4.99</v>
      </c>
      <c r="F14" s="29"/>
      <c r="G14" s="174">
        <v>10.0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ht="15.0" customHeight="1">
      <c r="A15" s="35">
        <v>12.0</v>
      </c>
      <c r="B15" s="29" t="s">
        <v>92</v>
      </c>
      <c r="C15" s="53" t="s">
        <v>228</v>
      </c>
      <c r="D15" s="54">
        <v>1.91</v>
      </c>
      <c r="E15" s="173">
        <v>10.0</v>
      </c>
      <c r="F15" s="29"/>
      <c r="G15" s="174">
        <v>10.0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ht="15.0" customHeight="1">
      <c r="A16" s="35">
        <v>13.0</v>
      </c>
      <c r="B16" s="29" t="s">
        <v>105</v>
      </c>
      <c r="C16" s="53" t="s">
        <v>221</v>
      </c>
      <c r="D16" s="54">
        <v>0.01</v>
      </c>
      <c r="E16" s="173">
        <v>5.0</v>
      </c>
      <c r="F16" s="29"/>
      <c r="G16" s="174">
        <v>20.0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ht="15.0" customHeight="1">
      <c r="A17" s="35">
        <v>14.0</v>
      </c>
      <c r="B17" s="29" t="s">
        <v>101</v>
      </c>
      <c r="C17" s="53" t="s">
        <v>223</v>
      </c>
      <c r="D17" s="54">
        <v>0.01</v>
      </c>
      <c r="E17" s="173">
        <v>5.0</v>
      </c>
      <c r="F17" s="29"/>
      <c r="G17" s="174">
        <v>20.0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ht="15.0" customHeight="1">
      <c r="A18" s="35">
        <v>15.0</v>
      </c>
      <c r="B18" s="29" t="s">
        <v>158</v>
      </c>
      <c r="C18" s="53" t="s">
        <v>222</v>
      </c>
      <c r="D18" s="54">
        <v>2.3</v>
      </c>
      <c r="E18" s="173">
        <v>14.0</v>
      </c>
      <c r="F18" s="29"/>
      <c r="G18" s="174">
        <v>5.0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ht="15.0" customHeight="1">
      <c r="A19" s="35">
        <v>16.0</v>
      </c>
      <c r="B19" s="29" t="s">
        <v>96</v>
      </c>
      <c r="C19" s="53" t="s">
        <v>229</v>
      </c>
      <c r="D19" s="54">
        <v>3.03</v>
      </c>
      <c r="E19" s="173">
        <v>12.99</v>
      </c>
      <c r="F19" s="29"/>
      <c r="G19" s="174">
        <v>10.0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ht="15.0" customHeight="1">
      <c r="A20" s="35">
        <v>17.0</v>
      </c>
      <c r="B20" s="29" t="s">
        <v>109</v>
      </c>
      <c r="C20" s="53" t="s">
        <v>230</v>
      </c>
      <c r="D20" s="54">
        <v>1.48</v>
      </c>
      <c r="E20" s="173">
        <v>6.0</v>
      </c>
      <c r="F20" s="29"/>
      <c r="G20" s="174">
        <v>5.0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15.0" customHeight="1">
      <c r="A21" s="35">
        <v>18.0</v>
      </c>
      <c r="B21" s="29" t="s">
        <v>107</v>
      </c>
      <c r="C21" s="53" t="s">
        <v>231</v>
      </c>
      <c r="D21" s="54">
        <v>0.71</v>
      </c>
      <c r="E21" s="173">
        <v>5.0</v>
      </c>
      <c r="F21" s="29"/>
      <c r="G21" s="174">
        <v>5.0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15.0" customHeight="1">
      <c r="A22" s="35">
        <v>19.0</v>
      </c>
      <c r="B22" s="29" t="s">
        <v>108</v>
      </c>
      <c r="C22" s="53" t="s">
        <v>231</v>
      </c>
      <c r="D22" s="54">
        <v>0.71</v>
      </c>
      <c r="E22" s="173">
        <v>5.0</v>
      </c>
      <c r="F22" s="29"/>
      <c r="G22" s="174">
        <v>5.0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15.0" customHeight="1">
      <c r="A23" s="35">
        <v>20.0</v>
      </c>
      <c r="B23" s="29" t="s">
        <v>100</v>
      </c>
      <c r="C23" s="53" t="s">
        <v>231</v>
      </c>
      <c r="D23" s="54">
        <v>0.71</v>
      </c>
      <c r="E23" s="173">
        <v>5.0</v>
      </c>
      <c r="F23" s="29"/>
      <c r="G23" s="174">
        <v>5.0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15.0" customHeight="1">
      <c r="A24" s="35">
        <v>21.0</v>
      </c>
      <c r="B24" s="29" t="s">
        <v>232</v>
      </c>
      <c r="C24" s="53" t="s">
        <v>222</v>
      </c>
      <c r="D24" s="54">
        <v>6.0</v>
      </c>
      <c r="E24" s="173">
        <v>14.0</v>
      </c>
      <c r="F24" s="29"/>
      <c r="G24" s="174">
        <v>3.0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15.0" customHeight="1">
      <c r="A25" s="35">
        <v>22.0</v>
      </c>
      <c r="B25" s="29" t="s">
        <v>233</v>
      </c>
      <c r="C25" s="53" t="s">
        <v>222</v>
      </c>
      <c r="D25" s="54">
        <v>6.0</v>
      </c>
      <c r="E25" s="173">
        <v>14.0</v>
      </c>
      <c r="F25" s="29"/>
      <c r="G25" s="174">
        <v>3.0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15.0" customHeight="1">
      <c r="A26" s="35">
        <v>23.0</v>
      </c>
      <c r="B26" s="29" t="s">
        <v>160</v>
      </c>
      <c r="C26" s="53" t="s">
        <v>234</v>
      </c>
      <c r="D26" s="54">
        <v>2.0</v>
      </c>
      <c r="E26" s="173">
        <v>10.0</v>
      </c>
      <c r="F26" s="29"/>
      <c r="G26" s="174">
        <v>4.0</v>
      </c>
      <c r="H26" s="2" t="s">
        <v>235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15.0" customHeight="1">
      <c r="A27" s="35">
        <v>24.0</v>
      </c>
      <c r="B27" s="29" t="s">
        <v>97</v>
      </c>
      <c r="C27" s="53" t="s">
        <v>223</v>
      </c>
      <c r="D27" s="54">
        <v>0.5</v>
      </c>
      <c r="E27" s="173">
        <v>5.0</v>
      </c>
      <c r="F27" s="29"/>
      <c r="G27" s="174">
        <v>5.0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15.0" customHeight="1">
      <c r="A28" s="35">
        <v>25.0</v>
      </c>
      <c r="B28" s="29" t="s">
        <v>236</v>
      </c>
      <c r="C28" s="53" t="s">
        <v>222</v>
      </c>
      <c r="D28" s="54">
        <v>5.0</v>
      </c>
      <c r="E28" s="173">
        <v>14.0</v>
      </c>
      <c r="F28" s="29"/>
      <c r="G28" s="174">
        <v>2.0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15.0" customHeight="1">
      <c r="A29" s="35">
        <v>26.0</v>
      </c>
      <c r="B29" s="29" t="s">
        <v>237</v>
      </c>
      <c r="C29" s="53" t="s">
        <v>222</v>
      </c>
      <c r="D29" s="54">
        <v>5.0</v>
      </c>
      <c r="E29" s="173">
        <v>14.0</v>
      </c>
      <c r="F29" s="29"/>
      <c r="G29" s="174">
        <v>2.0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15.0" customHeight="1">
      <c r="A30" s="35">
        <v>27.0</v>
      </c>
      <c r="B30" s="29" t="s">
        <v>238</v>
      </c>
      <c r="C30" s="53" t="s">
        <v>222</v>
      </c>
      <c r="D30" s="54">
        <v>5.0</v>
      </c>
      <c r="E30" s="173">
        <v>14.0</v>
      </c>
      <c r="F30" s="29"/>
      <c r="G30" s="174">
        <v>2.0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15.0" customHeight="1">
      <c r="A31" s="35">
        <v>28.0</v>
      </c>
      <c r="B31" s="62" t="s">
        <v>111</v>
      </c>
      <c r="C31" s="175" t="s">
        <v>224</v>
      </c>
      <c r="D31" s="176">
        <v>1.0</v>
      </c>
      <c r="E31" s="177">
        <v>5.0</v>
      </c>
      <c r="F31" s="29"/>
      <c r="G31" s="178">
        <v>4.0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15.0" customHeight="1">
      <c r="A32" s="35">
        <v>29.0</v>
      </c>
      <c r="B32" s="62" t="s">
        <v>110</v>
      </c>
      <c r="C32" s="175" t="s">
        <v>224</v>
      </c>
      <c r="D32" s="176">
        <v>1.0</v>
      </c>
      <c r="E32" s="177">
        <v>5.0</v>
      </c>
      <c r="F32" s="29"/>
      <c r="G32" s="178">
        <v>4.0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15.0" customHeight="1">
      <c r="A33" s="35">
        <v>30.0</v>
      </c>
      <c r="B33" s="29"/>
      <c r="C33" s="53"/>
      <c r="D33" s="54"/>
      <c r="E33" s="173"/>
      <c r="F33" s="29"/>
      <c r="G33" s="17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15.0" customHeight="1">
      <c r="A34" s="35">
        <v>31.0</v>
      </c>
      <c r="B34" s="29"/>
      <c r="C34" s="53"/>
      <c r="D34" s="54"/>
      <c r="E34" s="173"/>
      <c r="F34" s="29"/>
      <c r="G34" s="174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15.0" customHeight="1">
      <c r="A35" s="35">
        <v>32.0</v>
      </c>
      <c r="B35" s="29"/>
      <c r="C35" s="53"/>
      <c r="D35" s="54"/>
      <c r="E35" s="173"/>
      <c r="F35" s="29"/>
      <c r="G35" s="174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15.0" customHeight="1">
      <c r="A36" s="35">
        <v>33.0</v>
      </c>
      <c r="B36" s="29"/>
      <c r="C36" s="53"/>
      <c r="D36" s="54"/>
      <c r="E36" s="173"/>
      <c r="F36" s="29"/>
      <c r="G36" s="17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15.0" customHeight="1">
      <c r="A37" s="35">
        <v>34.0</v>
      </c>
      <c r="B37" s="29"/>
      <c r="C37" s="53"/>
      <c r="D37" s="54"/>
      <c r="E37" s="173"/>
      <c r="F37" s="29"/>
      <c r="G37" s="174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15.0" customHeight="1">
      <c r="A38" s="35">
        <v>35.0</v>
      </c>
      <c r="B38" s="29"/>
      <c r="C38" s="53"/>
      <c r="D38" s="54"/>
      <c r="E38" s="173"/>
      <c r="F38" s="29"/>
      <c r="G38" s="174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15.0" customHeight="1">
      <c r="A39" s="35">
        <v>36.0</v>
      </c>
      <c r="B39" s="29"/>
      <c r="C39" s="53"/>
      <c r="D39" s="54"/>
      <c r="E39" s="173"/>
      <c r="F39" s="29"/>
      <c r="G39" s="174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15.0" customHeight="1">
      <c r="A40" s="35">
        <v>37.0</v>
      </c>
      <c r="B40" s="29"/>
      <c r="C40" s="53"/>
      <c r="D40" s="54"/>
      <c r="E40" s="173"/>
      <c r="F40" s="29"/>
      <c r="G40" s="174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15.0" customHeight="1">
      <c r="A41" s="35">
        <v>38.0</v>
      </c>
      <c r="B41" s="29"/>
      <c r="C41" s="53"/>
      <c r="D41" s="54"/>
      <c r="E41" s="173"/>
      <c r="F41" s="29"/>
      <c r="G41" s="174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15.0" customHeight="1">
      <c r="A42" s="35">
        <v>39.0</v>
      </c>
      <c r="B42" s="29"/>
      <c r="C42" s="53"/>
      <c r="D42" s="54"/>
      <c r="E42" s="173"/>
      <c r="F42" s="29"/>
      <c r="G42" s="174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15.0" customHeight="1">
      <c r="A43" s="35">
        <v>40.0</v>
      </c>
      <c r="B43" s="29"/>
      <c r="C43" s="53"/>
      <c r="D43" s="54"/>
      <c r="E43" s="173"/>
      <c r="F43" s="29"/>
      <c r="G43" s="174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15.0" customHeight="1">
      <c r="A44" s="35">
        <v>41.0</v>
      </c>
      <c r="B44" s="29"/>
      <c r="C44" s="53"/>
      <c r="D44" s="54"/>
      <c r="E44" s="173"/>
      <c r="F44" s="29"/>
      <c r="G44" s="174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15.0" customHeight="1">
      <c r="A45" s="35">
        <v>42.0</v>
      </c>
      <c r="B45" s="29"/>
      <c r="C45" s="53"/>
      <c r="D45" s="54"/>
      <c r="E45" s="173"/>
      <c r="F45" s="29"/>
      <c r="G45" s="174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15.0" customHeight="1">
      <c r="A46" s="35">
        <v>43.0</v>
      </c>
      <c r="B46" s="29"/>
      <c r="C46" s="53"/>
      <c r="D46" s="54"/>
      <c r="E46" s="173"/>
      <c r="F46" s="29"/>
      <c r="G46" s="174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15.0" customHeight="1">
      <c r="A47" s="35">
        <v>44.0</v>
      </c>
      <c r="B47" s="29"/>
      <c r="C47" s="53"/>
      <c r="D47" s="54"/>
      <c r="E47" s="173"/>
      <c r="F47" s="29"/>
      <c r="G47" s="174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15.0" customHeight="1">
      <c r="A48" s="35">
        <v>45.0</v>
      </c>
      <c r="B48" s="29"/>
      <c r="C48" s="53"/>
      <c r="D48" s="54"/>
      <c r="E48" s="173"/>
      <c r="F48" s="29"/>
      <c r="G48" s="174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15.0" customHeight="1">
      <c r="A49" s="35">
        <v>46.0</v>
      </c>
      <c r="B49" s="29"/>
      <c r="C49" s="53"/>
      <c r="D49" s="54"/>
      <c r="E49" s="173"/>
      <c r="F49" s="29"/>
      <c r="G49" s="174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15.0" customHeight="1">
      <c r="A50" s="35">
        <v>47.0</v>
      </c>
      <c r="B50" s="29"/>
      <c r="C50" s="53"/>
      <c r="D50" s="54"/>
      <c r="E50" s="173"/>
      <c r="F50" s="29"/>
      <c r="G50" s="174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15.0" customHeight="1">
      <c r="A51" s="35">
        <v>48.0</v>
      </c>
      <c r="B51" s="29"/>
      <c r="C51" s="53"/>
      <c r="D51" s="54"/>
      <c r="E51" s="173"/>
      <c r="F51" s="29"/>
      <c r="G51" s="174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15.0" customHeight="1">
      <c r="A52" s="35">
        <v>49.0</v>
      </c>
      <c r="B52" s="29"/>
      <c r="C52" s="53"/>
      <c r="D52" s="54"/>
      <c r="E52" s="173"/>
      <c r="F52" s="29"/>
      <c r="G52" s="174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15.0" customHeight="1">
      <c r="A53" s="35">
        <v>50.0</v>
      </c>
      <c r="B53" s="29"/>
      <c r="C53" s="53"/>
      <c r="D53" s="54"/>
      <c r="E53" s="173"/>
      <c r="F53" s="29"/>
      <c r="G53" s="174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24.0" customHeight="1">
      <c r="A56" s="137" t="s">
        <v>239</v>
      </c>
      <c r="B56" s="117"/>
      <c r="C56" s="117"/>
      <c r="D56" s="117"/>
      <c r="E56" s="117"/>
      <c r="F56" s="117"/>
      <c r="G56" s="117"/>
      <c r="H56" s="117"/>
      <c r="I56" s="117"/>
      <c r="J56" s="117"/>
      <c r="K56" s="117"/>
      <c r="L56" s="118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15.75" customHeight="1">
      <c r="A57" s="179" t="s">
        <v>240</v>
      </c>
      <c r="B57" s="117"/>
      <c r="C57" s="117"/>
      <c r="D57" s="117"/>
      <c r="E57" s="117"/>
      <c r="F57" s="117"/>
      <c r="G57" s="117"/>
      <c r="H57" s="117"/>
      <c r="I57" s="117"/>
      <c r="J57" s="117"/>
      <c r="K57" s="117"/>
      <c r="L57" s="118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36.0" customHeight="1">
      <c r="A58" s="122" t="s">
        <v>74</v>
      </c>
      <c r="B58" s="122" t="s">
        <v>76</v>
      </c>
      <c r="C58" s="122" t="s">
        <v>77</v>
      </c>
      <c r="D58" s="122" t="s">
        <v>78</v>
      </c>
      <c r="E58" s="122" t="s">
        <v>79</v>
      </c>
      <c r="F58" s="122" t="s">
        <v>241</v>
      </c>
      <c r="G58" s="122" t="s">
        <v>242</v>
      </c>
      <c r="H58" s="122" t="s">
        <v>243</v>
      </c>
      <c r="I58" s="122" t="s">
        <v>244</v>
      </c>
      <c r="J58" s="122" t="s">
        <v>245</v>
      </c>
      <c r="K58" s="122" t="s">
        <v>180</v>
      </c>
      <c r="L58" s="122" t="s">
        <v>246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15.75" customHeight="1">
      <c r="A59" s="61">
        <f t="shared" ref="A59:A108" si="1">IF(B4&lt;&gt;"",COUNTA($B$4:$B4),"")</f>
        <v>1</v>
      </c>
      <c r="B59" s="124" t="str">
        <f t="shared" ref="B59:B108" si="2">IF(B4&lt;&gt;"",B4,"")</f>
        <v>Cuerdas Alice Clasica A106</v>
      </c>
      <c r="C59" s="124" t="str">
        <f t="shared" ref="C59:C108" si="3">IF(B4&lt;&gt;"",C4,"")</f>
        <v>Guitarra Clasica</v>
      </c>
      <c r="D59" s="180">
        <f t="shared" ref="D59:D108" si="4">IF(B4&lt;&gt;"",D4,0)</f>
        <v>1.21</v>
      </c>
      <c r="E59" s="180">
        <v>7.5</v>
      </c>
      <c r="F59" s="174">
        <v>82.0</v>
      </c>
      <c r="G59" s="174">
        <v>43.0</v>
      </c>
      <c r="H59" s="181">
        <f t="shared" ref="H59:H108" si="5">IF(B4&lt;&gt;"",F59+G59,0)</f>
        <v>125</v>
      </c>
      <c r="I59" s="182">
        <f t="shared" ref="I59:I108" si="6">IF(B4&lt;&gt;"",IFERROR(D59*H59,0),0)</f>
        <v>151.25</v>
      </c>
      <c r="J59" s="182">
        <f t="shared" ref="J59:J108" si="7">IF(B4&lt;&gt;"",IFERROR(E59*H59,0),0)</f>
        <v>937.5</v>
      </c>
      <c r="K59" s="146">
        <f t="shared" ref="K59:K108" si="8">IF(B4&lt;&gt;"",G4,"")</f>
        <v>40</v>
      </c>
      <c r="L59" s="129" t="str">
        <f t="shared" ref="L59:L108" si="9">IF(B4="","",IF(H59&lt;=0,"🔴 Sin stock",IF(H59&lt;K59,"🟡 Stock bajo","🟢 OK")))</f>
        <v>🟢 OK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15.75" customHeight="1">
      <c r="A60" s="61">
        <f t="shared" si="1"/>
        <v>2</v>
      </c>
      <c r="B60" s="124" t="str">
        <f t="shared" si="2"/>
        <v>Cuerdas Alice Electrica SL</v>
      </c>
      <c r="C60" s="124" t="str">
        <f t="shared" si="3"/>
        <v>Guitarra Electrica</v>
      </c>
      <c r="D60" s="180">
        <f t="shared" si="4"/>
        <v>1.21</v>
      </c>
      <c r="E60" s="180">
        <v>7.5</v>
      </c>
      <c r="F60" s="174">
        <v>73.0</v>
      </c>
      <c r="G60" s="174">
        <v>0.0</v>
      </c>
      <c r="H60" s="181">
        <f t="shared" si="5"/>
        <v>73</v>
      </c>
      <c r="I60" s="182">
        <f t="shared" si="6"/>
        <v>88.33</v>
      </c>
      <c r="J60" s="182">
        <f t="shared" si="7"/>
        <v>547.5</v>
      </c>
      <c r="K60" s="146">
        <f t="shared" si="8"/>
        <v>20</v>
      </c>
      <c r="L60" s="129" t="str">
        <f t="shared" si="9"/>
        <v>🟢 OK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15.75" customHeight="1">
      <c r="A61" s="61">
        <f t="shared" si="1"/>
        <v>3</v>
      </c>
      <c r="B61" s="124" t="str">
        <f t="shared" si="2"/>
        <v>Cuerdas Alice Electrica L</v>
      </c>
      <c r="C61" s="124" t="str">
        <f t="shared" si="3"/>
        <v>Guitarra Electrica</v>
      </c>
      <c r="D61" s="180">
        <f t="shared" si="4"/>
        <v>1.21</v>
      </c>
      <c r="E61" s="180">
        <v>7.5</v>
      </c>
      <c r="F61" s="174">
        <v>67.0</v>
      </c>
      <c r="G61" s="174">
        <v>5.0</v>
      </c>
      <c r="H61" s="181">
        <f t="shared" si="5"/>
        <v>72</v>
      </c>
      <c r="I61" s="182">
        <f t="shared" si="6"/>
        <v>87.12</v>
      </c>
      <c r="J61" s="182">
        <f t="shared" si="7"/>
        <v>540</v>
      </c>
      <c r="K61" s="146">
        <f t="shared" si="8"/>
        <v>20</v>
      </c>
      <c r="L61" s="129" t="str">
        <f t="shared" si="9"/>
        <v>🟢 OK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15.75" customHeight="1">
      <c r="A62" s="61">
        <f t="shared" si="1"/>
        <v>4</v>
      </c>
      <c r="B62" s="124" t="str">
        <f t="shared" si="2"/>
        <v>Cuerdas Alice Folk 11-52</v>
      </c>
      <c r="C62" s="124" t="str">
        <f t="shared" si="3"/>
        <v>Guitarra Acustica</v>
      </c>
      <c r="D62" s="180">
        <f t="shared" si="4"/>
        <v>1.21</v>
      </c>
      <c r="E62" s="180">
        <v>6.0</v>
      </c>
      <c r="F62" s="174">
        <v>29.0</v>
      </c>
      <c r="G62" s="174">
        <v>30.0</v>
      </c>
      <c r="H62" s="181">
        <f t="shared" si="5"/>
        <v>59</v>
      </c>
      <c r="I62" s="182">
        <f t="shared" si="6"/>
        <v>71.39</v>
      </c>
      <c r="J62" s="182">
        <f t="shared" si="7"/>
        <v>354</v>
      </c>
      <c r="K62" s="146">
        <f t="shared" si="8"/>
        <v>20</v>
      </c>
      <c r="L62" s="129" t="str">
        <f t="shared" si="9"/>
        <v>🟢 OK</v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15.75" customHeight="1">
      <c r="A63" s="61">
        <f t="shared" si="1"/>
        <v>5</v>
      </c>
      <c r="B63" s="124" t="str">
        <f t="shared" si="2"/>
        <v>Hombrera Violin 3/4 4/4</v>
      </c>
      <c r="C63" s="124" t="str">
        <f t="shared" si="3"/>
        <v>Violin</v>
      </c>
      <c r="D63" s="180">
        <f t="shared" si="4"/>
        <v>2.69</v>
      </c>
      <c r="E63" s="180">
        <f t="shared" ref="E63:E108" si="10">IF(B8&lt;&gt;"",E8,0)</f>
        <v>11</v>
      </c>
      <c r="F63" s="174">
        <v>32.0</v>
      </c>
      <c r="G63" s="174">
        <v>0.0</v>
      </c>
      <c r="H63" s="181">
        <f t="shared" si="5"/>
        <v>32</v>
      </c>
      <c r="I63" s="182">
        <f t="shared" si="6"/>
        <v>86.08</v>
      </c>
      <c r="J63" s="182">
        <f t="shared" si="7"/>
        <v>352</v>
      </c>
      <c r="K63" s="146">
        <f t="shared" si="8"/>
        <v>20</v>
      </c>
      <c r="L63" s="129" t="str">
        <f t="shared" si="9"/>
        <v>🟢 OK</v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15.75" customHeight="1">
      <c r="A64" s="61">
        <f t="shared" si="1"/>
        <v>6</v>
      </c>
      <c r="B64" s="124" t="str">
        <f t="shared" si="2"/>
        <v>Clavijas Guitarra Clasica Doradas</v>
      </c>
      <c r="C64" s="124" t="str">
        <f t="shared" si="3"/>
        <v>Guitarra Clasica</v>
      </c>
      <c r="D64" s="180">
        <f t="shared" si="4"/>
        <v>2.5</v>
      </c>
      <c r="E64" s="180">
        <f t="shared" si="10"/>
        <v>9.99</v>
      </c>
      <c r="F64" s="174">
        <v>15.0</v>
      </c>
      <c r="G64" s="174">
        <v>0.0</v>
      </c>
      <c r="H64" s="181">
        <f t="shared" si="5"/>
        <v>15</v>
      </c>
      <c r="I64" s="182">
        <f t="shared" si="6"/>
        <v>37.5</v>
      </c>
      <c r="J64" s="182">
        <f t="shared" si="7"/>
        <v>149.85</v>
      </c>
      <c r="K64" s="146">
        <f t="shared" si="8"/>
        <v>5</v>
      </c>
      <c r="L64" s="129" t="str">
        <f t="shared" si="9"/>
        <v>🟢 OK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15.75" customHeight="1">
      <c r="A65" s="61">
        <f t="shared" si="1"/>
        <v>7</v>
      </c>
      <c r="B65" s="124" t="str">
        <f t="shared" si="2"/>
        <v>Clavijas Guitarra Clasica Plateadas</v>
      </c>
      <c r="C65" s="124" t="str">
        <f t="shared" si="3"/>
        <v>Guitarra Clasica</v>
      </c>
      <c r="D65" s="180">
        <f t="shared" si="4"/>
        <v>2.5</v>
      </c>
      <c r="E65" s="180">
        <f t="shared" si="10"/>
        <v>12.99</v>
      </c>
      <c r="F65" s="174">
        <v>10.0</v>
      </c>
      <c r="G65" s="174">
        <v>0.0</v>
      </c>
      <c r="H65" s="181">
        <f t="shared" si="5"/>
        <v>10</v>
      </c>
      <c r="I65" s="182">
        <f t="shared" si="6"/>
        <v>25</v>
      </c>
      <c r="J65" s="182">
        <f t="shared" si="7"/>
        <v>129.9</v>
      </c>
      <c r="K65" s="146">
        <f t="shared" si="8"/>
        <v>5</v>
      </c>
      <c r="L65" s="129" t="str">
        <f t="shared" si="9"/>
        <v>🟢 OK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15.75" customHeight="1">
      <c r="A66" s="61">
        <f t="shared" si="1"/>
        <v>8</v>
      </c>
      <c r="B66" s="124" t="str">
        <f t="shared" si="2"/>
        <v>Correa Guitarra/Bajo</v>
      </c>
      <c r="C66" s="124" t="str">
        <f t="shared" si="3"/>
        <v>Correas</v>
      </c>
      <c r="D66" s="180">
        <f t="shared" si="4"/>
        <v>0.2</v>
      </c>
      <c r="E66" s="180">
        <f t="shared" si="10"/>
        <v>5.49</v>
      </c>
      <c r="F66" s="174">
        <v>21.0</v>
      </c>
      <c r="G66" s="174">
        <v>0.0</v>
      </c>
      <c r="H66" s="181">
        <f t="shared" si="5"/>
        <v>21</v>
      </c>
      <c r="I66" s="182">
        <f t="shared" si="6"/>
        <v>4.2</v>
      </c>
      <c r="J66" s="182">
        <f t="shared" si="7"/>
        <v>115.29</v>
      </c>
      <c r="K66" s="146">
        <f t="shared" si="8"/>
        <v>10</v>
      </c>
      <c r="L66" s="129" t="str">
        <f t="shared" si="9"/>
        <v>🟢 OK</v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15.75" customHeight="1">
      <c r="A67" s="61">
        <f t="shared" si="1"/>
        <v>9</v>
      </c>
      <c r="B67" s="124" t="str">
        <f t="shared" si="2"/>
        <v>Base pared Guitarra/Bajo</v>
      </c>
      <c r="C67" s="124" t="str">
        <f t="shared" si="3"/>
        <v>Bases, Stand, Atriles</v>
      </c>
      <c r="D67" s="180">
        <f t="shared" si="4"/>
        <v>0.5</v>
      </c>
      <c r="E67" s="180">
        <f t="shared" si="10"/>
        <v>4.99</v>
      </c>
      <c r="F67" s="174">
        <v>8.0</v>
      </c>
      <c r="G67" s="174">
        <v>50.0</v>
      </c>
      <c r="H67" s="181">
        <f t="shared" si="5"/>
        <v>58</v>
      </c>
      <c r="I67" s="182">
        <f t="shared" si="6"/>
        <v>29</v>
      </c>
      <c r="J67" s="182">
        <f t="shared" si="7"/>
        <v>289.42</v>
      </c>
      <c r="K67" s="146">
        <f t="shared" si="8"/>
        <v>20</v>
      </c>
      <c r="L67" s="129" t="str">
        <f t="shared" si="9"/>
        <v>🟢 OK</v>
      </c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15.75" customHeight="1">
      <c r="A68" s="61">
        <f t="shared" si="1"/>
        <v>10</v>
      </c>
      <c r="B68" s="124" t="str">
        <f t="shared" si="2"/>
        <v>Capotraste</v>
      </c>
      <c r="C68" s="124" t="str">
        <f t="shared" si="3"/>
        <v>Capostraste</v>
      </c>
      <c r="D68" s="180">
        <f t="shared" si="4"/>
        <v>0.65</v>
      </c>
      <c r="E68" s="180">
        <f t="shared" si="10"/>
        <v>6.99</v>
      </c>
      <c r="F68" s="174">
        <v>20.0</v>
      </c>
      <c r="G68" s="174">
        <v>1.0</v>
      </c>
      <c r="H68" s="181">
        <f t="shared" si="5"/>
        <v>21</v>
      </c>
      <c r="I68" s="182">
        <f t="shared" si="6"/>
        <v>13.65</v>
      </c>
      <c r="J68" s="182">
        <f t="shared" si="7"/>
        <v>146.79</v>
      </c>
      <c r="K68" s="146">
        <f t="shared" si="8"/>
        <v>10</v>
      </c>
      <c r="L68" s="129" t="str">
        <f t="shared" si="9"/>
        <v>🟢 OK</v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15.75" customHeight="1">
      <c r="A69" s="61">
        <f t="shared" si="1"/>
        <v>11</v>
      </c>
      <c r="B69" s="124" t="str">
        <f t="shared" si="2"/>
        <v>Cuerdas de Violin 4/4</v>
      </c>
      <c r="C69" s="124" t="str">
        <f t="shared" si="3"/>
        <v>Violin</v>
      </c>
      <c r="D69" s="180">
        <f t="shared" si="4"/>
        <v>1.06</v>
      </c>
      <c r="E69" s="180">
        <f t="shared" si="10"/>
        <v>4.99</v>
      </c>
      <c r="F69" s="174">
        <v>36.0</v>
      </c>
      <c r="G69" s="174">
        <v>4.0</v>
      </c>
      <c r="H69" s="181">
        <f t="shared" si="5"/>
        <v>40</v>
      </c>
      <c r="I69" s="182">
        <f t="shared" si="6"/>
        <v>42.4</v>
      </c>
      <c r="J69" s="182">
        <f t="shared" si="7"/>
        <v>199.6</v>
      </c>
      <c r="K69" s="146">
        <f t="shared" si="8"/>
        <v>10</v>
      </c>
      <c r="L69" s="129" t="str">
        <f t="shared" si="9"/>
        <v>🟢 OK</v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15.75" customHeight="1">
      <c r="A70" s="61">
        <f t="shared" si="1"/>
        <v>12</v>
      </c>
      <c r="B70" s="124" t="str">
        <f t="shared" si="2"/>
        <v>Cable Hebikuo XA03</v>
      </c>
      <c r="C70" s="124" t="str">
        <f t="shared" si="3"/>
        <v>Cables</v>
      </c>
      <c r="D70" s="180">
        <f t="shared" si="4"/>
        <v>1.91</v>
      </c>
      <c r="E70" s="180">
        <f t="shared" si="10"/>
        <v>10</v>
      </c>
      <c r="F70" s="174">
        <v>3.0</v>
      </c>
      <c r="G70" s="174">
        <v>10.0</v>
      </c>
      <c r="H70" s="181">
        <f t="shared" si="5"/>
        <v>13</v>
      </c>
      <c r="I70" s="182">
        <f t="shared" si="6"/>
        <v>24.83</v>
      </c>
      <c r="J70" s="182">
        <f t="shared" si="7"/>
        <v>130</v>
      </c>
      <c r="K70" s="146">
        <f t="shared" si="8"/>
        <v>10</v>
      </c>
      <c r="L70" s="129" t="str">
        <f t="shared" si="9"/>
        <v>🟢 OK</v>
      </c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15.75" customHeight="1">
      <c r="A71" s="61">
        <f t="shared" si="1"/>
        <v>13</v>
      </c>
      <c r="B71" s="124" t="str">
        <f t="shared" si="2"/>
        <v>Cejilla/Cejuela</v>
      </c>
      <c r="C71" s="124" t="str">
        <f t="shared" si="3"/>
        <v>Guitarra Clasica</v>
      </c>
      <c r="D71" s="180">
        <f t="shared" si="4"/>
        <v>0.01</v>
      </c>
      <c r="E71" s="180">
        <f t="shared" si="10"/>
        <v>5</v>
      </c>
      <c r="F71" s="174">
        <v>0.0</v>
      </c>
      <c r="G71" s="174">
        <v>0.0</v>
      </c>
      <c r="H71" s="181">
        <f t="shared" si="5"/>
        <v>0</v>
      </c>
      <c r="I71" s="182">
        <f t="shared" si="6"/>
        <v>0</v>
      </c>
      <c r="J71" s="182">
        <f t="shared" si="7"/>
        <v>0</v>
      </c>
      <c r="K71" s="146">
        <f t="shared" si="8"/>
        <v>20</v>
      </c>
      <c r="L71" s="129" t="str">
        <f t="shared" si="9"/>
        <v>🔴 Sin stock</v>
      </c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15.75" customHeight="1">
      <c r="A72" s="61">
        <f t="shared" si="1"/>
        <v>14</v>
      </c>
      <c r="B72" s="124" t="str">
        <f t="shared" si="2"/>
        <v>Pines de Correa</v>
      </c>
      <c r="C72" s="124" t="str">
        <f t="shared" si="3"/>
        <v>Guitarra Acustica</v>
      </c>
      <c r="D72" s="180">
        <f t="shared" si="4"/>
        <v>0.01</v>
      </c>
      <c r="E72" s="180">
        <f t="shared" si="10"/>
        <v>5</v>
      </c>
      <c r="F72" s="174">
        <v>0.0</v>
      </c>
      <c r="G72" s="174">
        <v>0.0</v>
      </c>
      <c r="H72" s="181">
        <f t="shared" si="5"/>
        <v>0</v>
      </c>
      <c r="I72" s="182">
        <f t="shared" si="6"/>
        <v>0</v>
      </c>
      <c r="J72" s="182">
        <f t="shared" si="7"/>
        <v>0</v>
      </c>
      <c r="K72" s="146">
        <f t="shared" si="8"/>
        <v>20</v>
      </c>
      <c r="L72" s="129" t="str">
        <f t="shared" si="9"/>
        <v>🔴 Sin stock</v>
      </c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15.75" customHeight="1">
      <c r="A73" s="61">
        <f t="shared" si="1"/>
        <v>15</v>
      </c>
      <c r="B73" s="124" t="str">
        <f t="shared" si="2"/>
        <v>Cable Pedales</v>
      </c>
      <c r="C73" s="124" t="str">
        <f t="shared" si="3"/>
        <v>Guitarra Electrica</v>
      </c>
      <c r="D73" s="180">
        <f t="shared" si="4"/>
        <v>2.3</v>
      </c>
      <c r="E73" s="180">
        <f t="shared" si="10"/>
        <v>14</v>
      </c>
      <c r="F73" s="174">
        <v>0.0</v>
      </c>
      <c r="G73" s="174">
        <v>0.0</v>
      </c>
      <c r="H73" s="181">
        <f t="shared" si="5"/>
        <v>0</v>
      </c>
      <c r="I73" s="182">
        <f t="shared" si="6"/>
        <v>0</v>
      </c>
      <c r="J73" s="182">
        <f t="shared" si="7"/>
        <v>0</v>
      </c>
      <c r="K73" s="146">
        <f t="shared" si="8"/>
        <v>5</v>
      </c>
      <c r="L73" s="129" t="str">
        <f t="shared" si="9"/>
        <v>🔴 Sin stock</v>
      </c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15.75" customHeight="1">
      <c r="A74" s="61">
        <f t="shared" si="1"/>
        <v>16</v>
      </c>
      <c r="B74" s="124" t="str">
        <f t="shared" si="2"/>
        <v>Cuerdas Bajo 4C Alice</v>
      </c>
      <c r="C74" s="124" t="str">
        <f t="shared" si="3"/>
        <v> Bajo Electrico</v>
      </c>
      <c r="D74" s="180">
        <f t="shared" si="4"/>
        <v>3.03</v>
      </c>
      <c r="E74" s="180">
        <f t="shared" si="10"/>
        <v>12.99</v>
      </c>
      <c r="F74" s="174">
        <v>23.0</v>
      </c>
      <c r="G74" s="174">
        <v>3.0</v>
      </c>
      <c r="H74" s="181">
        <f t="shared" si="5"/>
        <v>26</v>
      </c>
      <c r="I74" s="182">
        <f t="shared" si="6"/>
        <v>78.78</v>
      </c>
      <c r="J74" s="182">
        <f t="shared" si="7"/>
        <v>337.74</v>
      </c>
      <c r="K74" s="146">
        <f t="shared" si="8"/>
        <v>10</v>
      </c>
      <c r="L74" s="129" t="str">
        <f t="shared" si="9"/>
        <v>🟢 OK</v>
      </c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15.75" customHeight="1">
      <c r="A75" s="61">
        <f t="shared" si="1"/>
        <v>17</v>
      </c>
      <c r="B75" s="124" t="str">
        <f t="shared" si="2"/>
        <v>Cuerdas de Viola A90</v>
      </c>
      <c r="C75" s="124" t="str">
        <f t="shared" si="3"/>
        <v>Viola</v>
      </c>
      <c r="D75" s="180">
        <f t="shared" si="4"/>
        <v>1.48</v>
      </c>
      <c r="E75" s="180">
        <f t="shared" si="10"/>
        <v>6</v>
      </c>
      <c r="F75" s="174">
        <v>14.0</v>
      </c>
      <c r="G75" s="174">
        <v>2.0</v>
      </c>
      <c r="H75" s="181">
        <f t="shared" si="5"/>
        <v>16</v>
      </c>
      <c r="I75" s="182">
        <f t="shared" si="6"/>
        <v>23.68</v>
      </c>
      <c r="J75" s="182">
        <f t="shared" si="7"/>
        <v>96</v>
      </c>
      <c r="K75" s="146">
        <f t="shared" si="8"/>
        <v>5</v>
      </c>
      <c r="L75" s="129" t="str">
        <f t="shared" si="9"/>
        <v>🟢 OK</v>
      </c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15.75" customHeight="1">
      <c r="A76" s="61">
        <f t="shared" si="1"/>
        <v>18</v>
      </c>
      <c r="B76" s="124" t="str">
        <f t="shared" si="2"/>
        <v>Baqueta Bateria 5A</v>
      </c>
      <c r="C76" s="124" t="str">
        <f t="shared" si="3"/>
        <v>Bateria</v>
      </c>
      <c r="D76" s="180">
        <f t="shared" si="4"/>
        <v>0.71</v>
      </c>
      <c r="E76" s="180">
        <f t="shared" si="10"/>
        <v>5</v>
      </c>
      <c r="F76" s="174">
        <v>23.0</v>
      </c>
      <c r="G76" s="174">
        <v>0.0</v>
      </c>
      <c r="H76" s="181">
        <f t="shared" si="5"/>
        <v>23</v>
      </c>
      <c r="I76" s="182">
        <f t="shared" si="6"/>
        <v>16.33</v>
      </c>
      <c r="J76" s="182">
        <f t="shared" si="7"/>
        <v>115</v>
      </c>
      <c r="K76" s="146">
        <f t="shared" si="8"/>
        <v>5</v>
      </c>
      <c r="L76" s="129" t="str">
        <f t="shared" si="9"/>
        <v>🟢 OK</v>
      </c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15.75" customHeight="1">
      <c r="A77" s="61">
        <f t="shared" si="1"/>
        <v>19</v>
      </c>
      <c r="B77" s="124" t="str">
        <f t="shared" si="2"/>
        <v>Baqueta Bateria 7A</v>
      </c>
      <c r="C77" s="124" t="str">
        <f t="shared" si="3"/>
        <v>Bateria</v>
      </c>
      <c r="D77" s="180">
        <f t="shared" si="4"/>
        <v>0.71</v>
      </c>
      <c r="E77" s="180">
        <f t="shared" si="10"/>
        <v>5</v>
      </c>
      <c r="F77" s="174">
        <v>24.0</v>
      </c>
      <c r="G77" s="174">
        <v>0.0</v>
      </c>
      <c r="H77" s="181">
        <f t="shared" si="5"/>
        <v>24</v>
      </c>
      <c r="I77" s="182">
        <f t="shared" si="6"/>
        <v>17.04</v>
      </c>
      <c r="J77" s="182">
        <f t="shared" si="7"/>
        <v>120</v>
      </c>
      <c r="K77" s="146">
        <f t="shared" si="8"/>
        <v>5</v>
      </c>
      <c r="L77" s="129" t="str">
        <f t="shared" si="9"/>
        <v>🟢 OK</v>
      </c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15.75" customHeight="1">
      <c r="A78" s="61">
        <f t="shared" si="1"/>
        <v>20</v>
      </c>
      <c r="B78" s="124" t="str">
        <f t="shared" si="2"/>
        <v>Baqueta Bateria 5B</v>
      </c>
      <c r="C78" s="124" t="str">
        <f t="shared" si="3"/>
        <v>Bateria</v>
      </c>
      <c r="D78" s="180">
        <f t="shared" si="4"/>
        <v>0.71</v>
      </c>
      <c r="E78" s="180">
        <f t="shared" si="10"/>
        <v>5</v>
      </c>
      <c r="F78" s="174">
        <v>24.0</v>
      </c>
      <c r="G78" s="174">
        <v>0.0</v>
      </c>
      <c r="H78" s="181">
        <f t="shared" si="5"/>
        <v>24</v>
      </c>
      <c r="I78" s="182">
        <f t="shared" si="6"/>
        <v>17.04</v>
      </c>
      <c r="J78" s="182">
        <f t="shared" si="7"/>
        <v>120</v>
      </c>
      <c r="K78" s="146">
        <f t="shared" si="8"/>
        <v>5</v>
      </c>
      <c r="L78" s="129" t="str">
        <f t="shared" si="9"/>
        <v>🟢 OK</v>
      </c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15.75" customHeight="1">
      <c r="A79" s="61">
        <f t="shared" si="1"/>
        <v>21</v>
      </c>
      <c r="B79" s="124" t="str">
        <f t="shared" si="2"/>
        <v>Daddario 10-46 Electrica</v>
      </c>
      <c r="C79" s="124" t="str">
        <f t="shared" si="3"/>
        <v>Guitarra Electrica</v>
      </c>
      <c r="D79" s="180">
        <f t="shared" si="4"/>
        <v>6</v>
      </c>
      <c r="E79" s="180">
        <f t="shared" si="10"/>
        <v>14</v>
      </c>
      <c r="F79" s="174">
        <v>0.0</v>
      </c>
      <c r="G79" s="174">
        <v>0.0</v>
      </c>
      <c r="H79" s="181">
        <f t="shared" si="5"/>
        <v>0</v>
      </c>
      <c r="I79" s="182">
        <f t="shared" si="6"/>
        <v>0</v>
      </c>
      <c r="J79" s="182">
        <f t="shared" si="7"/>
        <v>0</v>
      </c>
      <c r="K79" s="146">
        <f t="shared" si="8"/>
        <v>3</v>
      </c>
      <c r="L79" s="129" t="str">
        <f t="shared" si="9"/>
        <v>🔴 Sin stock</v>
      </c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15.75" customHeight="1">
      <c r="A80" s="61">
        <f t="shared" si="1"/>
        <v>22</v>
      </c>
      <c r="B80" s="124" t="str">
        <f t="shared" si="2"/>
        <v>Daddario 09-44 Electrica</v>
      </c>
      <c r="C80" s="124" t="str">
        <f t="shared" si="3"/>
        <v>Guitarra Electrica</v>
      </c>
      <c r="D80" s="180">
        <f t="shared" si="4"/>
        <v>6</v>
      </c>
      <c r="E80" s="180">
        <f t="shared" si="10"/>
        <v>14</v>
      </c>
      <c r="F80" s="174">
        <v>0.0</v>
      </c>
      <c r="G80" s="174">
        <v>0.0</v>
      </c>
      <c r="H80" s="181">
        <f t="shared" si="5"/>
        <v>0</v>
      </c>
      <c r="I80" s="182">
        <f t="shared" si="6"/>
        <v>0</v>
      </c>
      <c r="J80" s="182">
        <f t="shared" si="7"/>
        <v>0</v>
      </c>
      <c r="K80" s="146">
        <f t="shared" si="8"/>
        <v>3</v>
      </c>
      <c r="L80" s="129" t="str">
        <f t="shared" si="9"/>
        <v>🔴 Sin stock</v>
      </c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15.75" customHeight="1">
      <c r="A81" s="61">
        <f t="shared" si="1"/>
        <v>23</v>
      </c>
      <c r="B81" s="124" t="str">
        <f t="shared" si="2"/>
        <v>Clavijas de Bajo Mariposa Detallado</v>
      </c>
      <c r="C81" s="124" t="str">
        <f t="shared" si="3"/>
        <v>Bajo</v>
      </c>
      <c r="D81" s="180">
        <f t="shared" si="4"/>
        <v>2</v>
      </c>
      <c r="E81" s="180">
        <f t="shared" si="10"/>
        <v>10</v>
      </c>
      <c r="F81" s="174">
        <v>0.0</v>
      </c>
      <c r="G81" s="174">
        <v>0.0</v>
      </c>
      <c r="H81" s="181">
        <f t="shared" si="5"/>
        <v>0</v>
      </c>
      <c r="I81" s="182">
        <f t="shared" si="6"/>
        <v>0</v>
      </c>
      <c r="J81" s="182">
        <f t="shared" si="7"/>
        <v>0</v>
      </c>
      <c r="K81" s="146">
        <f t="shared" si="8"/>
        <v>4</v>
      </c>
      <c r="L81" s="129" t="str">
        <f t="shared" si="9"/>
        <v>🔴 Sin stock</v>
      </c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15.75" customHeight="1">
      <c r="A82" s="61">
        <f t="shared" si="1"/>
        <v>24</v>
      </c>
      <c r="B82" s="124" t="str">
        <f t="shared" si="2"/>
        <v>Pickguard Negro Guitarra Acustica</v>
      </c>
      <c r="C82" s="124" t="str">
        <f t="shared" si="3"/>
        <v>Guitarra Acustica</v>
      </c>
      <c r="D82" s="180">
        <f t="shared" si="4"/>
        <v>0.5</v>
      </c>
      <c r="E82" s="180">
        <f t="shared" si="10"/>
        <v>5</v>
      </c>
      <c r="F82" s="174">
        <v>0.0</v>
      </c>
      <c r="G82" s="174">
        <v>0.0</v>
      </c>
      <c r="H82" s="181">
        <f t="shared" si="5"/>
        <v>0</v>
      </c>
      <c r="I82" s="182">
        <f t="shared" si="6"/>
        <v>0</v>
      </c>
      <c r="J82" s="182">
        <f t="shared" si="7"/>
        <v>0</v>
      </c>
      <c r="K82" s="146">
        <f t="shared" si="8"/>
        <v>5</v>
      </c>
      <c r="L82" s="129" t="str">
        <f t="shared" si="9"/>
        <v>🔴 Sin stock</v>
      </c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15.75" customHeight="1">
      <c r="A83" s="61">
        <f t="shared" si="1"/>
        <v>25</v>
      </c>
      <c r="B83" s="124" t="str">
        <f t="shared" si="2"/>
        <v>Ernie Ball Power Slinky</v>
      </c>
      <c r="C83" s="124" t="str">
        <f t="shared" si="3"/>
        <v>Guitarra Electrica</v>
      </c>
      <c r="D83" s="180">
        <f t="shared" si="4"/>
        <v>5</v>
      </c>
      <c r="E83" s="180">
        <f t="shared" si="10"/>
        <v>14</v>
      </c>
      <c r="F83" s="174">
        <v>0.0</v>
      </c>
      <c r="G83" s="174">
        <v>0.0</v>
      </c>
      <c r="H83" s="181">
        <f t="shared" si="5"/>
        <v>0</v>
      </c>
      <c r="I83" s="182">
        <f t="shared" si="6"/>
        <v>0</v>
      </c>
      <c r="J83" s="182">
        <f t="shared" si="7"/>
        <v>0</v>
      </c>
      <c r="K83" s="146">
        <f t="shared" si="8"/>
        <v>2</v>
      </c>
      <c r="L83" s="129" t="str">
        <f t="shared" si="9"/>
        <v>🔴 Sin stock</v>
      </c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15.75" customHeight="1">
      <c r="A84" s="61">
        <f t="shared" si="1"/>
        <v>26</v>
      </c>
      <c r="B84" s="124" t="str">
        <f t="shared" si="2"/>
        <v>Ernie Ball Super Slinky</v>
      </c>
      <c r="C84" s="124" t="str">
        <f t="shared" si="3"/>
        <v>Guitarra Electrica</v>
      </c>
      <c r="D84" s="180">
        <f t="shared" si="4"/>
        <v>5</v>
      </c>
      <c r="E84" s="180">
        <f t="shared" si="10"/>
        <v>14</v>
      </c>
      <c r="F84" s="174">
        <v>0.0</v>
      </c>
      <c r="G84" s="174">
        <v>0.0</v>
      </c>
      <c r="H84" s="181">
        <f t="shared" si="5"/>
        <v>0</v>
      </c>
      <c r="I84" s="182">
        <f t="shared" si="6"/>
        <v>0</v>
      </c>
      <c r="J84" s="182">
        <f t="shared" si="7"/>
        <v>0</v>
      </c>
      <c r="K84" s="146">
        <f t="shared" si="8"/>
        <v>2</v>
      </c>
      <c r="L84" s="129" t="str">
        <f t="shared" si="9"/>
        <v>🔴 Sin stock</v>
      </c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15.75" customHeight="1">
      <c r="A85" s="61">
        <f t="shared" si="1"/>
        <v>27</v>
      </c>
      <c r="B85" s="124" t="str">
        <f t="shared" si="2"/>
        <v>Ernie Ball Regular Slinky</v>
      </c>
      <c r="C85" s="124" t="str">
        <f t="shared" si="3"/>
        <v>Guitarra Electrica</v>
      </c>
      <c r="D85" s="180">
        <f t="shared" si="4"/>
        <v>5</v>
      </c>
      <c r="E85" s="180">
        <f t="shared" si="10"/>
        <v>14</v>
      </c>
      <c r="F85" s="174">
        <v>0.0</v>
      </c>
      <c r="G85" s="174">
        <v>0.0</v>
      </c>
      <c r="H85" s="181">
        <f t="shared" si="5"/>
        <v>0</v>
      </c>
      <c r="I85" s="182">
        <f t="shared" si="6"/>
        <v>0</v>
      </c>
      <c r="J85" s="182">
        <f t="shared" si="7"/>
        <v>0</v>
      </c>
      <c r="K85" s="146">
        <f t="shared" si="8"/>
        <v>2</v>
      </c>
      <c r="L85" s="129" t="str">
        <f t="shared" si="9"/>
        <v>🔴 Sin stock</v>
      </c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15.75" customHeight="1">
      <c r="A86" s="61">
        <f t="shared" si="1"/>
        <v>28</v>
      </c>
      <c r="B86" s="124" t="str">
        <f t="shared" si="2"/>
        <v>Puente Violin 4/4</v>
      </c>
      <c r="C86" s="124" t="str">
        <f t="shared" si="3"/>
        <v>Violin</v>
      </c>
      <c r="D86" s="180">
        <f t="shared" si="4"/>
        <v>1</v>
      </c>
      <c r="E86" s="180">
        <f t="shared" si="10"/>
        <v>5</v>
      </c>
      <c r="F86" s="174">
        <v>0.0</v>
      </c>
      <c r="G86" s="174">
        <v>0.0</v>
      </c>
      <c r="H86" s="181">
        <f t="shared" si="5"/>
        <v>0</v>
      </c>
      <c r="I86" s="182">
        <f t="shared" si="6"/>
        <v>0</v>
      </c>
      <c r="J86" s="182">
        <f t="shared" si="7"/>
        <v>0</v>
      </c>
      <c r="K86" s="146">
        <f t="shared" si="8"/>
        <v>4</v>
      </c>
      <c r="L86" s="129" t="str">
        <f t="shared" si="9"/>
        <v>🔴 Sin stock</v>
      </c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15.75" customHeight="1">
      <c r="A87" s="61">
        <f t="shared" si="1"/>
        <v>29</v>
      </c>
      <c r="B87" s="124" t="str">
        <f t="shared" si="2"/>
        <v>Puente Violin 3/4</v>
      </c>
      <c r="C87" s="124" t="str">
        <f t="shared" si="3"/>
        <v>Violin</v>
      </c>
      <c r="D87" s="180">
        <f t="shared" si="4"/>
        <v>1</v>
      </c>
      <c r="E87" s="180">
        <f t="shared" si="10"/>
        <v>5</v>
      </c>
      <c r="F87" s="174">
        <v>0.0</v>
      </c>
      <c r="G87" s="174">
        <v>0.0</v>
      </c>
      <c r="H87" s="181">
        <f t="shared" si="5"/>
        <v>0</v>
      </c>
      <c r="I87" s="182">
        <f t="shared" si="6"/>
        <v>0</v>
      </c>
      <c r="J87" s="182">
        <f t="shared" si="7"/>
        <v>0</v>
      </c>
      <c r="K87" s="146">
        <f t="shared" si="8"/>
        <v>4</v>
      </c>
      <c r="L87" s="129" t="str">
        <f t="shared" si="9"/>
        <v>🔴 Sin stock</v>
      </c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15.75" customHeight="1">
      <c r="A88" s="61" t="str">
        <f t="shared" si="1"/>
        <v/>
      </c>
      <c r="B88" s="124" t="str">
        <f t="shared" si="2"/>
        <v/>
      </c>
      <c r="C88" s="124" t="str">
        <f t="shared" si="3"/>
        <v/>
      </c>
      <c r="D88" s="180">
        <f t="shared" si="4"/>
        <v>0</v>
      </c>
      <c r="E88" s="180">
        <f t="shared" si="10"/>
        <v>0</v>
      </c>
      <c r="F88" s="174">
        <v>0.0</v>
      </c>
      <c r="G88" s="174">
        <v>0.0</v>
      </c>
      <c r="H88" s="181">
        <f t="shared" si="5"/>
        <v>0</v>
      </c>
      <c r="I88" s="182">
        <f t="shared" si="6"/>
        <v>0</v>
      </c>
      <c r="J88" s="182">
        <f t="shared" si="7"/>
        <v>0</v>
      </c>
      <c r="K88" s="146" t="str">
        <f t="shared" si="8"/>
        <v/>
      </c>
      <c r="L88" s="129" t="str">
        <f t="shared" si="9"/>
        <v/>
      </c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t="15.75" customHeight="1">
      <c r="A89" s="61" t="str">
        <f t="shared" si="1"/>
        <v/>
      </c>
      <c r="B89" s="124" t="str">
        <f t="shared" si="2"/>
        <v/>
      </c>
      <c r="C89" s="124" t="str">
        <f t="shared" si="3"/>
        <v/>
      </c>
      <c r="D89" s="180">
        <f t="shared" si="4"/>
        <v>0</v>
      </c>
      <c r="E89" s="180">
        <f t="shared" si="10"/>
        <v>0</v>
      </c>
      <c r="F89" s="174">
        <v>0.0</v>
      </c>
      <c r="G89" s="174">
        <v>0.0</v>
      </c>
      <c r="H89" s="181">
        <f t="shared" si="5"/>
        <v>0</v>
      </c>
      <c r="I89" s="182">
        <f t="shared" si="6"/>
        <v>0</v>
      </c>
      <c r="J89" s="182">
        <f t="shared" si="7"/>
        <v>0</v>
      </c>
      <c r="K89" s="146" t="str">
        <f t="shared" si="8"/>
        <v/>
      </c>
      <c r="L89" s="129" t="str">
        <f t="shared" si="9"/>
        <v/>
      </c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ht="15.75" customHeight="1">
      <c r="A90" s="61" t="str">
        <f t="shared" si="1"/>
        <v/>
      </c>
      <c r="B90" s="124" t="str">
        <f t="shared" si="2"/>
        <v/>
      </c>
      <c r="C90" s="124" t="str">
        <f t="shared" si="3"/>
        <v/>
      </c>
      <c r="D90" s="180">
        <f t="shared" si="4"/>
        <v>0</v>
      </c>
      <c r="E90" s="180">
        <f t="shared" si="10"/>
        <v>0</v>
      </c>
      <c r="F90" s="174">
        <v>0.0</v>
      </c>
      <c r="G90" s="174">
        <v>0.0</v>
      </c>
      <c r="H90" s="181">
        <f t="shared" si="5"/>
        <v>0</v>
      </c>
      <c r="I90" s="182">
        <f t="shared" si="6"/>
        <v>0</v>
      </c>
      <c r="J90" s="182">
        <f t="shared" si="7"/>
        <v>0</v>
      </c>
      <c r="K90" s="146" t="str">
        <f t="shared" si="8"/>
        <v/>
      </c>
      <c r="L90" s="129" t="str">
        <f t="shared" si="9"/>
        <v/>
      </c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ht="15.75" customHeight="1">
      <c r="A91" s="61" t="str">
        <f t="shared" si="1"/>
        <v/>
      </c>
      <c r="B91" s="124" t="str">
        <f t="shared" si="2"/>
        <v/>
      </c>
      <c r="C91" s="124" t="str">
        <f t="shared" si="3"/>
        <v/>
      </c>
      <c r="D91" s="180">
        <f t="shared" si="4"/>
        <v>0</v>
      </c>
      <c r="E91" s="180">
        <f t="shared" si="10"/>
        <v>0</v>
      </c>
      <c r="F91" s="174">
        <v>0.0</v>
      </c>
      <c r="G91" s="174">
        <v>0.0</v>
      </c>
      <c r="H91" s="181">
        <f t="shared" si="5"/>
        <v>0</v>
      </c>
      <c r="I91" s="182">
        <f t="shared" si="6"/>
        <v>0</v>
      </c>
      <c r="J91" s="182">
        <f t="shared" si="7"/>
        <v>0</v>
      </c>
      <c r="K91" s="146" t="str">
        <f t="shared" si="8"/>
        <v/>
      </c>
      <c r="L91" s="129" t="str">
        <f t="shared" si="9"/>
        <v/>
      </c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ht="15.75" customHeight="1">
      <c r="A92" s="61" t="str">
        <f t="shared" si="1"/>
        <v/>
      </c>
      <c r="B92" s="124" t="str">
        <f t="shared" si="2"/>
        <v/>
      </c>
      <c r="C92" s="124" t="str">
        <f t="shared" si="3"/>
        <v/>
      </c>
      <c r="D92" s="180">
        <f t="shared" si="4"/>
        <v>0</v>
      </c>
      <c r="E92" s="180">
        <f t="shared" si="10"/>
        <v>0</v>
      </c>
      <c r="F92" s="174">
        <v>0.0</v>
      </c>
      <c r="G92" s="174">
        <v>0.0</v>
      </c>
      <c r="H92" s="181">
        <f t="shared" si="5"/>
        <v>0</v>
      </c>
      <c r="I92" s="182">
        <f t="shared" si="6"/>
        <v>0</v>
      </c>
      <c r="J92" s="182">
        <f t="shared" si="7"/>
        <v>0</v>
      </c>
      <c r="K92" s="146" t="str">
        <f t="shared" si="8"/>
        <v/>
      </c>
      <c r="L92" s="129" t="str">
        <f t="shared" si="9"/>
        <v/>
      </c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ht="15.75" customHeight="1">
      <c r="A93" s="61" t="str">
        <f t="shared" si="1"/>
        <v/>
      </c>
      <c r="B93" s="124" t="str">
        <f t="shared" si="2"/>
        <v/>
      </c>
      <c r="C93" s="124" t="str">
        <f t="shared" si="3"/>
        <v/>
      </c>
      <c r="D93" s="180">
        <f t="shared" si="4"/>
        <v>0</v>
      </c>
      <c r="E93" s="180">
        <f t="shared" si="10"/>
        <v>0</v>
      </c>
      <c r="F93" s="174">
        <v>0.0</v>
      </c>
      <c r="G93" s="174">
        <v>0.0</v>
      </c>
      <c r="H93" s="181">
        <f t="shared" si="5"/>
        <v>0</v>
      </c>
      <c r="I93" s="182">
        <f t="shared" si="6"/>
        <v>0</v>
      </c>
      <c r="J93" s="182">
        <f t="shared" si="7"/>
        <v>0</v>
      </c>
      <c r="K93" s="146" t="str">
        <f t="shared" si="8"/>
        <v/>
      </c>
      <c r="L93" s="129" t="str">
        <f t="shared" si="9"/>
        <v/>
      </c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ht="15.75" customHeight="1">
      <c r="A94" s="61" t="str">
        <f t="shared" si="1"/>
        <v/>
      </c>
      <c r="B94" s="124" t="str">
        <f t="shared" si="2"/>
        <v/>
      </c>
      <c r="C94" s="124" t="str">
        <f t="shared" si="3"/>
        <v/>
      </c>
      <c r="D94" s="180">
        <f t="shared" si="4"/>
        <v>0</v>
      </c>
      <c r="E94" s="180">
        <f t="shared" si="10"/>
        <v>0</v>
      </c>
      <c r="F94" s="174">
        <v>0.0</v>
      </c>
      <c r="G94" s="174">
        <v>0.0</v>
      </c>
      <c r="H94" s="181">
        <f t="shared" si="5"/>
        <v>0</v>
      </c>
      <c r="I94" s="182">
        <f t="shared" si="6"/>
        <v>0</v>
      </c>
      <c r="J94" s="182">
        <f t="shared" si="7"/>
        <v>0</v>
      </c>
      <c r="K94" s="146" t="str">
        <f t="shared" si="8"/>
        <v/>
      </c>
      <c r="L94" s="129" t="str">
        <f t="shared" si="9"/>
        <v/>
      </c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ht="15.75" customHeight="1">
      <c r="A95" s="61" t="str">
        <f t="shared" si="1"/>
        <v/>
      </c>
      <c r="B95" s="124" t="str">
        <f t="shared" si="2"/>
        <v/>
      </c>
      <c r="C95" s="124" t="str">
        <f t="shared" si="3"/>
        <v/>
      </c>
      <c r="D95" s="180">
        <f t="shared" si="4"/>
        <v>0</v>
      </c>
      <c r="E95" s="180">
        <f t="shared" si="10"/>
        <v>0</v>
      </c>
      <c r="F95" s="174">
        <v>0.0</v>
      </c>
      <c r="G95" s="174">
        <v>0.0</v>
      </c>
      <c r="H95" s="181">
        <f t="shared" si="5"/>
        <v>0</v>
      </c>
      <c r="I95" s="182">
        <f t="shared" si="6"/>
        <v>0</v>
      </c>
      <c r="J95" s="182">
        <f t="shared" si="7"/>
        <v>0</v>
      </c>
      <c r="K95" s="146" t="str">
        <f t="shared" si="8"/>
        <v/>
      </c>
      <c r="L95" s="129" t="str">
        <f t="shared" si="9"/>
        <v/>
      </c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ht="15.75" customHeight="1">
      <c r="A96" s="61" t="str">
        <f t="shared" si="1"/>
        <v/>
      </c>
      <c r="B96" s="124" t="str">
        <f t="shared" si="2"/>
        <v/>
      </c>
      <c r="C96" s="124" t="str">
        <f t="shared" si="3"/>
        <v/>
      </c>
      <c r="D96" s="180">
        <f t="shared" si="4"/>
        <v>0</v>
      </c>
      <c r="E96" s="180">
        <f t="shared" si="10"/>
        <v>0</v>
      </c>
      <c r="F96" s="174">
        <v>0.0</v>
      </c>
      <c r="G96" s="174">
        <v>0.0</v>
      </c>
      <c r="H96" s="181">
        <f t="shared" si="5"/>
        <v>0</v>
      </c>
      <c r="I96" s="182">
        <f t="shared" si="6"/>
        <v>0</v>
      </c>
      <c r="J96" s="182">
        <f t="shared" si="7"/>
        <v>0</v>
      </c>
      <c r="K96" s="146" t="str">
        <f t="shared" si="8"/>
        <v/>
      </c>
      <c r="L96" s="129" t="str">
        <f t="shared" si="9"/>
        <v/>
      </c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ht="15.75" customHeight="1">
      <c r="A97" s="61" t="str">
        <f t="shared" si="1"/>
        <v/>
      </c>
      <c r="B97" s="124" t="str">
        <f t="shared" si="2"/>
        <v/>
      </c>
      <c r="C97" s="124" t="str">
        <f t="shared" si="3"/>
        <v/>
      </c>
      <c r="D97" s="180">
        <f t="shared" si="4"/>
        <v>0</v>
      </c>
      <c r="E97" s="180">
        <f t="shared" si="10"/>
        <v>0</v>
      </c>
      <c r="F97" s="174">
        <v>0.0</v>
      </c>
      <c r="G97" s="174">
        <v>0.0</v>
      </c>
      <c r="H97" s="181">
        <f t="shared" si="5"/>
        <v>0</v>
      </c>
      <c r="I97" s="182">
        <f t="shared" si="6"/>
        <v>0</v>
      </c>
      <c r="J97" s="182">
        <f t="shared" si="7"/>
        <v>0</v>
      </c>
      <c r="K97" s="146" t="str">
        <f t="shared" si="8"/>
        <v/>
      </c>
      <c r="L97" s="129" t="str">
        <f t="shared" si="9"/>
        <v/>
      </c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ht="15.75" customHeight="1">
      <c r="A98" s="61" t="str">
        <f t="shared" si="1"/>
        <v/>
      </c>
      <c r="B98" s="124" t="str">
        <f t="shared" si="2"/>
        <v/>
      </c>
      <c r="C98" s="124" t="str">
        <f t="shared" si="3"/>
        <v/>
      </c>
      <c r="D98" s="180">
        <f t="shared" si="4"/>
        <v>0</v>
      </c>
      <c r="E98" s="180">
        <f t="shared" si="10"/>
        <v>0</v>
      </c>
      <c r="F98" s="174">
        <v>0.0</v>
      </c>
      <c r="G98" s="174">
        <v>0.0</v>
      </c>
      <c r="H98" s="181">
        <f t="shared" si="5"/>
        <v>0</v>
      </c>
      <c r="I98" s="182">
        <f t="shared" si="6"/>
        <v>0</v>
      </c>
      <c r="J98" s="182">
        <f t="shared" si="7"/>
        <v>0</v>
      </c>
      <c r="K98" s="146" t="str">
        <f t="shared" si="8"/>
        <v/>
      </c>
      <c r="L98" s="129" t="str">
        <f t="shared" si="9"/>
        <v/>
      </c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ht="15.75" customHeight="1">
      <c r="A99" s="61" t="str">
        <f t="shared" si="1"/>
        <v/>
      </c>
      <c r="B99" s="124" t="str">
        <f t="shared" si="2"/>
        <v/>
      </c>
      <c r="C99" s="124" t="str">
        <f t="shared" si="3"/>
        <v/>
      </c>
      <c r="D99" s="180">
        <f t="shared" si="4"/>
        <v>0</v>
      </c>
      <c r="E99" s="180">
        <f t="shared" si="10"/>
        <v>0</v>
      </c>
      <c r="F99" s="174">
        <v>0.0</v>
      </c>
      <c r="G99" s="174">
        <v>0.0</v>
      </c>
      <c r="H99" s="181">
        <f t="shared" si="5"/>
        <v>0</v>
      </c>
      <c r="I99" s="182">
        <f t="shared" si="6"/>
        <v>0</v>
      </c>
      <c r="J99" s="182">
        <f t="shared" si="7"/>
        <v>0</v>
      </c>
      <c r="K99" s="146" t="str">
        <f t="shared" si="8"/>
        <v/>
      </c>
      <c r="L99" s="129" t="str">
        <f t="shared" si="9"/>
        <v/>
      </c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ht="15.75" customHeight="1">
      <c r="A100" s="61" t="str">
        <f t="shared" si="1"/>
        <v/>
      </c>
      <c r="B100" s="124" t="str">
        <f t="shared" si="2"/>
        <v/>
      </c>
      <c r="C100" s="124" t="str">
        <f t="shared" si="3"/>
        <v/>
      </c>
      <c r="D100" s="180">
        <f t="shared" si="4"/>
        <v>0</v>
      </c>
      <c r="E100" s="180">
        <f t="shared" si="10"/>
        <v>0</v>
      </c>
      <c r="F100" s="174">
        <v>0.0</v>
      </c>
      <c r="G100" s="174">
        <v>0.0</v>
      </c>
      <c r="H100" s="181">
        <f t="shared" si="5"/>
        <v>0</v>
      </c>
      <c r="I100" s="182">
        <f t="shared" si="6"/>
        <v>0</v>
      </c>
      <c r="J100" s="182">
        <f t="shared" si="7"/>
        <v>0</v>
      </c>
      <c r="K100" s="146" t="str">
        <f t="shared" si="8"/>
        <v/>
      </c>
      <c r="L100" s="129" t="str">
        <f t="shared" si="9"/>
        <v/>
      </c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ht="15.75" customHeight="1">
      <c r="A101" s="61" t="str">
        <f t="shared" si="1"/>
        <v/>
      </c>
      <c r="B101" s="124" t="str">
        <f t="shared" si="2"/>
        <v/>
      </c>
      <c r="C101" s="124" t="str">
        <f t="shared" si="3"/>
        <v/>
      </c>
      <c r="D101" s="180">
        <f t="shared" si="4"/>
        <v>0</v>
      </c>
      <c r="E101" s="180">
        <f t="shared" si="10"/>
        <v>0</v>
      </c>
      <c r="F101" s="174">
        <v>0.0</v>
      </c>
      <c r="G101" s="174">
        <v>0.0</v>
      </c>
      <c r="H101" s="181">
        <f t="shared" si="5"/>
        <v>0</v>
      </c>
      <c r="I101" s="182">
        <f t="shared" si="6"/>
        <v>0</v>
      </c>
      <c r="J101" s="182">
        <f t="shared" si="7"/>
        <v>0</v>
      </c>
      <c r="K101" s="146" t="str">
        <f t="shared" si="8"/>
        <v/>
      </c>
      <c r="L101" s="129" t="str">
        <f t="shared" si="9"/>
        <v/>
      </c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ht="15.75" customHeight="1">
      <c r="A102" s="61" t="str">
        <f t="shared" si="1"/>
        <v/>
      </c>
      <c r="B102" s="124" t="str">
        <f t="shared" si="2"/>
        <v/>
      </c>
      <c r="C102" s="124" t="str">
        <f t="shared" si="3"/>
        <v/>
      </c>
      <c r="D102" s="180">
        <f t="shared" si="4"/>
        <v>0</v>
      </c>
      <c r="E102" s="180">
        <f t="shared" si="10"/>
        <v>0</v>
      </c>
      <c r="F102" s="174">
        <v>0.0</v>
      </c>
      <c r="G102" s="174">
        <v>0.0</v>
      </c>
      <c r="H102" s="181">
        <f t="shared" si="5"/>
        <v>0</v>
      </c>
      <c r="I102" s="182">
        <f t="shared" si="6"/>
        <v>0</v>
      </c>
      <c r="J102" s="182">
        <f t="shared" si="7"/>
        <v>0</v>
      </c>
      <c r="K102" s="146" t="str">
        <f t="shared" si="8"/>
        <v/>
      </c>
      <c r="L102" s="129" t="str">
        <f t="shared" si="9"/>
        <v/>
      </c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ht="15.75" customHeight="1">
      <c r="A103" s="61" t="str">
        <f t="shared" si="1"/>
        <v/>
      </c>
      <c r="B103" s="124" t="str">
        <f t="shared" si="2"/>
        <v/>
      </c>
      <c r="C103" s="124" t="str">
        <f t="shared" si="3"/>
        <v/>
      </c>
      <c r="D103" s="180">
        <f t="shared" si="4"/>
        <v>0</v>
      </c>
      <c r="E103" s="180">
        <f t="shared" si="10"/>
        <v>0</v>
      </c>
      <c r="F103" s="174">
        <v>0.0</v>
      </c>
      <c r="G103" s="174">
        <v>0.0</v>
      </c>
      <c r="H103" s="181">
        <f t="shared" si="5"/>
        <v>0</v>
      </c>
      <c r="I103" s="182">
        <f t="shared" si="6"/>
        <v>0</v>
      </c>
      <c r="J103" s="182">
        <f t="shared" si="7"/>
        <v>0</v>
      </c>
      <c r="K103" s="146" t="str">
        <f t="shared" si="8"/>
        <v/>
      </c>
      <c r="L103" s="129" t="str">
        <f t="shared" si="9"/>
        <v/>
      </c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ht="15.75" customHeight="1">
      <c r="A104" s="61" t="str">
        <f t="shared" si="1"/>
        <v/>
      </c>
      <c r="B104" s="124" t="str">
        <f t="shared" si="2"/>
        <v/>
      </c>
      <c r="C104" s="124" t="str">
        <f t="shared" si="3"/>
        <v/>
      </c>
      <c r="D104" s="180">
        <f t="shared" si="4"/>
        <v>0</v>
      </c>
      <c r="E104" s="180">
        <f t="shared" si="10"/>
        <v>0</v>
      </c>
      <c r="F104" s="174">
        <v>0.0</v>
      </c>
      <c r="G104" s="174">
        <v>0.0</v>
      </c>
      <c r="H104" s="181">
        <f t="shared" si="5"/>
        <v>0</v>
      </c>
      <c r="I104" s="182">
        <f t="shared" si="6"/>
        <v>0</v>
      </c>
      <c r="J104" s="182">
        <f t="shared" si="7"/>
        <v>0</v>
      </c>
      <c r="K104" s="146" t="str">
        <f t="shared" si="8"/>
        <v/>
      </c>
      <c r="L104" s="129" t="str">
        <f t="shared" si="9"/>
        <v/>
      </c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ht="15.75" customHeight="1">
      <c r="A105" s="61" t="str">
        <f t="shared" si="1"/>
        <v/>
      </c>
      <c r="B105" s="124" t="str">
        <f t="shared" si="2"/>
        <v/>
      </c>
      <c r="C105" s="124" t="str">
        <f t="shared" si="3"/>
        <v/>
      </c>
      <c r="D105" s="180">
        <f t="shared" si="4"/>
        <v>0</v>
      </c>
      <c r="E105" s="180">
        <f t="shared" si="10"/>
        <v>0</v>
      </c>
      <c r="F105" s="174">
        <v>0.0</v>
      </c>
      <c r="G105" s="174">
        <v>0.0</v>
      </c>
      <c r="H105" s="181">
        <f t="shared" si="5"/>
        <v>0</v>
      </c>
      <c r="I105" s="182">
        <f t="shared" si="6"/>
        <v>0</v>
      </c>
      <c r="J105" s="182">
        <f t="shared" si="7"/>
        <v>0</v>
      </c>
      <c r="K105" s="146" t="str">
        <f t="shared" si="8"/>
        <v/>
      </c>
      <c r="L105" s="129" t="str">
        <f t="shared" si="9"/>
        <v/>
      </c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ht="15.75" customHeight="1">
      <c r="A106" s="61" t="str">
        <f t="shared" si="1"/>
        <v/>
      </c>
      <c r="B106" s="124" t="str">
        <f t="shared" si="2"/>
        <v/>
      </c>
      <c r="C106" s="124" t="str">
        <f t="shared" si="3"/>
        <v/>
      </c>
      <c r="D106" s="180">
        <f t="shared" si="4"/>
        <v>0</v>
      </c>
      <c r="E106" s="180">
        <f t="shared" si="10"/>
        <v>0</v>
      </c>
      <c r="F106" s="174">
        <v>0.0</v>
      </c>
      <c r="G106" s="174">
        <v>0.0</v>
      </c>
      <c r="H106" s="181">
        <f t="shared" si="5"/>
        <v>0</v>
      </c>
      <c r="I106" s="182">
        <f t="shared" si="6"/>
        <v>0</v>
      </c>
      <c r="J106" s="182">
        <f t="shared" si="7"/>
        <v>0</v>
      </c>
      <c r="K106" s="146" t="str">
        <f t="shared" si="8"/>
        <v/>
      </c>
      <c r="L106" s="129" t="str">
        <f t="shared" si="9"/>
        <v/>
      </c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ht="15.75" customHeight="1">
      <c r="A107" s="61" t="str">
        <f t="shared" si="1"/>
        <v/>
      </c>
      <c r="B107" s="124" t="str">
        <f t="shared" si="2"/>
        <v/>
      </c>
      <c r="C107" s="124" t="str">
        <f t="shared" si="3"/>
        <v/>
      </c>
      <c r="D107" s="180">
        <f t="shared" si="4"/>
        <v>0</v>
      </c>
      <c r="E107" s="180">
        <f t="shared" si="10"/>
        <v>0</v>
      </c>
      <c r="F107" s="174">
        <v>0.0</v>
      </c>
      <c r="G107" s="174">
        <v>0.0</v>
      </c>
      <c r="H107" s="181">
        <f t="shared" si="5"/>
        <v>0</v>
      </c>
      <c r="I107" s="182">
        <f t="shared" si="6"/>
        <v>0</v>
      </c>
      <c r="J107" s="182">
        <f t="shared" si="7"/>
        <v>0</v>
      </c>
      <c r="K107" s="146" t="str">
        <f t="shared" si="8"/>
        <v/>
      </c>
      <c r="L107" s="129" t="str">
        <f t="shared" si="9"/>
        <v/>
      </c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ht="15.75" customHeight="1">
      <c r="A108" s="61" t="str">
        <f t="shared" si="1"/>
        <v/>
      </c>
      <c r="B108" s="124" t="str">
        <f t="shared" si="2"/>
        <v/>
      </c>
      <c r="C108" s="124" t="str">
        <f t="shared" si="3"/>
        <v/>
      </c>
      <c r="D108" s="180">
        <f t="shared" si="4"/>
        <v>0</v>
      </c>
      <c r="E108" s="180">
        <f t="shared" si="10"/>
        <v>0</v>
      </c>
      <c r="F108" s="174">
        <v>0.0</v>
      </c>
      <c r="G108" s="174">
        <v>0.0</v>
      </c>
      <c r="H108" s="181">
        <f t="shared" si="5"/>
        <v>0</v>
      </c>
      <c r="I108" s="182">
        <f t="shared" si="6"/>
        <v>0</v>
      </c>
      <c r="J108" s="182">
        <f t="shared" si="7"/>
        <v>0</v>
      </c>
      <c r="K108" s="146" t="str">
        <f t="shared" si="8"/>
        <v/>
      </c>
      <c r="L108" s="129" t="str">
        <f t="shared" si="9"/>
        <v/>
      </c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ht="21.75" customHeight="1">
      <c r="A109" s="183" t="s">
        <v>247</v>
      </c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8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ht="18.0" customHeight="1">
      <c r="A110" s="184" t="s">
        <v>248</v>
      </c>
      <c r="B110" s="9"/>
      <c r="C110" s="10"/>
      <c r="D110" s="185" t="s">
        <v>249</v>
      </c>
      <c r="E110" s="185" t="s">
        <v>250</v>
      </c>
      <c r="F110" s="184" t="s">
        <v>251</v>
      </c>
      <c r="G110" s="9"/>
      <c r="H110" s="9"/>
      <c r="I110" s="9"/>
      <c r="J110" s="10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ht="15.75" customHeight="1">
      <c r="A111" s="154" t="s">
        <v>252</v>
      </c>
      <c r="B111" s="9"/>
      <c r="C111" s="10"/>
      <c r="D111" s="186">
        <f t="shared" ref="D111:F111" si="11">SUM(F59:F108)</f>
        <v>504</v>
      </c>
      <c r="E111" s="186">
        <f t="shared" si="11"/>
        <v>148</v>
      </c>
      <c r="F111" s="155">
        <f t="shared" si="11"/>
        <v>652</v>
      </c>
      <c r="G111" s="9"/>
      <c r="H111" s="9"/>
      <c r="I111" s="9"/>
      <c r="J111" s="10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ht="15.75" customHeight="1">
      <c r="A112" s="154" t="s">
        <v>253</v>
      </c>
      <c r="B112" s="9"/>
      <c r="C112" s="10"/>
      <c r="D112" s="187">
        <f>SUMPRODUCT(D59:D108,F59:F108)</f>
        <v>658.2</v>
      </c>
      <c r="E112" s="187">
        <f>SUMPRODUCT(D59:D108,G59:G108)</f>
        <v>155.42</v>
      </c>
      <c r="F112" s="188">
        <f>SUM(I59:I108)</f>
        <v>813.62</v>
      </c>
      <c r="G112" s="9"/>
      <c r="H112" s="9"/>
      <c r="I112" s="9"/>
      <c r="J112" s="10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ht="15.75" customHeight="1">
      <c r="A113" s="154" t="s">
        <v>254</v>
      </c>
      <c r="B113" s="9"/>
      <c r="C113" s="10"/>
      <c r="D113" s="187">
        <f>SUMPRODUCT(E59:E108,F59:F108)</f>
        <v>3713.17</v>
      </c>
      <c r="E113" s="187">
        <f>SUMPRODUCT(E59:E108,G59:G108)</f>
        <v>967.42</v>
      </c>
      <c r="F113" s="188">
        <f>SUM(J59:J108)</f>
        <v>4680.59</v>
      </c>
      <c r="G113" s="9"/>
      <c r="H113" s="9"/>
      <c r="I113" s="9"/>
      <c r="J113" s="10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ht="15.75" customHeight="1">
      <c r="A114" s="154" t="s">
        <v>255</v>
      </c>
      <c r="B114" s="9"/>
      <c r="C114" s="10"/>
      <c r="D114" s="187">
        <f t="shared" ref="D114:F114" si="12">D113-D112</f>
        <v>3054.97</v>
      </c>
      <c r="E114" s="187">
        <f t="shared" si="12"/>
        <v>812</v>
      </c>
      <c r="F114" s="188">
        <f t="shared" si="12"/>
        <v>3866.97</v>
      </c>
      <c r="G114" s="9"/>
      <c r="H114" s="9"/>
      <c r="I114" s="9"/>
      <c r="J114" s="10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</row>
  </sheetData>
  <mergeCells count="14">
    <mergeCell ref="A111:C111"/>
    <mergeCell ref="A112:C112"/>
    <mergeCell ref="A113:C113"/>
    <mergeCell ref="A114:C114"/>
    <mergeCell ref="F112:J112"/>
    <mergeCell ref="F113:J113"/>
    <mergeCell ref="F114:J114"/>
    <mergeCell ref="A1:L1"/>
    <mergeCell ref="A56:L56"/>
    <mergeCell ref="A57:L57"/>
    <mergeCell ref="A109:L109"/>
    <mergeCell ref="A110:C110"/>
    <mergeCell ref="F110:J110"/>
    <mergeCell ref="F111:J111"/>
  </mergeCells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5B6"/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2.0"/>
    <col customWidth="1" min="3" max="3" width="28.0"/>
    <col customWidth="1" min="4" max="4" width="16.0"/>
    <col customWidth="1" min="5" max="5" width="12.0"/>
    <col customWidth="1" min="6" max="6" width="14.0"/>
    <col customWidth="1" min="7" max="7" width="12.0"/>
    <col customWidth="1" min="8" max="9" width="13.0"/>
    <col customWidth="1" min="10" max="10" width="10.0"/>
    <col customWidth="1" min="11" max="11" width="12.0"/>
    <col customWidth="1" min="12" max="13" width="13.0"/>
    <col customWidth="1" min="14" max="14" width="12.0"/>
  </cols>
  <sheetData>
    <row r="1" ht="39.75" customHeight="1">
      <c r="A1" s="8" t="s">
        <v>72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10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5.0" customHeight="1">
      <c r="A2" s="32" t="str">
        <f>'Configuración'!C17&amp;" "&amp;'Configuración'!C18</f>
        <v> 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10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15.0" customHeight="1">
      <c r="A3" s="33" t="s">
        <v>73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34.5" customHeight="1">
      <c r="A4" s="34" t="s">
        <v>74</v>
      </c>
      <c r="B4" s="34" t="s">
        <v>75</v>
      </c>
      <c r="C4" s="34" t="s">
        <v>76</v>
      </c>
      <c r="D4" s="34" t="s">
        <v>77</v>
      </c>
      <c r="E4" s="34" t="s">
        <v>78</v>
      </c>
      <c r="F4" s="34" t="s">
        <v>79</v>
      </c>
      <c r="G4" s="34" t="s">
        <v>80</v>
      </c>
      <c r="H4" s="34" t="s">
        <v>81</v>
      </c>
      <c r="I4" s="34" t="s">
        <v>80</v>
      </c>
      <c r="J4" s="34" t="s">
        <v>82</v>
      </c>
      <c r="K4" s="34" t="s">
        <v>83</v>
      </c>
      <c r="L4" s="34" t="s">
        <v>84</v>
      </c>
      <c r="M4" s="34" t="s">
        <v>85</v>
      </c>
      <c r="N4" s="34" t="s">
        <v>86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15.0" customHeight="1">
      <c r="A5" s="35">
        <v>1.0</v>
      </c>
      <c r="B5" s="52"/>
      <c r="C5" s="29"/>
      <c r="D5" s="53" t="str">
        <f>IFERROR(VLOOKUP(C5,'Catálogo Productos'!$B$3:$E$200,2,0),"")</f>
        <v/>
      </c>
      <c r="E5" s="54" t="str">
        <f>IFERROR(VLOOKUP(C5,'Catálogo Productos'!$B$3:$E$200,3,0),"")</f>
        <v/>
      </c>
      <c r="F5" s="55" t="str">
        <f>IFERROR(VLOOKUP(C5,'Catálogo Productos'!$B$3:$E$200,4,0),"")</f>
        <v/>
      </c>
      <c r="G5" s="56" t="str">
        <f>IF(F5="","",IF(I5="SÍ",F5*'Configuración'!$C$5,0))</f>
        <v/>
      </c>
      <c r="H5" s="56" t="s">
        <v>88</v>
      </c>
      <c r="I5" s="61" t="s">
        <v>88</v>
      </c>
      <c r="J5" s="18" t="str">
        <f>IF(F5="","",IF(H5="SÍ",'Configuración'!$C$6,0))</f>
        <v/>
      </c>
      <c r="K5" s="56" t="str">
        <f t="shared" ref="K5:K54" si="1">IF(F5="","",F5-G5-J5)</f>
        <v/>
      </c>
      <c r="L5" s="56" t="str">
        <f t="shared" ref="L5:L54" si="2">IF(F5="","",K5-E5-IF(N5="",0,N5))</f>
        <v/>
      </c>
      <c r="M5" s="57" t="str">
        <f t="shared" ref="M5:M54" si="3">IF(F5="","",IF(K5=0,0,L5/K5))</f>
        <v/>
      </c>
      <c r="N5" s="46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15.0" customHeight="1">
      <c r="A6" s="47">
        <v>2.0</v>
      </c>
      <c r="B6" s="52"/>
      <c r="C6" s="29"/>
      <c r="D6" s="53" t="str">
        <f>IFERROR(VLOOKUP(C6,'Catálogo Productos'!$B$3:$E$200,2,0),"")</f>
        <v/>
      </c>
      <c r="E6" s="54" t="str">
        <f>IFERROR(VLOOKUP(C6,'Catálogo Productos'!$B$3:$E$200,3,0),"")</f>
        <v/>
      </c>
      <c r="F6" s="55" t="str">
        <f>IFERROR(VLOOKUP(C6,'Catálogo Productos'!$B$3:$E$200,4,0),"")</f>
        <v/>
      </c>
      <c r="G6" s="58" t="str">
        <f>IF(F6="","",IF(I6="SÍ",F6*'Configuración'!$C$5,0))</f>
        <v/>
      </c>
      <c r="H6" s="58" t="s">
        <v>88</v>
      </c>
      <c r="I6" s="61" t="s">
        <v>88</v>
      </c>
      <c r="J6" s="18" t="str">
        <f>IF(F6="","",IF(H6="SÍ",'Configuración'!$C$6,0))</f>
        <v/>
      </c>
      <c r="K6" s="58" t="str">
        <f t="shared" si="1"/>
        <v/>
      </c>
      <c r="L6" s="58" t="str">
        <f t="shared" si="2"/>
        <v/>
      </c>
      <c r="M6" s="59" t="str">
        <f t="shared" si="3"/>
        <v/>
      </c>
      <c r="N6" s="46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15.0" customHeight="1">
      <c r="A7" s="35">
        <v>3.0</v>
      </c>
      <c r="B7" s="52"/>
      <c r="C7" s="29"/>
      <c r="D7" s="53" t="str">
        <f>IFERROR(VLOOKUP(C7,'Catálogo Productos'!$B$3:$E$200,2,0),"")</f>
        <v/>
      </c>
      <c r="E7" s="54" t="str">
        <f>IFERROR(VLOOKUP(C7,'Catálogo Productos'!$B$3:$E$200,3,0),"")</f>
        <v/>
      </c>
      <c r="F7" s="55" t="str">
        <f>IFERROR(VLOOKUP(C7,'Catálogo Productos'!$B$3:$E$200,4,0),"")</f>
        <v/>
      </c>
      <c r="G7" s="56" t="str">
        <f>IF(F7="","",IF(I7="SÍ",F7*'Configuración'!$C$5,0))</f>
        <v/>
      </c>
      <c r="H7" s="56" t="s">
        <v>88</v>
      </c>
      <c r="I7" s="61" t="s">
        <v>88</v>
      </c>
      <c r="J7" s="18" t="str">
        <f>IF(F7="","",IF(H7="SÍ",'Configuración'!$C$6,0))</f>
        <v/>
      </c>
      <c r="K7" s="56" t="str">
        <f t="shared" si="1"/>
        <v/>
      </c>
      <c r="L7" s="56" t="str">
        <f t="shared" si="2"/>
        <v/>
      </c>
      <c r="M7" s="57" t="str">
        <f t="shared" si="3"/>
        <v/>
      </c>
      <c r="N7" s="46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15.0" customHeight="1">
      <c r="A8" s="47">
        <v>4.0</v>
      </c>
      <c r="B8" s="52"/>
      <c r="C8" s="29"/>
      <c r="D8" s="53" t="str">
        <f>IFERROR(VLOOKUP(C8,'Catálogo Productos'!$B$3:$E$200,2,0),"")</f>
        <v/>
      </c>
      <c r="E8" s="54" t="str">
        <f>IFERROR(VLOOKUP(C8,'Catálogo Productos'!$B$3:$E$200,3,0),"")</f>
        <v/>
      </c>
      <c r="F8" s="55" t="str">
        <f>IFERROR(VLOOKUP(C8,'Catálogo Productos'!$B$3:$E$200,4,0),"")</f>
        <v/>
      </c>
      <c r="G8" s="58" t="str">
        <f>IF(F8="","",IF(I8="SÍ",F8*'Configuración'!$C$5,0))</f>
        <v/>
      </c>
      <c r="H8" s="58" t="s">
        <v>88</v>
      </c>
      <c r="I8" s="61" t="s">
        <v>88</v>
      </c>
      <c r="J8" s="18" t="str">
        <f>IF(F8="","",IF(H8="SÍ",'Configuración'!$C$6,0))</f>
        <v/>
      </c>
      <c r="K8" s="58" t="str">
        <f t="shared" si="1"/>
        <v/>
      </c>
      <c r="L8" s="58" t="str">
        <f t="shared" si="2"/>
        <v/>
      </c>
      <c r="M8" s="59" t="str">
        <f t="shared" si="3"/>
        <v/>
      </c>
      <c r="N8" s="46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15.0" customHeight="1">
      <c r="A9" s="35">
        <v>5.0</v>
      </c>
      <c r="B9" s="52"/>
      <c r="C9" s="29"/>
      <c r="D9" s="53" t="str">
        <f>IFERROR(VLOOKUP(C9,'Catálogo Productos'!$B$3:$E$200,2,0),"")</f>
        <v/>
      </c>
      <c r="E9" s="54" t="str">
        <f>IFERROR(VLOOKUP(C9,'Catálogo Productos'!$B$3:$E$200,3,0),"")</f>
        <v/>
      </c>
      <c r="F9" s="55" t="str">
        <f>IFERROR(VLOOKUP(C9,'Catálogo Productos'!$B$3:$E$200,4,0),"")</f>
        <v/>
      </c>
      <c r="G9" s="56" t="str">
        <f>IF(F9="","",IF(I9="SÍ",F9*'Configuración'!$C$5,0))</f>
        <v/>
      </c>
      <c r="H9" s="56" t="s">
        <v>88</v>
      </c>
      <c r="I9" s="61" t="s">
        <v>88</v>
      </c>
      <c r="J9" s="18" t="str">
        <f>IF(F9="","",IF(H9="SÍ",'Configuración'!$C$6,0))</f>
        <v/>
      </c>
      <c r="K9" s="56" t="str">
        <f t="shared" si="1"/>
        <v/>
      </c>
      <c r="L9" s="56" t="str">
        <f t="shared" si="2"/>
        <v/>
      </c>
      <c r="M9" s="57" t="str">
        <f t="shared" si="3"/>
        <v/>
      </c>
      <c r="N9" s="46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15.0" customHeight="1">
      <c r="A10" s="47">
        <v>6.0</v>
      </c>
      <c r="B10" s="52"/>
      <c r="C10" s="29"/>
      <c r="D10" s="53" t="str">
        <f>IFERROR(VLOOKUP(C10,'Catálogo Productos'!$B$3:$E$200,2,0),"")</f>
        <v/>
      </c>
      <c r="E10" s="54" t="str">
        <f>IFERROR(VLOOKUP(C10,'Catálogo Productos'!$B$3:$E$200,3,0),"")</f>
        <v/>
      </c>
      <c r="F10" s="55" t="str">
        <f>IFERROR(VLOOKUP(C10,'Catálogo Productos'!$B$3:$E$200,4,0),"")</f>
        <v/>
      </c>
      <c r="G10" s="58" t="str">
        <f>IF(F10="","",IF(I10="SÍ",F10*'Configuración'!$C$5,0))</f>
        <v/>
      </c>
      <c r="H10" s="58" t="s">
        <v>88</v>
      </c>
      <c r="I10" s="61" t="s">
        <v>88</v>
      </c>
      <c r="J10" s="18" t="str">
        <f>IF(F10="","",IF(H10="SÍ",'Configuración'!$C$6,0))</f>
        <v/>
      </c>
      <c r="K10" s="58" t="str">
        <f t="shared" si="1"/>
        <v/>
      </c>
      <c r="L10" s="58" t="str">
        <f t="shared" si="2"/>
        <v/>
      </c>
      <c r="M10" s="59" t="str">
        <f t="shared" si="3"/>
        <v/>
      </c>
      <c r="N10" s="4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15.0" customHeight="1">
      <c r="A11" s="35">
        <v>7.0</v>
      </c>
      <c r="B11" s="52"/>
      <c r="C11" s="29"/>
      <c r="D11" s="53" t="str">
        <f>IFERROR(VLOOKUP(C11,'Catálogo Productos'!$B$3:$E$200,2,0),"")</f>
        <v/>
      </c>
      <c r="E11" s="54" t="str">
        <f>IFERROR(VLOOKUP(C11,'Catálogo Productos'!$B$3:$E$200,3,0),"")</f>
        <v/>
      </c>
      <c r="F11" s="55" t="str">
        <f>IFERROR(VLOOKUP(C11,'Catálogo Productos'!$B$3:$E$200,4,0),"")</f>
        <v/>
      </c>
      <c r="G11" s="56" t="str">
        <f>IF(F11="","",IF(I11="SÍ",F11*'Configuración'!$C$5,0))</f>
        <v/>
      </c>
      <c r="H11" s="56" t="s">
        <v>88</v>
      </c>
      <c r="I11" s="61" t="s">
        <v>88</v>
      </c>
      <c r="J11" s="18" t="str">
        <f>IF(F11="","",IF(H11="SÍ",'Configuración'!$C$6,0))</f>
        <v/>
      </c>
      <c r="K11" s="56" t="str">
        <f t="shared" si="1"/>
        <v/>
      </c>
      <c r="L11" s="56" t="str">
        <f t="shared" si="2"/>
        <v/>
      </c>
      <c r="M11" s="57" t="str">
        <f t="shared" si="3"/>
        <v/>
      </c>
      <c r="N11" s="46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15.0" customHeight="1">
      <c r="A12" s="47">
        <v>8.0</v>
      </c>
      <c r="B12" s="52"/>
      <c r="C12" s="29"/>
      <c r="D12" s="53" t="str">
        <f>IFERROR(VLOOKUP(C12,'Catálogo Productos'!$B$3:$E$200,2,0),"")</f>
        <v/>
      </c>
      <c r="E12" s="54" t="str">
        <f>IFERROR(VLOOKUP(C12,'Catálogo Productos'!$B$3:$E$200,3,0),"")</f>
        <v/>
      </c>
      <c r="F12" s="55" t="str">
        <f>IFERROR(VLOOKUP(C12,'Catálogo Productos'!$B$3:$E$200,4,0),"")</f>
        <v/>
      </c>
      <c r="G12" s="58" t="str">
        <f>IF(F12="","",IF(I12="SÍ",F12*'Configuración'!$C$5,0))</f>
        <v/>
      </c>
      <c r="H12" s="58" t="s">
        <v>88</v>
      </c>
      <c r="I12" s="61" t="s">
        <v>88</v>
      </c>
      <c r="J12" s="18" t="str">
        <f>IF(F12="","",IF(H12="SÍ",'Configuración'!$C$6,0))</f>
        <v/>
      </c>
      <c r="K12" s="58" t="str">
        <f t="shared" si="1"/>
        <v/>
      </c>
      <c r="L12" s="58" t="str">
        <f t="shared" si="2"/>
        <v/>
      </c>
      <c r="M12" s="59" t="str">
        <f t="shared" si="3"/>
        <v/>
      </c>
      <c r="N12" s="46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15.0" customHeight="1">
      <c r="A13" s="35">
        <v>9.0</v>
      </c>
      <c r="B13" s="52"/>
      <c r="C13" s="29"/>
      <c r="D13" s="53" t="str">
        <f>IFERROR(VLOOKUP(C13,'Catálogo Productos'!$B$3:$E$200,2,0),"")</f>
        <v/>
      </c>
      <c r="E13" s="54" t="str">
        <f>IFERROR(VLOOKUP(C13,'Catálogo Productos'!$B$3:$E$200,3,0),"")</f>
        <v/>
      </c>
      <c r="F13" s="55" t="str">
        <f>IFERROR(VLOOKUP(C13,'Catálogo Productos'!$B$3:$E$200,4,0),"")</f>
        <v/>
      </c>
      <c r="G13" s="56" t="str">
        <f>IF(F13="","",IF(I13="SÍ",F13*'Configuración'!$C$5,0))</f>
        <v/>
      </c>
      <c r="H13" s="56" t="s">
        <v>88</v>
      </c>
      <c r="I13" s="61" t="s">
        <v>88</v>
      </c>
      <c r="J13" s="18" t="str">
        <f>IF(F13="","",IF(H13="SÍ",'Configuración'!$C$6,0))</f>
        <v/>
      </c>
      <c r="K13" s="56" t="str">
        <f t="shared" si="1"/>
        <v/>
      </c>
      <c r="L13" s="56" t="str">
        <f t="shared" si="2"/>
        <v/>
      </c>
      <c r="M13" s="57" t="str">
        <f t="shared" si="3"/>
        <v/>
      </c>
      <c r="N13" s="46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ht="15.0" customHeight="1">
      <c r="A14" s="47">
        <v>10.0</v>
      </c>
      <c r="B14" s="52"/>
      <c r="C14" s="29"/>
      <c r="D14" s="53" t="str">
        <f>IFERROR(VLOOKUP(C14,'Catálogo Productos'!$B$3:$E$200,2,0),"")</f>
        <v/>
      </c>
      <c r="E14" s="54" t="str">
        <f>IFERROR(VLOOKUP(C14,'Catálogo Productos'!$B$3:$E$200,3,0),"")</f>
        <v/>
      </c>
      <c r="F14" s="55" t="str">
        <f>IFERROR(VLOOKUP(C14,'Catálogo Productos'!$B$3:$E$200,4,0),"")</f>
        <v/>
      </c>
      <c r="G14" s="58" t="str">
        <f>IF(F14="","",IF(I14="SÍ",F14*'Configuración'!$C$5,0))</f>
        <v/>
      </c>
      <c r="H14" s="58" t="s">
        <v>88</v>
      </c>
      <c r="I14" s="61" t="s">
        <v>88</v>
      </c>
      <c r="J14" s="18" t="str">
        <f>IF(F14="","",IF(H14="SÍ",'Configuración'!$C$6,0))</f>
        <v/>
      </c>
      <c r="K14" s="58" t="str">
        <f t="shared" si="1"/>
        <v/>
      </c>
      <c r="L14" s="58" t="str">
        <f t="shared" si="2"/>
        <v/>
      </c>
      <c r="M14" s="59" t="str">
        <f t="shared" si="3"/>
        <v/>
      </c>
      <c r="N14" s="46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15.0" customHeight="1">
      <c r="A15" s="35">
        <v>11.0</v>
      </c>
      <c r="B15" s="52"/>
      <c r="C15" s="29"/>
      <c r="D15" s="53" t="str">
        <f>IFERROR(VLOOKUP(C15,'Catálogo Productos'!$B$3:$E$200,2,0),"")</f>
        <v/>
      </c>
      <c r="E15" s="54" t="str">
        <f>IFERROR(VLOOKUP(C15,'Catálogo Productos'!$B$3:$E$200,3,0),"")</f>
        <v/>
      </c>
      <c r="F15" s="55" t="str">
        <f>IFERROR(VLOOKUP(C15,'Catálogo Productos'!$B$3:$E$200,4,0),"")</f>
        <v/>
      </c>
      <c r="G15" s="56" t="str">
        <f>IF(F15="","",IF(I15="SÍ",F15*'Configuración'!$C$5,0))</f>
        <v/>
      </c>
      <c r="H15" s="56" t="s">
        <v>88</v>
      </c>
      <c r="I15" s="61" t="s">
        <v>88</v>
      </c>
      <c r="J15" s="18" t="str">
        <f>IF(F15="","",IF(H15="SÍ",'Configuración'!$C$6,0))</f>
        <v/>
      </c>
      <c r="K15" s="56" t="str">
        <f t="shared" si="1"/>
        <v/>
      </c>
      <c r="L15" s="56" t="str">
        <f t="shared" si="2"/>
        <v/>
      </c>
      <c r="M15" s="57" t="str">
        <f t="shared" si="3"/>
        <v/>
      </c>
      <c r="N15" s="46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ht="15.0" customHeight="1">
      <c r="A16" s="47">
        <v>12.0</v>
      </c>
      <c r="B16" s="52"/>
      <c r="C16" s="29"/>
      <c r="D16" s="53" t="str">
        <f>IFERROR(VLOOKUP(C16,'Catálogo Productos'!$B$3:$E$200,2,0),"")</f>
        <v/>
      </c>
      <c r="E16" s="54" t="str">
        <f>IFERROR(VLOOKUP(C16,'Catálogo Productos'!$B$3:$E$200,3,0),"")</f>
        <v/>
      </c>
      <c r="F16" s="55" t="str">
        <f>IFERROR(VLOOKUP(C16,'Catálogo Productos'!$B$3:$E$200,4,0),"")</f>
        <v/>
      </c>
      <c r="G16" s="58" t="str">
        <f>IF(F16="","",IF(I16="SÍ",F16*'Configuración'!$C$5,0))</f>
        <v/>
      </c>
      <c r="H16" s="58" t="s">
        <v>88</v>
      </c>
      <c r="I16" s="61" t="s">
        <v>88</v>
      </c>
      <c r="J16" s="18" t="str">
        <f>IF(F16="","",IF(H16="SÍ",'Configuración'!$C$6,0))</f>
        <v/>
      </c>
      <c r="K16" s="58" t="str">
        <f t="shared" si="1"/>
        <v/>
      </c>
      <c r="L16" s="58" t="str">
        <f t="shared" si="2"/>
        <v/>
      </c>
      <c r="M16" s="59" t="str">
        <f t="shared" si="3"/>
        <v/>
      </c>
      <c r="N16" s="46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ht="15.0" customHeight="1">
      <c r="A17" s="35">
        <v>13.0</v>
      </c>
      <c r="B17" s="52"/>
      <c r="C17" s="29"/>
      <c r="D17" s="53" t="str">
        <f>IFERROR(VLOOKUP(C17,'Catálogo Productos'!$B$3:$E$200,2,0),"")</f>
        <v/>
      </c>
      <c r="E17" s="54" t="str">
        <f>IFERROR(VLOOKUP(C17,'Catálogo Productos'!$B$3:$E$200,3,0),"")</f>
        <v/>
      </c>
      <c r="F17" s="55" t="str">
        <f>IFERROR(VLOOKUP(C17,'Catálogo Productos'!$B$3:$E$200,4,0),"")</f>
        <v/>
      </c>
      <c r="G17" s="56" t="str">
        <f>IF(F17="","",IF(I17="SÍ",F17*'Configuración'!$C$5,0))</f>
        <v/>
      </c>
      <c r="H17" s="56" t="s">
        <v>88</v>
      </c>
      <c r="I17" s="61" t="s">
        <v>88</v>
      </c>
      <c r="J17" s="18" t="str">
        <f>IF(F17="","",IF(H17="SÍ",'Configuración'!$C$6,0))</f>
        <v/>
      </c>
      <c r="K17" s="56" t="str">
        <f t="shared" si="1"/>
        <v/>
      </c>
      <c r="L17" s="56" t="str">
        <f t="shared" si="2"/>
        <v/>
      </c>
      <c r="M17" s="57" t="str">
        <f t="shared" si="3"/>
        <v/>
      </c>
      <c r="N17" s="46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ht="15.0" customHeight="1">
      <c r="A18" s="47">
        <v>14.0</v>
      </c>
      <c r="B18" s="52"/>
      <c r="C18" s="29"/>
      <c r="D18" s="53" t="str">
        <f>IFERROR(VLOOKUP(C18,'Catálogo Productos'!$B$3:$E$200,2,0),"")</f>
        <v/>
      </c>
      <c r="E18" s="54" t="str">
        <f>IFERROR(VLOOKUP(C18,'Catálogo Productos'!$B$3:$E$200,3,0),"")</f>
        <v/>
      </c>
      <c r="F18" s="55" t="str">
        <f>IFERROR(VLOOKUP(C18,'Catálogo Productos'!$B$3:$E$200,4,0),"")</f>
        <v/>
      </c>
      <c r="G18" s="58" t="str">
        <f>IF(F18="","",IF(I18="SÍ",F18*'Configuración'!$C$5,0))</f>
        <v/>
      </c>
      <c r="H18" s="58" t="s">
        <v>88</v>
      </c>
      <c r="I18" s="61" t="s">
        <v>88</v>
      </c>
      <c r="J18" s="18" t="str">
        <f>IF(F18="","",IF(H18="SÍ",'Configuración'!$C$6,0))</f>
        <v/>
      </c>
      <c r="K18" s="58" t="str">
        <f t="shared" si="1"/>
        <v/>
      </c>
      <c r="L18" s="58" t="str">
        <f t="shared" si="2"/>
        <v/>
      </c>
      <c r="M18" s="59" t="str">
        <f t="shared" si="3"/>
        <v/>
      </c>
      <c r="N18" s="46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t="15.0" customHeight="1">
      <c r="A19" s="35">
        <v>15.0</v>
      </c>
      <c r="B19" s="52"/>
      <c r="C19" s="29"/>
      <c r="D19" s="53" t="str">
        <f>IFERROR(VLOOKUP(C19,'Catálogo Productos'!$B$3:$E$200,2,0),"")</f>
        <v/>
      </c>
      <c r="E19" s="54" t="str">
        <f>IFERROR(VLOOKUP(C19,'Catálogo Productos'!$B$3:$E$200,3,0),"")</f>
        <v/>
      </c>
      <c r="F19" s="55" t="str">
        <f>IFERROR(VLOOKUP(C19,'Catálogo Productos'!$B$3:$E$200,4,0),"")</f>
        <v/>
      </c>
      <c r="G19" s="56" t="str">
        <f>IF(F19="","",IF(I19="SÍ",F19*'Configuración'!$C$5,0))</f>
        <v/>
      </c>
      <c r="H19" s="56" t="s">
        <v>88</v>
      </c>
      <c r="I19" s="61" t="s">
        <v>88</v>
      </c>
      <c r="J19" s="18" t="str">
        <f>IF(F19="","",IF(H19="SÍ",'Configuración'!$C$6,0))</f>
        <v/>
      </c>
      <c r="K19" s="56" t="str">
        <f t="shared" si="1"/>
        <v/>
      </c>
      <c r="L19" s="56" t="str">
        <f t="shared" si="2"/>
        <v/>
      </c>
      <c r="M19" s="57" t="str">
        <f t="shared" si="3"/>
        <v/>
      </c>
      <c r="N19" s="46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ht="15.0" customHeight="1">
      <c r="A20" s="47">
        <v>16.0</v>
      </c>
      <c r="B20" s="52"/>
      <c r="C20" s="29"/>
      <c r="D20" s="53" t="str">
        <f>IFERROR(VLOOKUP(C20,'Catálogo Productos'!$B$3:$E$200,2,0),"")</f>
        <v/>
      </c>
      <c r="E20" s="54" t="str">
        <f>IFERROR(VLOOKUP(C20,'Catálogo Productos'!$B$3:$E$200,3,0),"")</f>
        <v/>
      </c>
      <c r="F20" s="55" t="str">
        <f>IFERROR(VLOOKUP(C20,'Catálogo Productos'!$B$3:$E$200,4,0),"")</f>
        <v/>
      </c>
      <c r="G20" s="58" t="str">
        <f>IF(F20="","",IF(I20="SÍ",F20*'Configuración'!$C$5,0))</f>
        <v/>
      </c>
      <c r="H20" s="58" t="s">
        <v>88</v>
      </c>
      <c r="I20" s="61" t="s">
        <v>88</v>
      </c>
      <c r="J20" s="18" t="str">
        <f>IF(F20="","",IF(H20="SÍ",'Configuración'!$C$6,0))</f>
        <v/>
      </c>
      <c r="K20" s="58" t="str">
        <f t="shared" si="1"/>
        <v/>
      </c>
      <c r="L20" s="58" t="str">
        <f t="shared" si="2"/>
        <v/>
      </c>
      <c r="M20" s="59" t="str">
        <f t="shared" si="3"/>
        <v/>
      </c>
      <c r="N20" s="46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5.0" customHeight="1">
      <c r="A21" s="35">
        <v>17.0</v>
      </c>
      <c r="B21" s="52"/>
      <c r="C21" s="29"/>
      <c r="D21" s="53" t="str">
        <f>IFERROR(VLOOKUP(C21,'Catálogo Productos'!$B$3:$E$200,2,0),"")</f>
        <v/>
      </c>
      <c r="E21" s="54" t="str">
        <f>IFERROR(VLOOKUP(C21,'Catálogo Productos'!$B$3:$E$200,3,0),"")</f>
        <v/>
      </c>
      <c r="F21" s="55" t="str">
        <f>IFERROR(VLOOKUP(C21,'Catálogo Productos'!$B$3:$E$200,4,0),"")</f>
        <v/>
      </c>
      <c r="G21" s="56" t="str">
        <f>IF(F21="","",IF(I21="SÍ",F21*'Configuración'!$C$5,0))</f>
        <v/>
      </c>
      <c r="H21" s="56" t="s">
        <v>88</v>
      </c>
      <c r="I21" s="61" t="s">
        <v>88</v>
      </c>
      <c r="J21" s="18" t="str">
        <f>IF(F21="","",IF(H21="SÍ",'Configuración'!$C$6,0))</f>
        <v/>
      </c>
      <c r="K21" s="56" t="str">
        <f t="shared" si="1"/>
        <v/>
      </c>
      <c r="L21" s="56" t="str">
        <f t="shared" si="2"/>
        <v/>
      </c>
      <c r="M21" s="57" t="str">
        <f t="shared" si="3"/>
        <v/>
      </c>
      <c r="N21" s="46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5.0" customHeight="1">
      <c r="A22" s="47">
        <v>18.0</v>
      </c>
      <c r="B22" s="52"/>
      <c r="C22" s="29"/>
      <c r="D22" s="53" t="str">
        <f>IFERROR(VLOOKUP(C22,'Catálogo Productos'!$B$3:$E$200,2,0),"")</f>
        <v/>
      </c>
      <c r="E22" s="54" t="str">
        <f>IFERROR(VLOOKUP(C22,'Catálogo Productos'!$B$3:$E$200,3,0),"")</f>
        <v/>
      </c>
      <c r="F22" s="55" t="str">
        <f>IFERROR(VLOOKUP(C22,'Catálogo Productos'!$B$3:$E$200,4,0),"")</f>
        <v/>
      </c>
      <c r="G22" s="58" t="str">
        <f>IF(F22="","",IF(I22="SÍ",F22*'Configuración'!$C$5,0))</f>
        <v/>
      </c>
      <c r="H22" s="58" t="s">
        <v>88</v>
      </c>
      <c r="I22" s="61" t="s">
        <v>88</v>
      </c>
      <c r="J22" s="18" t="str">
        <f>IF(F22="","",IF(H22="SÍ",'Configuración'!$C$6,0))</f>
        <v/>
      </c>
      <c r="K22" s="58" t="str">
        <f t="shared" si="1"/>
        <v/>
      </c>
      <c r="L22" s="58" t="str">
        <f t="shared" si="2"/>
        <v/>
      </c>
      <c r="M22" s="59" t="str">
        <f t="shared" si="3"/>
        <v/>
      </c>
      <c r="N22" s="46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5.0" customHeight="1">
      <c r="A23" s="35">
        <v>19.0</v>
      </c>
      <c r="B23" s="52"/>
      <c r="C23" s="29"/>
      <c r="D23" s="53" t="str">
        <f>IFERROR(VLOOKUP(C23,'Catálogo Productos'!$B$3:$E$200,2,0),"")</f>
        <v/>
      </c>
      <c r="E23" s="54" t="str">
        <f>IFERROR(VLOOKUP(C23,'Catálogo Productos'!$B$3:$E$200,3,0),"")</f>
        <v/>
      </c>
      <c r="F23" s="55" t="str">
        <f>IFERROR(VLOOKUP(C23,'Catálogo Productos'!$B$3:$E$200,4,0),"")</f>
        <v/>
      </c>
      <c r="G23" s="56" t="str">
        <f>IF(F23="","",IF(I23="SÍ",F23*'Configuración'!$C$5,0))</f>
        <v/>
      </c>
      <c r="H23" s="56" t="s">
        <v>88</v>
      </c>
      <c r="I23" s="61" t="s">
        <v>88</v>
      </c>
      <c r="J23" s="18" t="str">
        <f>IF(F23="","",IF(H23="SÍ",'Configuración'!$C$6,0))</f>
        <v/>
      </c>
      <c r="K23" s="56" t="str">
        <f t="shared" si="1"/>
        <v/>
      </c>
      <c r="L23" s="56" t="str">
        <f t="shared" si="2"/>
        <v/>
      </c>
      <c r="M23" s="57" t="str">
        <f t="shared" si="3"/>
        <v/>
      </c>
      <c r="N23" s="46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5.0" customHeight="1">
      <c r="A24" s="47">
        <v>20.0</v>
      </c>
      <c r="B24" s="52"/>
      <c r="C24" s="29"/>
      <c r="D24" s="53" t="str">
        <f>IFERROR(VLOOKUP(C24,'Catálogo Productos'!$B$3:$E$200,2,0),"")</f>
        <v/>
      </c>
      <c r="E24" s="54" t="str">
        <f>IFERROR(VLOOKUP(C24,'Catálogo Productos'!$B$3:$E$200,3,0),"")</f>
        <v/>
      </c>
      <c r="F24" s="55" t="str">
        <f>IFERROR(VLOOKUP(C24,'Catálogo Productos'!$B$3:$E$200,4,0),"")</f>
        <v/>
      </c>
      <c r="G24" s="58" t="str">
        <f>IF(F24="","",IF(I24="SÍ",F24*'Configuración'!$C$5,0))</f>
        <v/>
      </c>
      <c r="H24" s="58" t="s">
        <v>88</v>
      </c>
      <c r="I24" s="61" t="s">
        <v>88</v>
      </c>
      <c r="J24" s="18" t="str">
        <f>IF(F24="","",IF(H24="SÍ",'Configuración'!$C$6,0))</f>
        <v/>
      </c>
      <c r="K24" s="58" t="str">
        <f t="shared" si="1"/>
        <v/>
      </c>
      <c r="L24" s="58" t="str">
        <f t="shared" si="2"/>
        <v/>
      </c>
      <c r="M24" s="59" t="str">
        <f t="shared" si="3"/>
        <v/>
      </c>
      <c r="N24" s="46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5.0" customHeight="1">
      <c r="A25" s="35">
        <v>21.0</v>
      </c>
      <c r="B25" s="52"/>
      <c r="C25" s="29"/>
      <c r="D25" s="53" t="str">
        <f>IFERROR(VLOOKUP(C25,'Catálogo Productos'!$B$3:$E$200,2,0),"")</f>
        <v/>
      </c>
      <c r="E25" s="54" t="str">
        <f>IFERROR(VLOOKUP(C25,'Catálogo Productos'!$B$3:$E$200,3,0),"")</f>
        <v/>
      </c>
      <c r="F25" s="55" t="str">
        <f>IFERROR(VLOOKUP(C25,'Catálogo Productos'!$B$3:$E$200,4,0),"")</f>
        <v/>
      </c>
      <c r="G25" s="56" t="str">
        <f>IF(F25="","",IF(I25="SÍ",F25*'Configuración'!$C$5,0))</f>
        <v/>
      </c>
      <c r="H25" s="56" t="s">
        <v>88</v>
      </c>
      <c r="I25" s="61" t="s">
        <v>88</v>
      </c>
      <c r="J25" s="18" t="str">
        <f>IF(F25="","",IF(H25="SÍ",'Configuración'!$C$6,0))</f>
        <v/>
      </c>
      <c r="K25" s="56" t="str">
        <f t="shared" si="1"/>
        <v/>
      </c>
      <c r="L25" s="56" t="str">
        <f t="shared" si="2"/>
        <v/>
      </c>
      <c r="M25" s="57" t="str">
        <f t="shared" si="3"/>
        <v/>
      </c>
      <c r="N25" s="46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5.0" customHeight="1">
      <c r="A26" s="47">
        <v>22.0</v>
      </c>
      <c r="B26" s="52"/>
      <c r="C26" s="29"/>
      <c r="D26" s="53" t="str">
        <f>IFERROR(VLOOKUP(C26,'Catálogo Productos'!$B$3:$E$200,2,0),"")</f>
        <v/>
      </c>
      <c r="E26" s="54" t="str">
        <f>IFERROR(VLOOKUP(C26,'Catálogo Productos'!$B$3:$E$200,3,0),"")</f>
        <v/>
      </c>
      <c r="F26" s="55" t="str">
        <f>IFERROR(VLOOKUP(C26,'Catálogo Productos'!$B$3:$E$200,4,0),"")</f>
        <v/>
      </c>
      <c r="G26" s="58" t="str">
        <f>IF(F26="","",IF(I26="SÍ",F26*'Configuración'!$C$5,0))</f>
        <v/>
      </c>
      <c r="H26" s="58" t="s">
        <v>88</v>
      </c>
      <c r="I26" s="61" t="s">
        <v>88</v>
      </c>
      <c r="J26" s="18" t="str">
        <f>IF(F26="","",IF(H26="SÍ",'Configuración'!$C$6,0))</f>
        <v/>
      </c>
      <c r="K26" s="58" t="str">
        <f t="shared" si="1"/>
        <v/>
      </c>
      <c r="L26" s="58" t="str">
        <f t="shared" si="2"/>
        <v/>
      </c>
      <c r="M26" s="59" t="str">
        <f t="shared" si="3"/>
        <v/>
      </c>
      <c r="N26" s="46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5.0" customHeight="1">
      <c r="A27" s="35">
        <v>23.0</v>
      </c>
      <c r="B27" s="52"/>
      <c r="C27" s="29"/>
      <c r="D27" s="53" t="str">
        <f>IFERROR(VLOOKUP(C27,'Catálogo Productos'!$B$3:$E$200,2,0),"")</f>
        <v/>
      </c>
      <c r="E27" s="54" t="str">
        <f>IFERROR(VLOOKUP(C27,'Catálogo Productos'!$B$3:$E$200,3,0),"")</f>
        <v/>
      </c>
      <c r="F27" s="55" t="str">
        <f>IFERROR(VLOOKUP(C27,'Catálogo Productos'!$B$3:$E$200,4,0),"")</f>
        <v/>
      </c>
      <c r="G27" s="56" t="str">
        <f>IF(F27="","",IF(I27="SÍ",F27*'Configuración'!$C$5,0))</f>
        <v/>
      </c>
      <c r="H27" s="56" t="s">
        <v>88</v>
      </c>
      <c r="I27" s="61" t="s">
        <v>88</v>
      </c>
      <c r="J27" s="18" t="str">
        <f>IF(F27="","",IF(H27="SÍ",'Configuración'!$C$6,0))</f>
        <v/>
      </c>
      <c r="K27" s="56" t="str">
        <f t="shared" si="1"/>
        <v/>
      </c>
      <c r="L27" s="56" t="str">
        <f t="shared" si="2"/>
        <v/>
      </c>
      <c r="M27" s="57" t="str">
        <f t="shared" si="3"/>
        <v/>
      </c>
      <c r="N27" s="46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5.0" customHeight="1">
      <c r="A28" s="47">
        <v>24.0</v>
      </c>
      <c r="B28" s="52"/>
      <c r="C28" s="29"/>
      <c r="D28" s="53" t="str">
        <f>IFERROR(VLOOKUP(C28,'Catálogo Productos'!$B$3:$E$200,2,0),"")</f>
        <v/>
      </c>
      <c r="E28" s="54" t="str">
        <f>IFERROR(VLOOKUP(C28,'Catálogo Productos'!$B$3:$E$200,3,0),"")</f>
        <v/>
      </c>
      <c r="F28" s="55" t="str">
        <f>IFERROR(VLOOKUP(C28,'Catálogo Productos'!$B$3:$E$200,4,0),"")</f>
        <v/>
      </c>
      <c r="G28" s="58" t="str">
        <f>IF(F28="","",IF(I28="SÍ",F28*'Configuración'!$C$5,0))</f>
        <v/>
      </c>
      <c r="H28" s="58" t="s">
        <v>88</v>
      </c>
      <c r="I28" s="61" t="s">
        <v>88</v>
      </c>
      <c r="J28" s="18" t="str">
        <f>IF(F28="","",IF(H28="SÍ",'Configuración'!$C$6,0))</f>
        <v/>
      </c>
      <c r="K28" s="58" t="str">
        <f t="shared" si="1"/>
        <v/>
      </c>
      <c r="L28" s="58" t="str">
        <f t="shared" si="2"/>
        <v/>
      </c>
      <c r="M28" s="59" t="str">
        <f t="shared" si="3"/>
        <v/>
      </c>
      <c r="N28" s="46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5.0" customHeight="1">
      <c r="A29" s="35">
        <v>25.0</v>
      </c>
      <c r="B29" s="52"/>
      <c r="C29" s="29"/>
      <c r="D29" s="53" t="str">
        <f>IFERROR(VLOOKUP(C29,'Catálogo Productos'!$B$3:$E$200,2,0),"")</f>
        <v/>
      </c>
      <c r="E29" s="54" t="str">
        <f>IFERROR(VLOOKUP(C29,'Catálogo Productos'!$B$3:$E$200,3,0),"")</f>
        <v/>
      </c>
      <c r="F29" s="55" t="str">
        <f>IFERROR(VLOOKUP(C29,'Catálogo Productos'!$B$3:$E$200,4,0),"")</f>
        <v/>
      </c>
      <c r="G29" s="56" t="str">
        <f>IF(F29="","",IF(I29="SÍ",F29*'Configuración'!$C$5,0))</f>
        <v/>
      </c>
      <c r="H29" s="56" t="s">
        <v>88</v>
      </c>
      <c r="I29" s="61" t="s">
        <v>88</v>
      </c>
      <c r="J29" s="18" t="str">
        <f>IF(F29="","",IF(H29="SÍ",'Configuración'!$C$6,0))</f>
        <v/>
      </c>
      <c r="K29" s="56" t="str">
        <f t="shared" si="1"/>
        <v/>
      </c>
      <c r="L29" s="56" t="str">
        <f t="shared" si="2"/>
        <v/>
      </c>
      <c r="M29" s="57" t="str">
        <f t="shared" si="3"/>
        <v/>
      </c>
      <c r="N29" s="46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5.0" customHeight="1">
      <c r="A30" s="47">
        <v>26.0</v>
      </c>
      <c r="B30" s="52"/>
      <c r="C30" s="29"/>
      <c r="D30" s="53" t="str">
        <f>IFERROR(VLOOKUP(C30,'Catálogo Productos'!$B$3:$E$200,2,0),"")</f>
        <v/>
      </c>
      <c r="E30" s="54" t="str">
        <f>IFERROR(VLOOKUP(C30,'Catálogo Productos'!$B$3:$E$200,3,0),"")</f>
        <v/>
      </c>
      <c r="F30" s="55" t="str">
        <f>IFERROR(VLOOKUP(C30,'Catálogo Productos'!$B$3:$E$200,4,0),"")</f>
        <v/>
      </c>
      <c r="G30" s="58" t="str">
        <f>IF(F30="","",IF(I30="SÍ",F30*'Configuración'!$C$5,0))</f>
        <v/>
      </c>
      <c r="H30" s="58" t="s">
        <v>88</v>
      </c>
      <c r="I30" s="61" t="s">
        <v>88</v>
      </c>
      <c r="J30" s="18" t="str">
        <f>IF(F30="","",IF(H30="SÍ",'Configuración'!$C$6,0))</f>
        <v/>
      </c>
      <c r="K30" s="58" t="str">
        <f t="shared" si="1"/>
        <v/>
      </c>
      <c r="L30" s="58" t="str">
        <f t="shared" si="2"/>
        <v/>
      </c>
      <c r="M30" s="59" t="str">
        <f t="shared" si="3"/>
        <v/>
      </c>
      <c r="N30" s="46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5.0" customHeight="1">
      <c r="A31" s="35">
        <v>27.0</v>
      </c>
      <c r="B31" s="52"/>
      <c r="C31" s="29"/>
      <c r="D31" s="53" t="str">
        <f>IFERROR(VLOOKUP(C31,'Catálogo Productos'!$B$3:$E$200,2,0),"")</f>
        <v/>
      </c>
      <c r="E31" s="54" t="str">
        <f>IFERROR(VLOOKUP(C31,'Catálogo Productos'!$B$3:$E$200,3,0),"")</f>
        <v/>
      </c>
      <c r="F31" s="55" t="str">
        <f>IFERROR(VLOOKUP(C31,'Catálogo Productos'!$B$3:$E$200,4,0),"")</f>
        <v/>
      </c>
      <c r="G31" s="56" t="str">
        <f>IF(F31="","",IF(I31="SÍ",F31*'Configuración'!$C$5,0))</f>
        <v/>
      </c>
      <c r="H31" s="56" t="s">
        <v>88</v>
      </c>
      <c r="I31" s="61" t="s">
        <v>88</v>
      </c>
      <c r="J31" s="18" t="str">
        <f>IF(F31="","",IF(H31="SÍ",'Configuración'!$C$6,0))</f>
        <v/>
      </c>
      <c r="K31" s="56" t="str">
        <f t="shared" si="1"/>
        <v/>
      </c>
      <c r="L31" s="56" t="str">
        <f t="shared" si="2"/>
        <v/>
      </c>
      <c r="M31" s="57" t="str">
        <f t="shared" si="3"/>
        <v/>
      </c>
      <c r="N31" s="46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5.0" customHeight="1">
      <c r="A32" s="47">
        <v>28.0</v>
      </c>
      <c r="B32" s="52"/>
      <c r="C32" s="29"/>
      <c r="D32" s="53" t="str">
        <f>IFERROR(VLOOKUP(C32,'Catálogo Productos'!$B$3:$E$200,2,0),"")</f>
        <v/>
      </c>
      <c r="E32" s="54" t="str">
        <f>IFERROR(VLOOKUP(C32,'Catálogo Productos'!$B$3:$E$200,3,0),"")</f>
        <v/>
      </c>
      <c r="F32" s="55" t="str">
        <f>IFERROR(VLOOKUP(C32,'Catálogo Productos'!$B$3:$E$200,4,0),"")</f>
        <v/>
      </c>
      <c r="G32" s="58" t="str">
        <f>IF(F32="","",IF(I32="SÍ",F32*'Configuración'!$C$5,0))</f>
        <v/>
      </c>
      <c r="H32" s="58" t="s">
        <v>88</v>
      </c>
      <c r="I32" s="61" t="s">
        <v>88</v>
      </c>
      <c r="J32" s="18" t="str">
        <f>IF(F32="","",IF(H32="SÍ",'Configuración'!$C$6,0))</f>
        <v/>
      </c>
      <c r="K32" s="58" t="str">
        <f t="shared" si="1"/>
        <v/>
      </c>
      <c r="L32" s="58" t="str">
        <f t="shared" si="2"/>
        <v/>
      </c>
      <c r="M32" s="59" t="str">
        <f t="shared" si="3"/>
        <v/>
      </c>
      <c r="N32" s="46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5.0" customHeight="1">
      <c r="A33" s="35">
        <v>29.0</v>
      </c>
      <c r="B33" s="52"/>
      <c r="C33" s="29"/>
      <c r="D33" s="53" t="str">
        <f>IFERROR(VLOOKUP(C33,'Catálogo Productos'!$B$3:$E$200,2,0),"")</f>
        <v/>
      </c>
      <c r="E33" s="54" t="str">
        <f>IFERROR(VLOOKUP(C33,'Catálogo Productos'!$B$3:$E$200,3,0),"")</f>
        <v/>
      </c>
      <c r="F33" s="55" t="str">
        <f>IFERROR(VLOOKUP(C33,'Catálogo Productos'!$B$3:$E$200,4,0),"")</f>
        <v/>
      </c>
      <c r="G33" s="56" t="str">
        <f>IF(F33="","",IF(I33="SÍ",F33*'Configuración'!$C$5,0))</f>
        <v/>
      </c>
      <c r="H33" s="56" t="s">
        <v>88</v>
      </c>
      <c r="I33" s="61" t="s">
        <v>88</v>
      </c>
      <c r="J33" s="18" t="str">
        <f>IF(F33="","",IF(H33="SÍ",'Configuración'!$C$6,0))</f>
        <v/>
      </c>
      <c r="K33" s="56" t="str">
        <f t="shared" si="1"/>
        <v/>
      </c>
      <c r="L33" s="56" t="str">
        <f t="shared" si="2"/>
        <v/>
      </c>
      <c r="M33" s="57" t="str">
        <f t="shared" si="3"/>
        <v/>
      </c>
      <c r="N33" s="46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5.0" customHeight="1">
      <c r="A34" s="47">
        <v>30.0</v>
      </c>
      <c r="B34" s="52"/>
      <c r="C34" s="29"/>
      <c r="D34" s="53" t="str">
        <f>IFERROR(VLOOKUP(C34,'Catálogo Productos'!$B$3:$E$200,2,0),"")</f>
        <v/>
      </c>
      <c r="E34" s="54" t="str">
        <f>IFERROR(VLOOKUP(C34,'Catálogo Productos'!$B$3:$E$200,3,0),"")</f>
        <v/>
      </c>
      <c r="F34" s="55" t="str">
        <f>IFERROR(VLOOKUP(C34,'Catálogo Productos'!$B$3:$E$200,4,0),"")</f>
        <v/>
      </c>
      <c r="G34" s="58" t="str">
        <f>IF(F34="","",IF(I34="SÍ",F34*'Configuración'!$C$5,0))</f>
        <v/>
      </c>
      <c r="H34" s="58" t="s">
        <v>88</v>
      </c>
      <c r="I34" s="61" t="s">
        <v>88</v>
      </c>
      <c r="J34" s="18" t="str">
        <f>IF(F34="","",IF(H34="SÍ",'Configuración'!$C$6,0))</f>
        <v/>
      </c>
      <c r="K34" s="58" t="str">
        <f t="shared" si="1"/>
        <v/>
      </c>
      <c r="L34" s="58" t="str">
        <f t="shared" si="2"/>
        <v/>
      </c>
      <c r="M34" s="59" t="str">
        <f t="shared" si="3"/>
        <v/>
      </c>
      <c r="N34" s="46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5.0" customHeight="1">
      <c r="A35" s="35">
        <v>31.0</v>
      </c>
      <c r="B35" s="52"/>
      <c r="C35" s="29"/>
      <c r="D35" s="53" t="str">
        <f>IFERROR(VLOOKUP(C35,'Catálogo Productos'!$B$3:$E$200,2,0),"")</f>
        <v/>
      </c>
      <c r="E35" s="54" t="str">
        <f>IFERROR(VLOOKUP(C35,'Catálogo Productos'!$B$3:$E$200,3,0),"")</f>
        <v/>
      </c>
      <c r="F35" s="55" t="str">
        <f>IFERROR(VLOOKUP(C35,'Catálogo Productos'!$B$3:$E$200,4,0),"")</f>
        <v/>
      </c>
      <c r="G35" s="56" t="str">
        <f>IF(F35="","",IF(I35="SÍ",F35*'Configuración'!$C$5,0))</f>
        <v/>
      </c>
      <c r="H35" s="56" t="s">
        <v>88</v>
      </c>
      <c r="I35" s="61" t="s">
        <v>88</v>
      </c>
      <c r="J35" s="18" t="str">
        <f>IF(F35="","",IF(H35="SÍ",'Configuración'!$C$6,0))</f>
        <v/>
      </c>
      <c r="K35" s="56" t="str">
        <f t="shared" si="1"/>
        <v/>
      </c>
      <c r="L35" s="56" t="str">
        <f t="shared" si="2"/>
        <v/>
      </c>
      <c r="M35" s="57" t="str">
        <f t="shared" si="3"/>
        <v/>
      </c>
      <c r="N35" s="46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5.0" customHeight="1">
      <c r="A36" s="47">
        <v>32.0</v>
      </c>
      <c r="B36" s="52"/>
      <c r="C36" s="29"/>
      <c r="D36" s="53" t="str">
        <f>IFERROR(VLOOKUP(C36,'Catálogo Productos'!$B$3:$E$200,2,0),"")</f>
        <v/>
      </c>
      <c r="E36" s="54" t="str">
        <f>IFERROR(VLOOKUP(C36,'Catálogo Productos'!$B$3:$E$200,3,0),"")</f>
        <v/>
      </c>
      <c r="F36" s="55" t="str">
        <f>IFERROR(VLOOKUP(C36,'Catálogo Productos'!$B$3:$E$200,4,0),"")</f>
        <v/>
      </c>
      <c r="G36" s="58" t="str">
        <f>IF(F36="","",IF(I36="SÍ",F36*'Configuración'!$C$5,0))</f>
        <v/>
      </c>
      <c r="H36" s="58" t="s">
        <v>88</v>
      </c>
      <c r="I36" s="61" t="s">
        <v>88</v>
      </c>
      <c r="J36" s="18" t="str">
        <f>IF(F36="","",IF(H36="SÍ",'Configuración'!$C$6,0))</f>
        <v/>
      </c>
      <c r="K36" s="58" t="str">
        <f t="shared" si="1"/>
        <v/>
      </c>
      <c r="L36" s="58" t="str">
        <f t="shared" si="2"/>
        <v/>
      </c>
      <c r="M36" s="59" t="str">
        <f t="shared" si="3"/>
        <v/>
      </c>
      <c r="N36" s="46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5.0" customHeight="1">
      <c r="A37" s="35">
        <v>33.0</v>
      </c>
      <c r="B37" s="52"/>
      <c r="C37" s="29"/>
      <c r="D37" s="53" t="str">
        <f>IFERROR(VLOOKUP(C37,'Catálogo Productos'!$B$3:$E$200,2,0),"")</f>
        <v/>
      </c>
      <c r="E37" s="54" t="str">
        <f>IFERROR(VLOOKUP(C37,'Catálogo Productos'!$B$3:$E$200,3,0),"")</f>
        <v/>
      </c>
      <c r="F37" s="55" t="str">
        <f>IFERROR(VLOOKUP(C37,'Catálogo Productos'!$B$3:$E$200,4,0),"")</f>
        <v/>
      </c>
      <c r="G37" s="56" t="str">
        <f>IF(F37="","",IF(I37="SÍ",F37*'Configuración'!$C$5,0))</f>
        <v/>
      </c>
      <c r="H37" s="56" t="s">
        <v>88</v>
      </c>
      <c r="I37" s="61" t="s">
        <v>88</v>
      </c>
      <c r="J37" s="18" t="str">
        <f>IF(F37="","",IF(H37="SÍ",'Configuración'!$C$6,0))</f>
        <v/>
      </c>
      <c r="K37" s="56" t="str">
        <f t="shared" si="1"/>
        <v/>
      </c>
      <c r="L37" s="56" t="str">
        <f t="shared" si="2"/>
        <v/>
      </c>
      <c r="M37" s="57" t="str">
        <f t="shared" si="3"/>
        <v/>
      </c>
      <c r="N37" s="46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5.0" customHeight="1">
      <c r="A38" s="47">
        <v>34.0</v>
      </c>
      <c r="B38" s="52"/>
      <c r="C38" s="29"/>
      <c r="D38" s="53" t="str">
        <f>IFERROR(VLOOKUP(C38,'Catálogo Productos'!$B$3:$E$200,2,0),"")</f>
        <v/>
      </c>
      <c r="E38" s="54" t="str">
        <f>IFERROR(VLOOKUP(C38,'Catálogo Productos'!$B$3:$E$200,3,0),"")</f>
        <v/>
      </c>
      <c r="F38" s="55" t="str">
        <f>IFERROR(VLOOKUP(C38,'Catálogo Productos'!$B$3:$E$200,4,0),"")</f>
        <v/>
      </c>
      <c r="G38" s="58" t="str">
        <f>IF(F38="","",IF(I38="SÍ",F38*'Configuración'!$C$5,0))</f>
        <v/>
      </c>
      <c r="H38" s="58" t="s">
        <v>88</v>
      </c>
      <c r="I38" s="61" t="s">
        <v>88</v>
      </c>
      <c r="J38" s="18" t="str">
        <f>IF(F38="","",IF(H38="SÍ",'Configuración'!$C$6,0))</f>
        <v/>
      </c>
      <c r="K38" s="58" t="str">
        <f t="shared" si="1"/>
        <v/>
      </c>
      <c r="L38" s="58" t="str">
        <f t="shared" si="2"/>
        <v/>
      </c>
      <c r="M38" s="59" t="str">
        <f t="shared" si="3"/>
        <v/>
      </c>
      <c r="N38" s="46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5.0" customHeight="1">
      <c r="A39" s="35">
        <v>35.0</v>
      </c>
      <c r="B39" s="52"/>
      <c r="C39" s="29"/>
      <c r="D39" s="53" t="str">
        <f>IFERROR(VLOOKUP(C39,'Catálogo Productos'!$B$3:$E$200,2,0),"")</f>
        <v/>
      </c>
      <c r="E39" s="54" t="str">
        <f>IFERROR(VLOOKUP(C39,'Catálogo Productos'!$B$3:$E$200,3,0),"")</f>
        <v/>
      </c>
      <c r="F39" s="55" t="str">
        <f>IFERROR(VLOOKUP(C39,'Catálogo Productos'!$B$3:$E$200,4,0),"")</f>
        <v/>
      </c>
      <c r="G39" s="56" t="str">
        <f>IF(F39="","",IF(I39="SÍ",F39*'Configuración'!$C$5,0))</f>
        <v/>
      </c>
      <c r="H39" s="56" t="s">
        <v>88</v>
      </c>
      <c r="I39" s="61" t="s">
        <v>88</v>
      </c>
      <c r="J39" s="18" t="str">
        <f>IF(F39="","",IF(H39="SÍ",'Configuración'!$C$6,0))</f>
        <v/>
      </c>
      <c r="K39" s="56" t="str">
        <f t="shared" si="1"/>
        <v/>
      </c>
      <c r="L39" s="56" t="str">
        <f t="shared" si="2"/>
        <v/>
      </c>
      <c r="M39" s="57" t="str">
        <f t="shared" si="3"/>
        <v/>
      </c>
      <c r="N39" s="46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5.0" customHeight="1">
      <c r="A40" s="47">
        <v>36.0</v>
      </c>
      <c r="B40" s="52"/>
      <c r="C40" s="29"/>
      <c r="D40" s="53" t="str">
        <f>IFERROR(VLOOKUP(C40,'Catálogo Productos'!$B$3:$E$200,2,0),"")</f>
        <v/>
      </c>
      <c r="E40" s="54" t="str">
        <f>IFERROR(VLOOKUP(C40,'Catálogo Productos'!$B$3:$E$200,3,0),"")</f>
        <v/>
      </c>
      <c r="F40" s="55" t="str">
        <f>IFERROR(VLOOKUP(C40,'Catálogo Productos'!$B$3:$E$200,4,0),"")</f>
        <v/>
      </c>
      <c r="G40" s="58" t="str">
        <f>IF(F40="","",IF(I40="SÍ",F40*'Configuración'!$C$5,0))</f>
        <v/>
      </c>
      <c r="H40" s="58" t="s">
        <v>88</v>
      </c>
      <c r="I40" s="61" t="s">
        <v>88</v>
      </c>
      <c r="J40" s="18" t="str">
        <f>IF(F40="","",IF(H40="SÍ",'Configuración'!$C$6,0))</f>
        <v/>
      </c>
      <c r="K40" s="58" t="str">
        <f t="shared" si="1"/>
        <v/>
      </c>
      <c r="L40" s="58" t="str">
        <f t="shared" si="2"/>
        <v/>
      </c>
      <c r="M40" s="59" t="str">
        <f t="shared" si="3"/>
        <v/>
      </c>
      <c r="N40" s="46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5.0" customHeight="1">
      <c r="A41" s="35">
        <v>37.0</v>
      </c>
      <c r="B41" s="52"/>
      <c r="C41" s="29"/>
      <c r="D41" s="53" t="str">
        <f>IFERROR(VLOOKUP(C41,'Catálogo Productos'!$B$3:$E$200,2,0),"")</f>
        <v/>
      </c>
      <c r="E41" s="54" t="str">
        <f>IFERROR(VLOOKUP(C41,'Catálogo Productos'!$B$3:$E$200,3,0),"")</f>
        <v/>
      </c>
      <c r="F41" s="55" t="str">
        <f>IFERROR(VLOOKUP(C41,'Catálogo Productos'!$B$3:$E$200,4,0),"")</f>
        <v/>
      </c>
      <c r="G41" s="56" t="str">
        <f>IF(F41="","",IF(I41="SÍ",F41*'Configuración'!$C$5,0))</f>
        <v/>
      </c>
      <c r="H41" s="56" t="s">
        <v>88</v>
      </c>
      <c r="I41" s="61" t="s">
        <v>88</v>
      </c>
      <c r="J41" s="18" t="str">
        <f>IF(F41="","",IF(H41="SÍ",'Configuración'!$C$6,0))</f>
        <v/>
      </c>
      <c r="K41" s="56" t="str">
        <f t="shared" si="1"/>
        <v/>
      </c>
      <c r="L41" s="56" t="str">
        <f t="shared" si="2"/>
        <v/>
      </c>
      <c r="M41" s="57" t="str">
        <f t="shared" si="3"/>
        <v/>
      </c>
      <c r="N41" s="46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5.0" customHeight="1">
      <c r="A42" s="47">
        <v>38.0</v>
      </c>
      <c r="B42" s="52"/>
      <c r="C42" s="29"/>
      <c r="D42" s="53" t="str">
        <f>IFERROR(VLOOKUP(C42,'Catálogo Productos'!$B$3:$E$200,2,0),"")</f>
        <v/>
      </c>
      <c r="E42" s="54" t="str">
        <f>IFERROR(VLOOKUP(C42,'Catálogo Productos'!$B$3:$E$200,3,0),"")</f>
        <v/>
      </c>
      <c r="F42" s="55" t="str">
        <f>IFERROR(VLOOKUP(C42,'Catálogo Productos'!$B$3:$E$200,4,0),"")</f>
        <v/>
      </c>
      <c r="G42" s="58" t="str">
        <f>IF(F42="","",IF(I42="SÍ",F42*'Configuración'!$C$5,0))</f>
        <v/>
      </c>
      <c r="H42" s="58" t="s">
        <v>88</v>
      </c>
      <c r="I42" s="61" t="s">
        <v>88</v>
      </c>
      <c r="J42" s="18" t="str">
        <f>IF(F42="","",IF(H42="SÍ",'Configuración'!$C$6,0))</f>
        <v/>
      </c>
      <c r="K42" s="58" t="str">
        <f t="shared" si="1"/>
        <v/>
      </c>
      <c r="L42" s="58" t="str">
        <f t="shared" si="2"/>
        <v/>
      </c>
      <c r="M42" s="59" t="str">
        <f t="shared" si="3"/>
        <v/>
      </c>
      <c r="N42" s="46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5.0" customHeight="1">
      <c r="A43" s="35">
        <v>39.0</v>
      </c>
      <c r="B43" s="52"/>
      <c r="C43" s="29"/>
      <c r="D43" s="53" t="str">
        <f>IFERROR(VLOOKUP(C43,'Catálogo Productos'!$B$3:$E$200,2,0),"")</f>
        <v/>
      </c>
      <c r="E43" s="54" t="str">
        <f>IFERROR(VLOOKUP(C43,'Catálogo Productos'!$B$3:$E$200,3,0),"")</f>
        <v/>
      </c>
      <c r="F43" s="55" t="str">
        <f>IFERROR(VLOOKUP(C43,'Catálogo Productos'!$B$3:$E$200,4,0),"")</f>
        <v/>
      </c>
      <c r="G43" s="56" t="str">
        <f>IF(F43="","",IF(I43="SÍ",F43*'Configuración'!$C$5,0))</f>
        <v/>
      </c>
      <c r="H43" s="56" t="s">
        <v>88</v>
      </c>
      <c r="I43" s="61" t="s">
        <v>88</v>
      </c>
      <c r="J43" s="18" t="str">
        <f>IF(F43="","",IF(H43="SÍ",'Configuración'!$C$6,0))</f>
        <v/>
      </c>
      <c r="K43" s="56" t="str">
        <f t="shared" si="1"/>
        <v/>
      </c>
      <c r="L43" s="56" t="str">
        <f t="shared" si="2"/>
        <v/>
      </c>
      <c r="M43" s="57" t="str">
        <f t="shared" si="3"/>
        <v/>
      </c>
      <c r="N43" s="46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5.0" customHeight="1">
      <c r="A44" s="47">
        <v>40.0</v>
      </c>
      <c r="B44" s="52"/>
      <c r="C44" s="29"/>
      <c r="D44" s="53" t="str">
        <f>IFERROR(VLOOKUP(C44,'Catálogo Productos'!$B$3:$E$200,2,0),"")</f>
        <v/>
      </c>
      <c r="E44" s="54" t="str">
        <f>IFERROR(VLOOKUP(C44,'Catálogo Productos'!$B$3:$E$200,3,0),"")</f>
        <v/>
      </c>
      <c r="F44" s="55" t="str">
        <f>IFERROR(VLOOKUP(C44,'Catálogo Productos'!$B$3:$E$200,4,0),"")</f>
        <v/>
      </c>
      <c r="G44" s="58" t="str">
        <f>IF(F44="","",IF(I44="SÍ",F44*'Configuración'!$C$5,0))</f>
        <v/>
      </c>
      <c r="H44" s="58" t="s">
        <v>88</v>
      </c>
      <c r="I44" s="61" t="s">
        <v>88</v>
      </c>
      <c r="J44" s="18" t="str">
        <f>IF(F44="","",IF(H44="SÍ",'Configuración'!$C$6,0))</f>
        <v/>
      </c>
      <c r="K44" s="58" t="str">
        <f t="shared" si="1"/>
        <v/>
      </c>
      <c r="L44" s="58" t="str">
        <f t="shared" si="2"/>
        <v/>
      </c>
      <c r="M44" s="59" t="str">
        <f t="shared" si="3"/>
        <v/>
      </c>
      <c r="N44" s="46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5.0" customHeight="1">
      <c r="A45" s="35">
        <v>41.0</v>
      </c>
      <c r="B45" s="52"/>
      <c r="C45" s="29"/>
      <c r="D45" s="53" t="str">
        <f>IFERROR(VLOOKUP(C45,'Catálogo Productos'!$B$3:$E$200,2,0),"")</f>
        <v/>
      </c>
      <c r="E45" s="54" t="str">
        <f>IFERROR(VLOOKUP(C45,'Catálogo Productos'!$B$3:$E$200,3,0),"")</f>
        <v/>
      </c>
      <c r="F45" s="55" t="str">
        <f>IFERROR(VLOOKUP(C45,'Catálogo Productos'!$B$3:$E$200,4,0),"")</f>
        <v/>
      </c>
      <c r="G45" s="56" t="str">
        <f>IF(F45="","",IF(I45="SÍ",F45*'Configuración'!$C$5,0))</f>
        <v/>
      </c>
      <c r="H45" s="56" t="s">
        <v>88</v>
      </c>
      <c r="I45" s="61" t="s">
        <v>88</v>
      </c>
      <c r="J45" s="18" t="str">
        <f>IF(F45="","",IF(H45="SÍ",'Configuración'!$C$6,0))</f>
        <v/>
      </c>
      <c r="K45" s="56" t="str">
        <f t="shared" si="1"/>
        <v/>
      </c>
      <c r="L45" s="56" t="str">
        <f t="shared" si="2"/>
        <v/>
      </c>
      <c r="M45" s="57" t="str">
        <f t="shared" si="3"/>
        <v/>
      </c>
      <c r="N45" s="46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5.0" customHeight="1">
      <c r="A46" s="47">
        <v>42.0</v>
      </c>
      <c r="B46" s="52"/>
      <c r="C46" s="29"/>
      <c r="D46" s="53" t="str">
        <f>IFERROR(VLOOKUP(C46,'Catálogo Productos'!$B$3:$E$200,2,0),"")</f>
        <v/>
      </c>
      <c r="E46" s="54" t="str">
        <f>IFERROR(VLOOKUP(C46,'Catálogo Productos'!$B$3:$E$200,3,0),"")</f>
        <v/>
      </c>
      <c r="F46" s="55" t="str">
        <f>IFERROR(VLOOKUP(C46,'Catálogo Productos'!$B$3:$E$200,4,0),"")</f>
        <v/>
      </c>
      <c r="G46" s="58" t="str">
        <f>IF(F46="","",IF(I46="SÍ",F46*'Configuración'!$C$5,0))</f>
        <v/>
      </c>
      <c r="H46" s="58" t="s">
        <v>88</v>
      </c>
      <c r="I46" s="61" t="s">
        <v>88</v>
      </c>
      <c r="J46" s="18" t="str">
        <f>IF(F46="","",IF(H46="SÍ",'Configuración'!$C$6,0))</f>
        <v/>
      </c>
      <c r="K46" s="58" t="str">
        <f t="shared" si="1"/>
        <v/>
      </c>
      <c r="L46" s="58" t="str">
        <f t="shared" si="2"/>
        <v/>
      </c>
      <c r="M46" s="59" t="str">
        <f t="shared" si="3"/>
        <v/>
      </c>
      <c r="N46" s="46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5.0" customHeight="1">
      <c r="A47" s="35">
        <v>43.0</v>
      </c>
      <c r="B47" s="52"/>
      <c r="C47" s="29"/>
      <c r="D47" s="53" t="str">
        <f>IFERROR(VLOOKUP(C47,'Catálogo Productos'!$B$3:$E$200,2,0),"")</f>
        <v/>
      </c>
      <c r="E47" s="54" t="str">
        <f>IFERROR(VLOOKUP(C47,'Catálogo Productos'!$B$3:$E$200,3,0),"")</f>
        <v/>
      </c>
      <c r="F47" s="55" t="str">
        <f>IFERROR(VLOOKUP(C47,'Catálogo Productos'!$B$3:$E$200,4,0),"")</f>
        <v/>
      </c>
      <c r="G47" s="56" t="str">
        <f>IF(F47="","",IF(I47="SÍ",F47*'Configuración'!$C$5,0))</f>
        <v/>
      </c>
      <c r="H47" s="56" t="s">
        <v>88</v>
      </c>
      <c r="I47" s="61" t="s">
        <v>88</v>
      </c>
      <c r="J47" s="18" t="str">
        <f>IF(F47="","",IF(H47="SÍ",'Configuración'!$C$6,0))</f>
        <v/>
      </c>
      <c r="K47" s="56" t="str">
        <f t="shared" si="1"/>
        <v/>
      </c>
      <c r="L47" s="56" t="str">
        <f t="shared" si="2"/>
        <v/>
      </c>
      <c r="M47" s="57" t="str">
        <f t="shared" si="3"/>
        <v/>
      </c>
      <c r="N47" s="46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5.0" customHeight="1">
      <c r="A48" s="47">
        <v>44.0</v>
      </c>
      <c r="B48" s="52"/>
      <c r="C48" s="29"/>
      <c r="D48" s="53" t="str">
        <f>IFERROR(VLOOKUP(C48,'Catálogo Productos'!$B$3:$E$200,2,0),"")</f>
        <v/>
      </c>
      <c r="E48" s="54" t="str">
        <f>IFERROR(VLOOKUP(C48,'Catálogo Productos'!$B$3:$E$200,3,0),"")</f>
        <v/>
      </c>
      <c r="F48" s="55" t="str">
        <f>IFERROR(VLOOKUP(C48,'Catálogo Productos'!$B$3:$E$200,4,0),"")</f>
        <v/>
      </c>
      <c r="G48" s="58" t="str">
        <f>IF(F48="","",IF(I48="SÍ",F48*'Configuración'!$C$5,0))</f>
        <v/>
      </c>
      <c r="H48" s="58" t="s">
        <v>88</v>
      </c>
      <c r="I48" s="61" t="s">
        <v>88</v>
      </c>
      <c r="J48" s="18" t="str">
        <f>IF(F48="","",IF(H48="SÍ",'Configuración'!$C$6,0))</f>
        <v/>
      </c>
      <c r="K48" s="58" t="str">
        <f t="shared" si="1"/>
        <v/>
      </c>
      <c r="L48" s="58" t="str">
        <f t="shared" si="2"/>
        <v/>
      </c>
      <c r="M48" s="59" t="str">
        <f t="shared" si="3"/>
        <v/>
      </c>
      <c r="N48" s="46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5.0" customHeight="1">
      <c r="A49" s="35">
        <v>45.0</v>
      </c>
      <c r="B49" s="52"/>
      <c r="C49" s="29"/>
      <c r="D49" s="53" t="str">
        <f>IFERROR(VLOOKUP(C49,'Catálogo Productos'!$B$3:$E$200,2,0),"")</f>
        <v/>
      </c>
      <c r="E49" s="54" t="str">
        <f>IFERROR(VLOOKUP(C49,'Catálogo Productos'!$B$3:$E$200,3,0),"")</f>
        <v/>
      </c>
      <c r="F49" s="55" t="str">
        <f>IFERROR(VLOOKUP(C49,'Catálogo Productos'!$B$3:$E$200,4,0),"")</f>
        <v/>
      </c>
      <c r="G49" s="56" t="str">
        <f>IF(F49="","",IF(I49="SÍ",F49*'Configuración'!$C$5,0))</f>
        <v/>
      </c>
      <c r="H49" s="56" t="s">
        <v>88</v>
      </c>
      <c r="I49" s="61" t="s">
        <v>88</v>
      </c>
      <c r="J49" s="18" t="str">
        <f>IF(F49="","",IF(H49="SÍ",'Configuración'!$C$6,0))</f>
        <v/>
      </c>
      <c r="K49" s="56" t="str">
        <f t="shared" si="1"/>
        <v/>
      </c>
      <c r="L49" s="56" t="str">
        <f t="shared" si="2"/>
        <v/>
      </c>
      <c r="M49" s="57" t="str">
        <f t="shared" si="3"/>
        <v/>
      </c>
      <c r="N49" s="46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5.0" customHeight="1">
      <c r="A50" s="47">
        <v>46.0</v>
      </c>
      <c r="B50" s="52"/>
      <c r="C50" s="29"/>
      <c r="D50" s="53" t="str">
        <f>IFERROR(VLOOKUP(C50,'Catálogo Productos'!$B$3:$E$200,2,0),"")</f>
        <v/>
      </c>
      <c r="E50" s="54" t="str">
        <f>IFERROR(VLOOKUP(C50,'Catálogo Productos'!$B$3:$E$200,3,0),"")</f>
        <v/>
      </c>
      <c r="F50" s="55" t="str">
        <f>IFERROR(VLOOKUP(C50,'Catálogo Productos'!$B$3:$E$200,4,0),"")</f>
        <v/>
      </c>
      <c r="G50" s="58" t="str">
        <f>IF(F50="","",IF(I50="SÍ",F50*'Configuración'!$C$5,0))</f>
        <v/>
      </c>
      <c r="H50" s="58" t="s">
        <v>88</v>
      </c>
      <c r="I50" s="61" t="s">
        <v>88</v>
      </c>
      <c r="J50" s="18" t="str">
        <f>IF(F50="","",IF(H50="SÍ",'Configuración'!$C$6,0))</f>
        <v/>
      </c>
      <c r="K50" s="58" t="str">
        <f t="shared" si="1"/>
        <v/>
      </c>
      <c r="L50" s="58" t="str">
        <f t="shared" si="2"/>
        <v/>
      </c>
      <c r="M50" s="59" t="str">
        <f t="shared" si="3"/>
        <v/>
      </c>
      <c r="N50" s="46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5.0" customHeight="1">
      <c r="A51" s="35">
        <v>47.0</v>
      </c>
      <c r="B51" s="52"/>
      <c r="C51" s="29"/>
      <c r="D51" s="53" t="str">
        <f>IFERROR(VLOOKUP(C51,'Catálogo Productos'!$B$3:$E$200,2,0),"")</f>
        <v/>
      </c>
      <c r="E51" s="54" t="str">
        <f>IFERROR(VLOOKUP(C51,'Catálogo Productos'!$B$3:$E$200,3,0),"")</f>
        <v/>
      </c>
      <c r="F51" s="55" t="str">
        <f>IFERROR(VLOOKUP(C51,'Catálogo Productos'!$B$3:$E$200,4,0),"")</f>
        <v/>
      </c>
      <c r="G51" s="56" t="str">
        <f>IF(F51="","",IF(I51="SÍ",F51*'Configuración'!$C$5,0))</f>
        <v/>
      </c>
      <c r="H51" s="56" t="s">
        <v>88</v>
      </c>
      <c r="I51" s="61" t="s">
        <v>88</v>
      </c>
      <c r="J51" s="18" t="str">
        <f>IF(F51="","",IF(H51="SÍ",'Configuración'!$C$6,0))</f>
        <v/>
      </c>
      <c r="K51" s="56" t="str">
        <f t="shared" si="1"/>
        <v/>
      </c>
      <c r="L51" s="56" t="str">
        <f t="shared" si="2"/>
        <v/>
      </c>
      <c r="M51" s="57" t="str">
        <f t="shared" si="3"/>
        <v/>
      </c>
      <c r="N51" s="46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5.0" customHeight="1">
      <c r="A52" s="47">
        <v>48.0</v>
      </c>
      <c r="B52" s="52"/>
      <c r="C52" s="29"/>
      <c r="D52" s="53" t="str">
        <f>IFERROR(VLOOKUP(C52,'Catálogo Productos'!$B$3:$E$200,2,0),"")</f>
        <v/>
      </c>
      <c r="E52" s="54" t="str">
        <f>IFERROR(VLOOKUP(C52,'Catálogo Productos'!$B$3:$E$200,3,0),"")</f>
        <v/>
      </c>
      <c r="F52" s="55" t="str">
        <f>IFERROR(VLOOKUP(C52,'Catálogo Productos'!$B$3:$E$200,4,0),"")</f>
        <v/>
      </c>
      <c r="G52" s="58" t="str">
        <f>IF(F52="","",IF(I52="SÍ",F52*'Configuración'!$C$5,0))</f>
        <v/>
      </c>
      <c r="H52" s="58" t="s">
        <v>88</v>
      </c>
      <c r="I52" s="61" t="s">
        <v>88</v>
      </c>
      <c r="J52" s="18" t="str">
        <f>IF(F52="","",IF(H52="SÍ",'Configuración'!$C$6,0))</f>
        <v/>
      </c>
      <c r="K52" s="58" t="str">
        <f t="shared" si="1"/>
        <v/>
      </c>
      <c r="L52" s="58" t="str">
        <f t="shared" si="2"/>
        <v/>
      </c>
      <c r="M52" s="59" t="str">
        <f t="shared" si="3"/>
        <v/>
      </c>
      <c r="N52" s="46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5.0" customHeight="1">
      <c r="A53" s="35">
        <v>49.0</v>
      </c>
      <c r="B53" s="52"/>
      <c r="C53" s="29"/>
      <c r="D53" s="53" t="str">
        <f>IFERROR(VLOOKUP(C53,'Catálogo Productos'!$B$3:$E$200,2,0),"")</f>
        <v/>
      </c>
      <c r="E53" s="54" t="str">
        <f>IFERROR(VLOOKUP(C53,'Catálogo Productos'!$B$3:$E$200,3,0),"")</f>
        <v/>
      </c>
      <c r="F53" s="55" t="str">
        <f>IFERROR(VLOOKUP(C53,'Catálogo Productos'!$B$3:$E$200,4,0),"")</f>
        <v/>
      </c>
      <c r="G53" s="56" t="str">
        <f>IF(F53="","",IF(I53="SÍ",F53*'Configuración'!$C$5,0))</f>
        <v/>
      </c>
      <c r="H53" s="56" t="s">
        <v>88</v>
      </c>
      <c r="I53" s="61" t="s">
        <v>88</v>
      </c>
      <c r="J53" s="18" t="str">
        <f>IF(F53="","",IF(H53="SÍ",'Configuración'!$C$6,0))</f>
        <v/>
      </c>
      <c r="K53" s="56" t="str">
        <f t="shared" si="1"/>
        <v/>
      </c>
      <c r="L53" s="56" t="str">
        <f t="shared" si="2"/>
        <v/>
      </c>
      <c r="M53" s="57" t="str">
        <f t="shared" si="3"/>
        <v/>
      </c>
      <c r="N53" s="46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5.0" customHeight="1">
      <c r="A54" s="47">
        <v>50.0</v>
      </c>
      <c r="B54" s="52"/>
      <c r="C54" s="29"/>
      <c r="D54" s="53" t="str">
        <f>IFERROR(VLOOKUP(C54,'Catálogo Productos'!$B$3:$E$200,2,0),"")</f>
        <v/>
      </c>
      <c r="E54" s="54" t="str">
        <f>IFERROR(VLOOKUP(C54,'Catálogo Productos'!$B$3:$E$200,3,0),"")</f>
        <v/>
      </c>
      <c r="F54" s="55" t="str">
        <f>IFERROR(VLOOKUP(C54,'Catálogo Productos'!$B$3:$E$200,4,0),"")</f>
        <v/>
      </c>
      <c r="G54" s="58" t="str">
        <f>IF(F54="","",IF(I54="SÍ",F54*'Configuración'!$C$5,0))</f>
        <v/>
      </c>
      <c r="H54" s="58" t="s">
        <v>88</v>
      </c>
      <c r="I54" s="61" t="s">
        <v>88</v>
      </c>
      <c r="J54" s="18" t="str">
        <f>IF(F54="","",IF(H54="SÍ",'Configuración'!$C$6,0))</f>
        <v/>
      </c>
      <c r="K54" s="58" t="str">
        <f t="shared" si="1"/>
        <v/>
      </c>
      <c r="L54" s="58" t="str">
        <f t="shared" si="2"/>
        <v/>
      </c>
      <c r="M54" s="59" t="str">
        <f t="shared" si="3"/>
        <v/>
      </c>
      <c r="N54" s="46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5.0" customHeight="1">
      <c r="A55" s="87" t="s">
        <v>112</v>
      </c>
      <c r="B55" s="9"/>
      <c r="C55" s="9"/>
      <c r="D55" s="10"/>
      <c r="E55" s="88" t="str">
        <f t="shared" ref="E55:G55" si="4">SUM(E5:E204)</f>
        <v>#REF!</v>
      </c>
      <c r="F55" s="89" t="str">
        <f t="shared" si="4"/>
        <v>#REF!</v>
      </c>
      <c r="G55" s="88" t="str">
        <f t="shared" si="4"/>
        <v>#REF!</v>
      </c>
      <c r="H55" s="88"/>
      <c r="I55" s="90"/>
      <c r="J55" s="91" t="str">
        <f t="shared" ref="J55:L55" si="5">SUM(J5:J204)</f>
        <v>#REF!</v>
      </c>
      <c r="K55" s="88" t="str">
        <f t="shared" si="5"/>
        <v>#REF!</v>
      </c>
      <c r="L55" s="88" t="str">
        <f t="shared" si="5"/>
        <v>#REF!</v>
      </c>
      <c r="M55" s="88" t="str">
        <f>IF(K55=0,0,L55/K55)</f>
        <v>#REF!</v>
      </c>
      <c r="N55" s="92" t="str">
        <f>SUM(N5:N204)</f>
        <v>#REF!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23.25" customHeight="1">
      <c r="A57" s="2"/>
      <c r="B57" s="15" t="s">
        <v>113</v>
      </c>
      <c r="C57" s="93">
        <f>COUNTA(B5:B204)</f>
        <v>1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5.75" customHeight="1">
      <c r="A59" s="2">
        <v>55.0</v>
      </c>
      <c r="B59" s="2"/>
      <c r="C59" s="2"/>
      <c r="D59" s="2" t="str">
        <f>IFERROR(VLOOKUP(C59,'Catálogo Productos'!$B$3:$E$200,2,0),"")</f>
        <v/>
      </c>
      <c r="E59" s="2" t="str">
        <f>IFERROR(VLOOKUP(C59,'Catálogo Productos'!$B$3:$E$200,3,0),"")</f>
        <v/>
      </c>
      <c r="F59" s="2" t="str">
        <f>IFERROR(VLOOKUP(C59,'Catálogo Productos'!$B$3:$E$200,4,0),"")</f>
        <v/>
      </c>
      <c r="G59" s="2" t="str">
        <f>IF(F59="","",IF(I59="SÍ",F59*'Configuración'!$C$5,0))</f>
        <v/>
      </c>
      <c r="H59" s="2"/>
      <c r="I59" s="2"/>
      <c r="J59" s="2" t="str">
        <f>IF(F59="","",IF(H59="SÍ",'Configuración'!$C$6,0))</f>
        <v/>
      </c>
      <c r="K59" s="2" t="str">
        <f t="shared" ref="K59:K204" si="6">IF(F59="","",F59-G59-J59)</f>
        <v/>
      </c>
      <c r="L59" s="2" t="str">
        <f t="shared" ref="L59:L204" si="7">IF(F59="","",K59-E59-IF(N59="",0,N59))</f>
        <v/>
      </c>
      <c r="M59" s="2" t="str">
        <f t="shared" ref="M59:M204" si="8">IF(F59="","",IF(K59=0,0,L59/K59))</f>
        <v/>
      </c>
      <c r="N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5.75" customHeight="1">
      <c r="A60" s="2">
        <v>56.0</v>
      </c>
      <c r="B60" s="2"/>
      <c r="C60" s="2"/>
      <c r="D60" s="2" t="str">
        <f>IFERROR(VLOOKUP(C60,'Catálogo Productos'!$B$3:$E$200,2,0),"")</f>
        <v/>
      </c>
      <c r="E60" s="2" t="str">
        <f>IFERROR(VLOOKUP(C60,'Catálogo Productos'!$B$3:$E$200,3,0),"")</f>
        <v/>
      </c>
      <c r="F60" s="2" t="str">
        <f>IFERROR(VLOOKUP(C60,'Catálogo Productos'!$B$3:$E$200,4,0),"")</f>
        <v/>
      </c>
      <c r="G60" s="2" t="str">
        <f>IF(F60="","",IF(I60="SÍ",F60*'Configuración'!$C$5,0))</f>
        <v/>
      </c>
      <c r="H60" s="2"/>
      <c r="I60" s="2"/>
      <c r="J60" s="2" t="str">
        <f>IF(F60="","",IF(H60="SÍ",'Configuración'!$C$6,0))</f>
        <v/>
      </c>
      <c r="K60" s="2" t="str">
        <f t="shared" si="6"/>
        <v/>
      </c>
      <c r="L60" s="2" t="str">
        <f t="shared" si="7"/>
        <v/>
      </c>
      <c r="M60" s="2" t="str">
        <f t="shared" si="8"/>
        <v/>
      </c>
      <c r="N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5.75" customHeight="1">
      <c r="A61" s="2">
        <v>57.0</v>
      </c>
      <c r="B61" s="2"/>
      <c r="C61" s="2"/>
      <c r="D61" s="2" t="str">
        <f>IFERROR(VLOOKUP(C61,'Catálogo Productos'!$B$3:$E$200,2,0),"")</f>
        <v/>
      </c>
      <c r="E61" s="2" t="str">
        <f>IFERROR(VLOOKUP(C61,'Catálogo Productos'!$B$3:$E$200,3,0),"")</f>
        <v/>
      </c>
      <c r="F61" s="2" t="str">
        <f>IFERROR(VLOOKUP(C61,'Catálogo Productos'!$B$3:$E$200,4,0),"")</f>
        <v/>
      </c>
      <c r="G61" s="2" t="str">
        <f>IF(F61="","",IF(I61="SÍ",F61*'Configuración'!$C$5,0))</f>
        <v/>
      </c>
      <c r="H61" s="2"/>
      <c r="I61" s="2"/>
      <c r="J61" s="2" t="str">
        <f>IF(F61="","",IF(H61="SÍ",'Configuración'!$C$6,0))</f>
        <v/>
      </c>
      <c r="K61" s="2" t="str">
        <f t="shared" si="6"/>
        <v/>
      </c>
      <c r="L61" s="2" t="str">
        <f t="shared" si="7"/>
        <v/>
      </c>
      <c r="M61" s="2" t="str">
        <f t="shared" si="8"/>
        <v/>
      </c>
      <c r="N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5.75" customHeight="1">
      <c r="A62" s="2">
        <v>58.0</v>
      </c>
      <c r="B62" s="2"/>
      <c r="C62" s="2"/>
      <c r="D62" s="2" t="str">
        <f>IFERROR(VLOOKUP(C62,'Catálogo Productos'!$B$3:$E$200,2,0),"")</f>
        <v/>
      </c>
      <c r="E62" s="2" t="str">
        <f>IFERROR(VLOOKUP(C62,'Catálogo Productos'!$B$3:$E$200,3,0),"")</f>
        <v/>
      </c>
      <c r="F62" s="2" t="str">
        <f>IFERROR(VLOOKUP(C62,'Catálogo Productos'!$B$3:$E$200,4,0),"")</f>
        <v/>
      </c>
      <c r="G62" s="2" t="str">
        <f>IF(F62="","",IF(I62="SÍ",F62*'Configuración'!$C$5,0))</f>
        <v/>
      </c>
      <c r="H62" s="2"/>
      <c r="I62" s="2"/>
      <c r="J62" s="2" t="str">
        <f>IF(F62="","",IF(H62="SÍ",'Configuración'!$C$6,0))</f>
        <v/>
      </c>
      <c r="K62" s="2" t="str">
        <f t="shared" si="6"/>
        <v/>
      </c>
      <c r="L62" s="2" t="str">
        <f t="shared" si="7"/>
        <v/>
      </c>
      <c r="M62" s="2" t="str">
        <f t="shared" si="8"/>
        <v/>
      </c>
      <c r="N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5.75" customHeight="1">
      <c r="A63" s="2">
        <v>59.0</v>
      </c>
      <c r="B63" s="2"/>
      <c r="C63" s="2"/>
      <c r="D63" s="2" t="str">
        <f>IFERROR(VLOOKUP(C63,'Catálogo Productos'!$B$3:$E$200,2,0),"")</f>
        <v/>
      </c>
      <c r="E63" s="2" t="str">
        <f>IFERROR(VLOOKUP(C63,'Catálogo Productos'!$B$3:$E$200,3,0),"")</f>
        <v/>
      </c>
      <c r="F63" s="2" t="str">
        <f>IFERROR(VLOOKUP(C63,'Catálogo Productos'!$B$3:$E$200,4,0),"")</f>
        <v/>
      </c>
      <c r="G63" s="2" t="str">
        <f>IF(F63="","",IF(I63="SÍ",F63*'Configuración'!$C$5,0))</f>
        <v/>
      </c>
      <c r="H63" s="2"/>
      <c r="I63" s="2"/>
      <c r="J63" s="2" t="str">
        <f>IF(F63="","",IF(H63="SÍ",'Configuración'!$C$6,0))</f>
        <v/>
      </c>
      <c r="K63" s="2" t="str">
        <f t="shared" si="6"/>
        <v/>
      </c>
      <c r="L63" s="2" t="str">
        <f t="shared" si="7"/>
        <v/>
      </c>
      <c r="M63" s="2" t="str">
        <f t="shared" si="8"/>
        <v/>
      </c>
      <c r="N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5.75" customHeight="1">
      <c r="A64" s="2">
        <v>60.0</v>
      </c>
      <c r="B64" s="2"/>
      <c r="C64" s="2"/>
      <c r="D64" s="2" t="str">
        <f>IFERROR(VLOOKUP(C64,'Catálogo Productos'!$B$3:$E$200,2,0),"")</f>
        <v/>
      </c>
      <c r="E64" s="2" t="str">
        <f>IFERROR(VLOOKUP(C64,'Catálogo Productos'!$B$3:$E$200,3,0),"")</f>
        <v/>
      </c>
      <c r="F64" s="2" t="str">
        <f>IFERROR(VLOOKUP(C64,'Catálogo Productos'!$B$3:$E$200,4,0),"")</f>
        <v/>
      </c>
      <c r="G64" s="2" t="str">
        <f>IF(F64="","",IF(I64="SÍ",F64*'Configuración'!$C$5,0))</f>
        <v/>
      </c>
      <c r="H64" s="2"/>
      <c r="I64" s="2"/>
      <c r="J64" s="2" t="str">
        <f>IF(F64="","",IF(H64="SÍ",'Configuración'!$C$6,0))</f>
        <v/>
      </c>
      <c r="K64" s="2" t="str">
        <f t="shared" si="6"/>
        <v/>
      </c>
      <c r="L64" s="2" t="str">
        <f t="shared" si="7"/>
        <v/>
      </c>
      <c r="M64" s="2" t="str">
        <f t="shared" si="8"/>
        <v/>
      </c>
      <c r="N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5.75" customHeight="1">
      <c r="A65" s="2">
        <v>61.0</v>
      </c>
      <c r="B65" s="2"/>
      <c r="C65" s="2"/>
      <c r="D65" s="2" t="str">
        <f>IFERROR(VLOOKUP(C65,'Catálogo Productos'!$B$3:$E$200,2,0),"")</f>
        <v/>
      </c>
      <c r="E65" s="2" t="str">
        <f>IFERROR(VLOOKUP(C65,'Catálogo Productos'!$B$3:$E$200,3,0),"")</f>
        <v/>
      </c>
      <c r="F65" s="2" t="str">
        <f>IFERROR(VLOOKUP(C65,'Catálogo Productos'!$B$3:$E$200,4,0),"")</f>
        <v/>
      </c>
      <c r="G65" s="2" t="str">
        <f>IF(F65="","",IF(I65="SÍ",F65*'Configuración'!$C$5,0))</f>
        <v/>
      </c>
      <c r="H65" s="2"/>
      <c r="I65" s="2"/>
      <c r="J65" s="2" t="str">
        <f>IF(F65="","",IF(H65="SÍ",'Configuración'!$C$6,0))</f>
        <v/>
      </c>
      <c r="K65" s="2" t="str">
        <f t="shared" si="6"/>
        <v/>
      </c>
      <c r="L65" s="2" t="str">
        <f t="shared" si="7"/>
        <v/>
      </c>
      <c r="M65" s="2" t="str">
        <f t="shared" si="8"/>
        <v/>
      </c>
      <c r="N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5.75" customHeight="1">
      <c r="A66" s="2">
        <v>62.0</v>
      </c>
      <c r="B66" s="2"/>
      <c r="C66" s="2"/>
      <c r="D66" s="2" t="str">
        <f>IFERROR(VLOOKUP(C66,'Catálogo Productos'!$B$3:$E$200,2,0),"")</f>
        <v/>
      </c>
      <c r="E66" s="2" t="str">
        <f>IFERROR(VLOOKUP(C66,'Catálogo Productos'!$B$3:$E$200,3,0),"")</f>
        <v/>
      </c>
      <c r="F66" s="2" t="str">
        <f>IFERROR(VLOOKUP(C66,'Catálogo Productos'!$B$3:$E$200,4,0),"")</f>
        <v/>
      </c>
      <c r="G66" s="2" t="str">
        <f>IF(F66="","",IF(I66="SÍ",F66*'Configuración'!$C$5,0))</f>
        <v/>
      </c>
      <c r="H66" s="2"/>
      <c r="I66" s="2"/>
      <c r="J66" s="2" t="str">
        <f>IF(F66="","",IF(H66="SÍ",'Configuración'!$C$6,0))</f>
        <v/>
      </c>
      <c r="K66" s="2" t="str">
        <f t="shared" si="6"/>
        <v/>
      </c>
      <c r="L66" s="2" t="str">
        <f t="shared" si="7"/>
        <v/>
      </c>
      <c r="M66" s="2" t="str">
        <f t="shared" si="8"/>
        <v/>
      </c>
      <c r="N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5.75" customHeight="1">
      <c r="A67" s="2">
        <v>63.0</v>
      </c>
      <c r="B67" s="2"/>
      <c r="C67" s="2"/>
      <c r="D67" s="2" t="str">
        <f>IFERROR(VLOOKUP(C67,'Catálogo Productos'!$B$3:$E$200,2,0),"")</f>
        <v/>
      </c>
      <c r="E67" s="2" t="str">
        <f>IFERROR(VLOOKUP(C67,'Catálogo Productos'!$B$3:$E$200,3,0),"")</f>
        <v/>
      </c>
      <c r="F67" s="2" t="str">
        <f>IFERROR(VLOOKUP(C67,'Catálogo Productos'!$B$3:$E$200,4,0),"")</f>
        <v/>
      </c>
      <c r="G67" s="2" t="str">
        <f>IF(F67="","",IF(I67="SÍ",F67*'Configuración'!$C$5,0))</f>
        <v/>
      </c>
      <c r="H67" s="2"/>
      <c r="I67" s="2"/>
      <c r="J67" s="2" t="str">
        <f>IF(F67="","",IF(H67="SÍ",'Configuración'!$C$6,0))</f>
        <v/>
      </c>
      <c r="K67" s="2" t="str">
        <f t="shared" si="6"/>
        <v/>
      </c>
      <c r="L67" s="2" t="str">
        <f t="shared" si="7"/>
        <v/>
      </c>
      <c r="M67" s="2" t="str">
        <f t="shared" si="8"/>
        <v/>
      </c>
      <c r="N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5.75" customHeight="1">
      <c r="A68" s="2">
        <v>64.0</v>
      </c>
      <c r="B68" s="2"/>
      <c r="C68" s="2"/>
      <c r="D68" s="2" t="str">
        <f>IFERROR(VLOOKUP(C68,'Catálogo Productos'!$B$3:$E$200,2,0),"")</f>
        <v/>
      </c>
      <c r="E68" s="2" t="str">
        <f>IFERROR(VLOOKUP(C68,'Catálogo Productos'!$B$3:$E$200,3,0),"")</f>
        <v/>
      </c>
      <c r="F68" s="2" t="str">
        <f>IFERROR(VLOOKUP(C68,'Catálogo Productos'!$B$3:$E$200,4,0),"")</f>
        <v/>
      </c>
      <c r="G68" s="2" t="str">
        <f>IF(F68="","",IF(I68="SÍ",F68*'Configuración'!$C$5,0))</f>
        <v/>
      </c>
      <c r="H68" s="2"/>
      <c r="I68" s="2"/>
      <c r="J68" s="2" t="str">
        <f>IF(F68="","",IF(H68="SÍ",'Configuración'!$C$6,0))</f>
        <v/>
      </c>
      <c r="K68" s="2" t="str">
        <f t="shared" si="6"/>
        <v/>
      </c>
      <c r="L68" s="2" t="str">
        <f t="shared" si="7"/>
        <v/>
      </c>
      <c r="M68" s="2" t="str">
        <f t="shared" si="8"/>
        <v/>
      </c>
      <c r="N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5.75" customHeight="1">
      <c r="A69" s="2">
        <v>65.0</v>
      </c>
      <c r="B69" s="2"/>
      <c r="C69" s="2"/>
      <c r="D69" s="2" t="str">
        <f>IFERROR(VLOOKUP(C69,'Catálogo Productos'!$B$3:$E$200,2,0),"")</f>
        <v/>
      </c>
      <c r="E69" s="2" t="str">
        <f>IFERROR(VLOOKUP(C69,'Catálogo Productos'!$B$3:$E$200,3,0),"")</f>
        <v/>
      </c>
      <c r="F69" s="2" t="str">
        <f>IFERROR(VLOOKUP(C69,'Catálogo Productos'!$B$3:$E$200,4,0),"")</f>
        <v/>
      </c>
      <c r="G69" s="2" t="str">
        <f>IF(F69="","",IF(I69="SÍ",F69*'Configuración'!$C$5,0))</f>
        <v/>
      </c>
      <c r="H69" s="2"/>
      <c r="I69" s="2"/>
      <c r="J69" s="2" t="str">
        <f>IF(F69="","",IF(H69="SÍ",'Configuración'!$C$6,0))</f>
        <v/>
      </c>
      <c r="K69" s="2" t="str">
        <f t="shared" si="6"/>
        <v/>
      </c>
      <c r="L69" s="2" t="str">
        <f t="shared" si="7"/>
        <v/>
      </c>
      <c r="M69" s="2" t="str">
        <f t="shared" si="8"/>
        <v/>
      </c>
      <c r="N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5.75" customHeight="1">
      <c r="A70" s="2">
        <v>66.0</v>
      </c>
      <c r="B70" s="2"/>
      <c r="C70" s="2"/>
      <c r="D70" s="2" t="str">
        <f>IFERROR(VLOOKUP(C70,'Catálogo Productos'!$B$3:$E$200,2,0),"")</f>
        <v/>
      </c>
      <c r="E70" s="2" t="str">
        <f>IFERROR(VLOOKUP(C70,'Catálogo Productos'!$B$3:$E$200,3,0),"")</f>
        <v/>
      </c>
      <c r="F70" s="2" t="str">
        <f>IFERROR(VLOOKUP(C70,'Catálogo Productos'!$B$3:$E$200,4,0),"")</f>
        <v/>
      </c>
      <c r="G70" s="2" t="str">
        <f>IF(F70="","",IF(I70="SÍ",F70*'Configuración'!$C$5,0))</f>
        <v/>
      </c>
      <c r="H70" s="2"/>
      <c r="I70" s="2"/>
      <c r="J70" s="2" t="str">
        <f>IF(F70="","",IF(H70="SÍ",'Configuración'!$C$6,0))</f>
        <v/>
      </c>
      <c r="K70" s="2" t="str">
        <f t="shared" si="6"/>
        <v/>
      </c>
      <c r="L70" s="2" t="str">
        <f t="shared" si="7"/>
        <v/>
      </c>
      <c r="M70" s="2" t="str">
        <f t="shared" si="8"/>
        <v/>
      </c>
      <c r="N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5.75" customHeight="1">
      <c r="A71" s="2">
        <v>67.0</v>
      </c>
      <c r="B71" s="2"/>
      <c r="C71" s="2"/>
      <c r="D71" s="2" t="str">
        <f>IFERROR(VLOOKUP(C71,'Catálogo Productos'!$B$3:$E$200,2,0),"")</f>
        <v/>
      </c>
      <c r="E71" s="2" t="str">
        <f>IFERROR(VLOOKUP(C71,'Catálogo Productos'!$B$3:$E$200,3,0),"")</f>
        <v/>
      </c>
      <c r="F71" s="2" t="str">
        <f>IFERROR(VLOOKUP(C71,'Catálogo Productos'!$B$3:$E$200,4,0),"")</f>
        <v/>
      </c>
      <c r="G71" s="2" t="str">
        <f>IF(F71="","",IF(I71="SÍ",F71*'Configuración'!$C$5,0))</f>
        <v/>
      </c>
      <c r="H71" s="2"/>
      <c r="I71" s="2"/>
      <c r="J71" s="2" t="str">
        <f>IF(F71="","",IF(H71="SÍ",'Configuración'!$C$6,0))</f>
        <v/>
      </c>
      <c r="K71" s="2" t="str">
        <f t="shared" si="6"/>
        <v/>
      </c>
      <c r="L71" s="2" t="str">
        <f t="shared" si="7"/>
        <v/>
      </c>
      <c r="M71" s="2" t="str">
        <f t="shared" si="8"/>
        <v/>
      </c>
      <c r="N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5.75" customHeight="1">
      <c r="A72" s="2">
        <v>68.0</v>
      </c>
      <c r="B72" s="2"/>
      <c r="C72" s="2"/>
      <c r="D72" s="2" t="str">
        <f>IFERROR(VLOOKUP(C72,'Catálogo Productos'!$B$3:$E$200,2,0),"")</f>
        <v/>
      </c>
      <c r="E72" s="2" t="str">
        <f>IFERROR(VLOOKUP(C72,'Catálogo Productos'!$B$3:$E$200,3,0),"")</f>
        <v/>
      </c>
      <c r="F72" s="2" t="str">
        <f>IFERROR(VLOOKUP(C72,'Catálogo Productos'!$B$3:$E$200,4,0),"")</f>
        <v/>
      </c>
      <c r="G72" s="2" t="str">
        <f>IF(F72="","",IF(I72="SÍ",F72*'Configuración'!$C$5,0))</f>
        <v/>
      </c>
      <c r="H72" s="2"/>
      <c r="I72" s="2"/>
      <c r="J72" s="2" t="str">
        <f>IF(F72="","",IF(H72="SÍ",'Configuración'!$C$6,0))</f>
        <v/>
      </c>
      <c r="K72" s="2" t="str">
        <f t="shared" si="6"/>
        <v/>
      </c>
      <c r="L72" s="2" t="str">
        <f t="shared" si="7"/>
        <v/>
      </c>
      <c r="M72" s="2" t="str">
        <f t="shared" si="8"/>
        <v/>
      </c>
      <c r="N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5.75" customHeight="1">
      <c r="A73" s="2">
        <v>69.0</v>
      </c>
      <c r="B73" s="2"/>
      <c r="C73" s="2"/>
      <c r="D73" s="2" t="str">
        <f>IFERROR(VLOOKUP(C73,'Catálogo Productos'!$B$3:$E$200,2,0),"")</f>
        <v/>
      </c>
      <c r="E73" s="2" t="str">
        <f>IFERROR(VLOOKUP(C73,'Catálogo Productos'!$B$3:$E$200,3,0),"")</f>
        <v/>
      </c>
      <c r="F73" s="2" t="str">
        <f>IFERROR(VLOOKUP(C73,'Catálogo Productos'!$B$3:$E$200,4,0),"")</f>
        <v/>
      </c>
      <c r="G73" s="2" t="str">
        <f>IF(F73="","",IF(I73="SÍ",F73*'Configuración'!$C$5,0))</f>
        <v/>
      </c>
      <c r="H73" s="2"/>
      <c r="I73" s="2"/>
      <c r="J73" s="2" t="str">
        <f>IF(F73="","",IF(H73="SÍ",'Configuración'!$C$6,0))</f>
        <v/>
      </c>
      <c r="K73" s="2" t="str">
        <f t="shared" si="6"/>
        <v/>
      </c>
      <c r="L73" s="2" t="str">
        <f t="shared" si="7"/>
        <v/>
      </c>
      <c r="M73" s="2" t="str">
        <f t="shared" si="8"/>
        <v/>
      </c>
      <c r="N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5.75" customHeight="1">
      <c r="A74" s="2">
        <v>70.0</v>
      </c>
      <c r="B74" s="2"/>
      <c r="C74" s="2"/>
      <c r="D74" s="2" t="str">
        <f>IFERROR(VLOOKUP(C74,'Catálogo Productos'!$B$3:$E$200,2,0),"")</f>
        <v/>
      </c>
      <c r="E74" s="2" t="str">
        <f>IFERROR(VLOOKUP(C74,'Catálogo Productos'!$B$3:$E$200,3,0),"")</f>
        <v/>
      </c>
      <c r="F74" s="2" t="str">
        <f>IFERROR(VLOOKUP(C74,'Catálogo Productos'!$B$3:$E$200,4,0),"")</f>
        <v/>
      </c>
      <c r="G74" s="2" t="str">
        <f>IF(F74="","",IF(I74="SÍ",F74*'Configuración'!$C$5,0))</f>
        <v/>
      </c>
      <c r="H74" s="2"/>
      <c r="I74" s="2"/>
      <c r="J74" s="2" t="str">
        <f>IF(F74="","",IF(H74="SÍ",'Configuración'!$C$6,0))</f>
        <v/>
      </c>
      <c r="K74" s="2" t="str">
        <f t="shared" si="6"/>
        <v/>
      </c>
      <c r="L74" s="2" t="str">
        <f t="shared" si="7"/>
        <v/>
      </c>
      <c r="M74" s="2" t="str">
        <f t="shared" si="8"/>
        <v/>
      </c>
      <c r="N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5.75" customHeight="1">
      <c r="A75" s="2">
        <v>71.0</v>
      </c>
      <c r="B75" s="2"/>
      <c r="C75" s="2"/>
      <c r="D75" s="2" t="str">
        <f>IFERROR(VLOOKUP(C75,'Catálogo Productos'!$B$3:$E$200,2,0),"")</f>
        <v/>
      </c>
      <c r="E75" s="2" t="str">
        <f>IFERROR(VLOOKUP(C75,'Catálogo Productos'!$B$3:$E$200,3,0),"")</f>
        <v/>
      </c>
      <c r="F75" s="2" t="str">
        <f>IFERROR(VLOOKUP(C75,'Catálogo Productos'!$B$3:$E$200,4,0),"")</f>
        <v/>
      </c>
      <c r="G75" s="2" t="str">
        <f>IF(F75="","",IF(I75="SÍ",F75*'Configuración'!$C$5,0))</f>
        <v/>
      </c>
      <c r="H75" s="2"/>
      <c r="I75" s="2"/>
      <c r="J75" s="2" t="str">
        <f>IF(F75="","",IF(H75="SÍ",'Configuración'!$C$6,0))</f>
        <v/>
      </c>
      <c r="K75" s="2" t="str">
        <f t="shared" si="6"/>
        <v/>
      </c>
      <c r="L75" s="2" t="str">
        <f t="shared" si="7"/>
        <v/>
      </c>
      <c r="M75" s="2" t="str">
        <f t="shared" si="8"/>
        <v/>
      </c>
      <c r="N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5.75" customHeight="1">
      <c r="A76" s="2">
        <v>72.0</v>
      </c>
      <c r="B76" s="2"/>
      <c r="C76" s="2"/>
      <c r="D76" s="2" t="str">
        <f>IFERROR(VLOOKUP(C76,'Catálogo Productos'!$B$3:$E$200,2,0),"")</f>
        <v/>
      </c>
      <c r="E76" s="2" t="str">
        <f>IFERROR(VLOOKUP(C76,'Catálogo Productos'!$B$3:$E$200,3,0),"")</f>
        <v/>
      </c>
      <c r="F76" s="2" t="str">
        <f>IFERROR(VLOOKUP(C76,'Catálogo Productos'!$B$3:$E$200,4,0),"")</f>
        <v/>
      </c>
      <c r="G76" s="2" t="str">
        <f>IF(F76="","",IF(I76="SÍ",F76*'Configuración'!$C$5,0))</f>
        <v/>
      </c>
      <c r="H76" s="2"/>
      <c r="I76" s="2"/>
      <c r="J76" s="2" t="str">
        <f>IF(F76="","",IF(H76="SÍ",'Configuración'!$C$6,0))</f>
        <v/>
      </c>
      <c r="K76" s="2" t="str">
        <f t="shared" si="6"/>
        <v/>
      </c>
      <c r="L76" s="2" t="str">
        <f t="shared" si="7"/>
        <v/>
      </c>
      <c r="M76" s="2" t="str">
        <f t="shared" si="8"/>
        <v/>
      </c>
      <c r="N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2">
        <v>73.0</v>
      </c>
      <c r="B77" s="2"/>
      <c r="C77" s="2"/>
      <c r="D77" s="2" t="str">
        <f>IFERROR(VLOOKUP(C77,'Catálogo Productos'!$B$3:$E$200,2,0),"")</f>
        <v/>
      </c>
      <c r="E77" s="2" t="str">
        <f>IFERROR(VLOOKUP(C77,'Catálogo Productos'!$B$3:$E$200,3,0),"")</f>
        <v/>
      </c>
      <c r="F77" s="2" t="str">
        <f>IFERROR(VLOOKUP(C77,'Catálogo Productos'!$B$3:$E$200,4,0),"")</f>
        <v/>
      </c>
      <c r="G77" s="2" t="str">
        <f>IF(F77="","",IF(I77="SÍ",F77*'Configuración'!$C$5,0))</f>
        <v/>
      </c>
      <c r="H77" s="2"/>
      <c r="I77" s="2"/>
      <c r="J77" s="2" t="str">
        <f>IF(F77="","",IF(H77="SÍ",'Configuración'!$C$6,0))</f>
        <v/>
      </c>
      <c r="K77" s="2" t="str">
        <f t="shared" si="6"/>
        <v/>
      </c>
      <c r="L77" s="2" t="str">
        <f t="shared" si="7"/>
        <v/>
      </c>
      <c r="M77" s="2" t="str">
        <f t="shared" si="8"/>
        <v/>
      </c>
      <c r="N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2">
        <v>74.0</v>
      </c>
      <c r="B78" s="2"/>
      <c r="C78" s="2"/>
      <c r="D78" s="2" t="str">
        <f>IFERROR(VLOOKUP(C78,'Catálogo Productos'!$B$3:$E$200,2,0),"")</f>
        <v/>
      </c>
      <c r="E78" s="2" t="str">
        <f>IFERROR(VLOOKUP(C78,'Catálogo Productos'!$B$3:$E$200,3,0),"")</f>
        <v/>
      </c>
      <c r="F78" s="2" t="str">
        <f>IFERROR(VLOOKUP(C78,'Catálogo Productos'!$B$3:$E$200,4,0),"")</f>
        <v/>
      </c>
      <c r="G78" s="2" t="str">
        <f>IF(F78="","",IF(I78="SÍ",F78*'Configuración'!$C$5,0))</f>
        <v/>
      </c>
      <c r="H78" s="2"/>
      <c r="I78" s="2"/>
      <c r="J78" s="2" t="str">
        <f>IF(F78="","",IF(H78="SÍ",'Configuración'!$C$6,0))</f>
        <v/>
      </c>
      <c r="K78" s="2" t="str">
        <f t="shared" si="6"/>
        <v/>
      </c>
      <c r="L78" s="2" t="str">
        <f t="shared" si="7"/>
        <v/>
      </c>
      <c r="M78" s="2" t="str">
        <f t="shared" si="8"/>
        <v/>
      </c>
      <c r="N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2">
        <v>75.0</v>
      </c>
      <c r="B79" s="2"/>
      <c r="C79" s="2"/>
      <c r="D79" s="2" t="str">
        <f>IFERROR(VLOOKUP(C79,'Catálogo Productos'!$B$3:$E$200,2,0),"")</f>
        <v/>
      </c>
      <c r="E79" s="2" t="str">
        <f>IFERROR(VLOOKUP(C79,'Catálogo Productos'!$B$3:$E$200,3,0),"")</f>
        <v/>
      </c>
      <c r="F79" s="2" t="str">
        <f>IFERROR(VLOOKUP(C79,'Catálogo Productos'!$B$3:$E$200,4,0),"")</f>
        <v/>
      </c>
      <c r="G79" s="2" t="str">
        <f>IF(F79="","",IF(I79="SÍ",F79*'Configuración'!$C$5,0))</f>
        <v/>
      </c>
      <c r="H79" s="2"/>
      <c r="I79" s="2"/>
      <c r="J79" s="2" t="str">
        <f>IF(F79="","",IF(H79="SÍ",'Configuración'!$C$6,0))</f>
        <v/>
      </c>
      <c r="K79" s="2" t="str">
        <f t="shared" si="6"/>
        <v/>
      </c>
      <c r="L79" s="2" t="str">
        <f t="shared" si="7"/>
        <v/>
      </c>
      <c r="M79" s="2" t="str">
        <f t="shared" si="8"/>
        <v/>
      </c>
      <c r="N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2">
        <v>76.0</v>
      </c>
      <c r="B80" s="2"/>
      <c r="C80" s="2"/>
      <c r="D80" s="2" t="str">
        <f>IFERROR(VLOOKUP(C80,'Catálogo Productos'!$B$3:$E$200,2,0),"")</f>
        <v/>
      </c>
      <c r="E80" s="2" t="str">
        <f>IFERROR(VLOOKUP(C80,'Catálogo Productos'!$B$3:$E$200,3,0),"")</f>
        <v/>
      </c>
      <c r="F80" s="2" t="str">
        <f>IFERROR(VLOOKUP(C80,'Catálogo Productos'!$B$3:$E$200,4,0),"")</f>
        <v/>
      </c>
      <c r="G80" s="2" t="str">
        <f>IF(F80="","",IF(I80="SÍ",F80*'Configuración'!$C$5,0))</f>
        <v/>
      </c>
      <c r="H80" s="2"/>
      <c r="I80" s="2"/>
      <c r="J80" s="2" t="str">
        <f>IF(F80="","",IF(H80="SÍ",'Configuración'!$C$6,0))</f>
        <v/>
      </c>
      <c r="K80" s="2" t="str">
        <f t="shared" si="6"/>
        <v/>
      </c>
      <c r="L80" s="2" t="str">
        <f t="shared" si="7"/>
        <v/>
      </c>
      <c r="M80" s="2" t="str">
        <f t="shared" si="8"/>
        <v/>
      </c>
      <c r="N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2">
        <v>77.0</v>
      </c>
      <c r="B81" s="2"/>
      <c r="C81" s="2"/>
      <c r="D81" s="2" t="str">
        <f>IFERROR(VLOOKUP(C81,'Catálogo Productos'!$B$3:$E$200,2,0),"")</f>
        <v/>
      </c>
      <c r="E81" s="2" t="str">
        <f>IFERROR(VLOOKUP(C81,'Catálogo Productos'!$B$3:$E$200,3,0),"")</f>
        <v/>
      </c>
      <c r="F81" s="2" t="str">
        <f>IFERROR(VLOOKUP(C81,'Catálogo Productos'!$B$3:$E$200,4,0),"")</f>
        <v/>
      </c>
      <c r="G81" s="2" t="str">
        <f>IF(F81="","",IF(I81="SÍ",F81*'Configuración'!$C$5,0))</f>
        <v/>
      </c>
      <c r="H81" s="2"/>
      <c r="I81" s="2"/>
      <c r="J81" s="2" t="str">
        <f>IF(F81="","",IF(H81="SÍ",'Configuración'!$C$6,0))</f>
        <v/>
      </c>
      <c r="K81" s="2" t="str">
        <f t="shared" si="6"/>
        <v/>
      </c>
      <c r="L81" s="2" t="str">
        <f t="shared" si="7"/>
        <v/>
      </c>
      <c r="M81" s="2" t="str">
        <f t="shared" si="8"/>
        <v/>
      </c>
      <c r="N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2">
        <v>78.0</v>
      </c>
      <c r="B82" s="2"/>
      <c r="C82" s="2"/>
      <c r="D82" s="2" t="str">
        <f>IFERROR(VLOOKUP(C82,'Catálogo Productos'!$B$3:$E$200,2,0),"")</f>
        <v/>
      </c>
      <c r="E82" s="2" t="str">
        <f>IFERROR(VLOOKUP(C82,'Catálogo Productos'!$B$3:$E$200,3,0),"")</f>
        <v/>
      </c>
      <c r="F82" s="2" t="str">
        <f>IFERROR(VLOOKUP(C82,'Catálogo Productos'!$B$3:$E$200,4,0),"")</f>
        <v/>
      </c>
      <c r="G82" s="2" t="str">
        <f>IF(F82="","",IF(I82="SÍ",F82*'Configuración'!$C$5,0))</f>
        <v/>
      </c>
      <c r="H82" s="2"/>
      <c r="I82" s="2"/>
      <c r="J82" s="2" t="str">
        <f>IF(F82="","",IF(H82="SÍ",'Configuración'!$C$6,0))</f>
        <v/>
      </c>
      <c r="K82" s="2" t="str">
        <f t="shared" si="6"/>
        <v/>
      </c>
      <c r="L82" s="2" t="str">
        <f t="shared" si="7"/>
        <v/>
      </c>
      <c r="M82" s="2" t="str">
        <f t="shared" si="8"/>
        <v/>
      </c>
      <c r="N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2">
        <v>79.0</v>
      </c>
      <c r="B83" s="2"/>
      <c r="C83" s="2"/>
      <c r="D83" s="2" t="str">
        <f>IFERROR(VLOOKUP(C83,'Catálogo Productos'!$B$3:$E$200,2,0),"")</f>
        <v/>
      </c>
      <c r="E83" s="2" t="str">
        <f>IFERROR(VLOOKUP(C83,'Catálogo Productos'!$B$3:$E$200,3,0),"")</f>
        <v/>
      </c>
      <c r="F83" s="2" t="str">
        <f>IFERROR(VLOOKUP(C83,'Catálogo Productos'!$B$3:$E$200,4,0),"")</f>
        <v/>
      </c>
      <c r="G83" s="2" t="str">
        <f>IF(F83="","",IF(I83="SÍ",F83*'Configuración'!$C$5,0))</f>
        <v/>
      </c>
      <c r="H83" s="2"/>
      <c r="I83" s="2"/>
      <c r="J83" s="2" t="str">
        <f>IF(F83="","",IF(H83="SÍ",'Configuración'!$C$6,0))</f>
        <v/>
      </c>
      <c r="K83" s="2" t="str">
        <f t="shared" si="6"/>
        <v/>
      </c>
      <c r="L83" s="2" t="str">
        <f t="shared" si="7"/>
        <v/>
      </c>
      <c r="M83" s="2" t="str">
        <f t="shared" si="8"/>
        <v/>
      </c>
      <c r="N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2">
        <v>80.0</v>
      </c>
      <c r="B84" s="2"/>
      <c r="C84" s="2"/>
      <c r="D84" s="2" t="str">
        <f>IFERROR(VLOOKUP(C84,'Catálogo Productos'!$B$3:$E$200,2,0),"")</f>
        <v/>
      </c>
      <c r="E84" s="2" t="str">
        <f>IFERROR(VLOOKUP(C84,'Catálogo Productos'!$B$3:$E$200,3,0),"")</f>
        <v/>
      </c>
      <c r="F84" s="2" t="str">
        <f>IFERROR(VLOOKUP(C84,'Catálogo Productos'!$B$3:$E$200,4,0),"")</f>
        <v/>
      </c>
      <c r="G84" s="2" t="str">
        <f>IF(F84="","",IF(I84="SÍ",F84*'Configuración'!$C$5,0))</f>
        <v/>
      </c>
      <c r="H84" s="2"/>
      <c r="I84" s="2"/>
      <c r="J84" s="2" t="str">
        <f>IF(F84="","",IF(H84="SÍ",'Configuración'!$C$6,0))</f>
        <v/>
      </c>
      <c r="K84" s="2" t="str">
        <f t="shared" si="6"/>
        <v/>
      </c>
      <c r="L84" s="2" t="str">
        <f t="shared" si="7"/>
        <v/>
      </c>
      <c r="M84" s="2" t="str">
        <f t="shared" si="8"/>
        <v/>
      </c>
      <c r="N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2">
        <v>81.0</v>
      </c>
      <c r="B85" s="2"/>
      <c r="C85" s="2"/>
      <c r="D85" s="2" t="str">
        <f>IFERROR(VLOOKUP(C85,'Catálogo Productos'!$B$3:$E$200,2,0),"")</f>
        <v/>
      </c>
      <c r="E85" s="2" t="str">
        <f>IFERROR(VLOOKUP(C85,'Catálogo Productos'!$B$3:$E$200,3,0),"")</f>
        <v/>
      </c>
      <c r="F85" s="2" t="str">
        <f>IFERROR(VLOOKUP(C85,'Catálogo Productos'!$B$3:$E$200,4,0),"")</f>
        <v/>
      </c>
      <c r="G85" s="2" t="str">
        <f>IF(F85="","",IF(I85="SÍ",F85*'Configuración'!$C$5,0))</f>
        <v/>
      </c>
      <c r="H85" s="2"/>
      <c r="I85" s="2"/>
      <c r="J85" s="2" t="str">
        <f>IF(F85="","",IF(H85="SÍ",'Configuración'!$C$6,0))</f>
        <v/>
      </c>
      <c r="K85" s="2" t="str">
        <f t="shared" si="6"/>
        <v/>
      </c>
      <c r="L85" s="2" t="str">
        <f t="shared" si="7"/>
        <v/>
      </c>
      <c r="M85" s="2" t="str">
        <f t="shared" si="8"/>
        <v/>
      </c>
      <c r="N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2">
        <v>82.0</v>
      </c>
      <c r="B86" s="2"/>
      <c r="C86" s="2"/>
      <c r="D86" s="2" t="str">
        <f>IFERROR(VLOOKUP(C86,'Catálogo Productos'!$B$3:$E$200,2,0),"")</f>
        <v/>
      </c>
      <c r="E86" s="2" t="str">
        <f>IFERROR(VLOOKUP(C86,'Catálogo Productos'!$B$3:$E$200,3,0),"")</f>
        <v/>
      </c>
      <c r="F86" s="2" t="str">
        <f>IFERROR(VLOOKUP(C86,'Catálogo Productos'!$B$3:$E$200,4,0),"")</f>
        <v/>
      </c>
      <c r="G86" s="2" t="str">
        <f>IF(F86="","",IF(I86="SÍ",F86*'Configuración'!$C$5,0))</f>
        <v/>
      </c>
      <c r="H86" s="2"/>
      <c r="I86" s="2"/>
      <c r="J86" s="2" t="str">
        <f>IF(F86="","",IF(H86="SÍ",'Configuración'!$C$6,0))</f>
        <v/>
      </c>
      <c r="K86" s="2" t="str">
        <f t="shared" si="6"/>
        <v/>
      </c>
      <c r="L86" s="2" t="str">
        <f t="shared" si="7"/>
        <v/>
      </c>
      <c r="M86" s="2" t="str">
        <f t="shared" si="8"/>
        <v/>
      </c>
      <c r="N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2">
        <v>83.0</v>
      </c>
      <c r="B87" s="2"/>
      <c r="C87" s="2"/>
      <c r="D87" s="2" t="str">
        <f>IFERROR(VLOOKUP(C87,'Catálogo Productos'!$B$3:$E$200,2,0),"")</f>
        <v/>
      </c>
      <c r="E87" s="2" t="str">
        <f>IFERROR(VLOOKUP(C87,'Catálogo Productos'!$B$3:$E$200,3,0),"")</f>
        <v/>
      </c>
      <c r="F87" s="2" t="str">
        <f>IFERROR(VLOOKUP(C87,'Catálogo Productos'!$B$3:$E$200,4,0),"")</f>
        <v/>
      </c>
      <c r="G87" s="2" t="str">
        <f>IF(F87="","",IF(I87="SÍ",F87*'Configuración'!$C$5,0))</f>
        <v/>
      </c>
      <c r="H87" s="2"/>
      <c r="I87" s="2"/>
      <c r="J87" s="2" t="str">
        <f>IF(F87="","",IF(H87="SÍ",'Configuración'!$C$6,0))</f>
        <v/>
      </c>
      <c r="K87" s="2" t="str">
        <f t="shared" si="6"/>
        <v/>
      </c>
      <c r="L87" s="2" t="str">
        <f t="shared" si="7"/>
        <v/>
      </c>
      <c r="M87" s="2" t="str">
        <f t="shared" si="8"/>
        <v/>
      </c>
      <c r="N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2">
        <v>84.0</v>
      </c>
      <c r="B88" s="2"/>
      <c r="C88" s="2"/>
      <c r="D88" s="2" t="str">
        <f>IFERROR(VLOOKUP(C88,'Catálogo Productos'!$B$3:$E$200,2,0),"")</f>
        <v/>
      </c>
      <c r="E88" s="2" t="str">
        <f>IFERROR(VLOOKUP(C88,'Catálogo Productos'!$B$3:$E$200,3,0),"")</f>
        <v/>
      </c>
      <c r="F88" s="2" t="str">
        <f>IFERROR(VLOOKUP(C88,'Catálogo Productos'!$B$3:$E$200,4,0),"")</f>
        <v/>
      </c>
      <c r="G88" s="2" t="str">
        <f>IF(F88="","",IF(I88="SÍ",F88*'Configuración'!$C$5,0))</f>
        <v/>
      </c>
      <c r="H88" s="2"/>
      <c r="I88" s="2"/>
      <c r="J88" s="2" t="str">
        <f>IF(F88="","",IF(H88="SÍ",'Configuración'!$C$6,0))</f>
        <v/>
      </c>
      <c r="K88" s="2" t="str">
        <f t="shared" si="6"/>
        <v/>
      </c>
      <c r="L88" s="2" t="str">
        <f t="shared" si="7"/>
        <v/>
      </c>
      <c r="M88" s="2" t="str">
        <f t="shared" si="8"/>
        <v/>
      </c>
      <c r="N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2">
        <v>85.0</v>
      </c>
      <c r="B89" s="2"/>
      <c r="C89" s="2"/>
      <c r="D89" s="2" t="str">
        <f>IFERROR(VLOOKUP(C89,'Catálogo Productos'!$B$3:$E$200,2,0),"")</f>
        <v/>
      </c>
      <c r="E89" s="2" t="str">
        <f>IFERROR(VLOOKUP(C89,'Catálogo Productos'!$B$3:$E$200,3,0),"")</f>
        <v/>
      </c>
      <c r="F89" s="2" t="str">
        <f>IFERROR(VLOOKUP(C89,'Catálogo Productos'!$B$3:$E$200,4,0),"")</f>
        <v/>
      </c>
      <c r="G89" s="2" t="str">
        <f>IF(F89="","",IF(I89="SÍ",F89*'Configuración'!$C$5,0))</f>
        <v/>
      </c>
      <c r="H89" s="2"/>
      <c r="I89" s="2"/>
      <c r="J89" s="2" t="str">
        <f>IF(F89="","",IF(H89="SÍ",'Configuración'!$C$6,0))</f>
        <v/>
      </c>
      <c r="K89" s="2" t="str">
        <f t="shared" si="6"/>
        <v/>
      </c>
      <c r="L89" s="2" t="str">
        <f t="shared" si="7"/>
        <v/>
      </c>
      <c r="M89" s="2" t="str">
        <f t="shared" si="8"/>
        <v/>
      </c>
      <c r="N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2">
        <v>86.0</v>
      </c>
      <c r="B90" s="2"/>
      <c r="C90" s="2"/>
      <c r="D90" s="2" t="str">
        <f>IFERROR(VLOOKUP(C90,'Catálogo Productos'!$B$3:$E$200,2,0),"")</f>
        <v/>
      </c>
      <c r="E90" s="2" t="str">
        <f>IFERROR(VLOOKUP(C90,'Catálogo Productos'!$B$3:$E$200,3,0),"")</f>
        <v/>
      </c>
      <c r="F90" s="2" t="str">
        <f>IFERROR(VLOOKUP(C90,'Catálogo Productos'!$B$3:$E$200,4,0),"")</f>
        <v/>
      </c>
      <c r="G90" s="2" t="str">
        <f>IF(F90="","",IF(I90="SÍ",F90*'Configuración'!$C$5,0))</f>
        <v/>
      </c>
      <c r="H90" s="2"/>
      <c r="I90" s="2"/>
      <c r="J90" s="2" t="str">
        <f>IF(F90="","",IF(H90="SÍ",'Configuración'!$C$6,0))</f>
        <v/>
      </c>
      <c r="K90" s="2" t="str">
        <f t="shared" si="6"/>
        <v/>
      </c>
      <c r="L90" s="2" t="str">
        <f t="shared" si="7"/>
        <v/>
      </c>
      <c r="M90" s="2" t="str">
        <f t="shared" si="8"/>
        <v/>
      </c>
      <c r="N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2">
        <v>87.0</v>
      </c>
      <c r="B91" s="2"/>
      <c r="C91" s="2"/>
      <c r="D91" s="2" t="str">
        <f>IFERROR(VLOOKUP(C91,'Catálogo Productos'!$B$3:$E$200,2,0),"")</f>
        <v/>
      </c>
      <c r="E91" s="2" t="str">
        <f>IFERROR(VLOOKUP(C91,'Catálogo Productos'!$B$3:$E$200,3,0),"")</f>
        <v/>
      </c>
      <c r="F91" s="2" t="str">
        <f>IFERROR(VLOOKUP(C91,'Catálogo Productos'!$B$3:$E$200,4,0),"")</f>
        <v/>
      </c>
      <c r="G91" s="2" t="str">
        <f>IF(F91="","",IF(I91="SÍ",F91*'Configuración'!$C$5,0))</f>
        <v/>
      </c>
      <c r="H91" s="2"/>
      <c r="I91" s="2"/>
      <c r="J91" s="2" t="str">
        <f>IF(F91="","",IF(H91="SÍ",'Configuración'!$C$6,0))</f>
        <v/>
      </c>
      <c r="K91" s="2" t="str">
        <f t="shared" si="6"/>
        <v/>
      </c>
      <c r="L91" s="2" t="str">
        <f t="shared" si="7"/>
        <v/>
      </c>
      <c r="M91" s="2" t="str">
        <f t="shared" si="8"/>
        <v/>
      </c>
      <c r="N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2">
        <v>88.0</v>
      </c>
      <c r="B92" s="2"/>
      <c r="C92" s="2"/>
      <c r="D92" s="2" t="str">
        <f>IFERROR(VLOOKUP(C92,'Catálogo Productos'!$B$3:$E$200,2,0),"")</f>
        <v/>
      </c>
      <c r="E92" s="2" t="str">
        <f>IFERROR(VLOOKUP(C92,'Catálogo Productos'!$B$3:$E$200,3,0),"")</f>
        <v/>
      </c>
      <c r="F92" s="2" t="str">
        <f>IFERROR(VLOOKUP(C92,'Catálogo Productos'!$B$3:$E$200,4,0),"")</f>
        <v/>
      </c>
      <c r="G92" s="2" t="str">
        <f>IF(F92="","",IF(I92="SÍ",F92*'Configuración'!$C$5,0))</f>
        <v/>
      </c>
      <c r="H92" s="2"/>
      <c r="I92" s="2"/>
      <c r="J92" s="2" t="str">
        <f>IF(F92="","",IF(H92="SÍ",'Configuración'!$C$6,0))</f>
        <v/>
      </c>
      <c r="K92" s="2" t="str">
        <f t="shared" si="6"/>
        <v/>
      </c>
      <c r="L92" s="2" t="str">
        <f t="shared" si="7"/>
        <v/>
      </c>
      <c r="M92" s="2" t="str">
        <f t="shared" si="8"/>
        <v/>
      </c>
      <c r="N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2">
        <v>89.0</v>
      </c>
      <c r="B93" s="2"/>
      <c r="C93" s="2"/>
      <c r="D93" s="2" t="str">
        <f>IFERROR(VLOOKUP(C93,'Catálogo Productos'!$B$3:$E$200,2,0),"")</f>
        <v/>
      </c>
      <c r="E93" s="2" t="str">
        <f>IFERROR(VLOOKUP(C93,'Catálogo Productos'!$B$3:$E$200,3,0),"")</f>
        <v/>
      </c>
      <c r="F93" s="2" t="str">
        <f>IFERROR(VLOOKUP(C93,'Catálogo Productos'!$B$3:$E$200,4,0),"")</f>
        <v/>
      </c>
      <c r="G93" s="2" t="str">
        <f>IF(F93="","",IF(I93="SÍ",F93*'Configuración'!$C$5,0))</f>
        <v/>
      </c>
      <c r="H93" s="2"/>
      <c r="I93" s="2"/>
      <c r="J93" s="2" t="str">
        <f>IF(F93="","",IF(H93="SÍ",'Configuración'!$C$6,0))</f>
        <v/>
      </c>
      <c r="K93" s="2" t="str">
        <f t="shared" si="6"/>
        <v/>
      </c>
      <c r="L93" s="2" t="str">
        <f t="shared" si="7"/>
        <v/>
      </c>
      <c r="M93" s="2" t="str">
        <f t="shared" si="8"/>
        <v/>
      </c>
      <c r="N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2">
        <v>90.0</v>
      </c>
      <c r="B94" s="2"/>
      <c r="C94" s="2"/>
      <c r="D94" s="2" t="str">
        <f>IFERROR(VLOOKUP(C94,'Catálogo Productos'!$B$3:$E$200,2,0),"")</f>
        <v/>
      </c>
      <c r="E94" s="2" t="str">
        <f>IFERROR(VLOOKUP(C94,'Catálogo Productos'!$B$3:$E$200,3,0),"")</f>
        <v/>
      </c>
      <c r="F94" s="2" t="str">
        <f>IFERROR(VLOOKUP(C94,'Catálogo Productos'!$B$3:$E$200,4,0),"")</f>
        <v/>
      </c>
      <c r="G94" s="2" t="str">
        <f>IF(F94="","",IF(I94="SÍ",F94*'Configuración'!$C$5,0))</f>
        <v/>
      </c>
      <c r="H94" s="2"/>
      <c r="I94" s="2"/>
      <c r="J94" s="2" t="str">
        <f>IF(F94="","",IF(H94="SÍ",'Configuración'!$C$6,0))</f>
        <v/>
      </c>
      <c r="K94" s="2" t="str">
        <f t="shared" si="6"/>
        <v/>
      </c>
      <c r="L94" s="2" t="str">
        <f t="shared" si="7"/>
        <v/>
      </c>
      <c r="M94" s="2" t="str">
        <f t="shared" si="8"/>
        <v/>
      </c>
      <c r="N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2">
        <v>91.0</v>
      </c>
      <c r="B95" s="2"/>
      <c r="C95" s="2"/>
      <c r="D95" s="2" t="str">
        <f>IFERROR(VLOOKUP(C95,'Catálogo Productos'!$B$3:$E$200,2,0),"")</f>
        <v/>
      </c>
      <c r="E95" s="2" t="str">
        <f>IFERROR(VLOOKUP(C95,'Catálogo Productos'!$B$3:$E$200,3,0),"")</f>
        <v/>
      </c>
      <c r="F95" s="2" t="str">
        <f>IFERROR(VLOOKUP(C95,'Catálogo Productos'!$B$3:$E$200,4,0),"")</f>
        <v/>
      </c>
      <c r="G95" s="2" t="str">
        <f>IF(F95="","",IF(I95="SÍ",F95*'Configuración'!$C$5,0))</f>
        <v/>
      </c>
      <c r="H95" s="2"/>
      <c r="I95" s="2"/>
      <c r="J95" s="2" t="str">
        <f>IF(F95="","",IF(H95="SÍ",'Configuración'!$C$6,0))</f>
        <v/>
      </c>
      <c r="K95" s="2" t="str">
        <f t="shared" si="6"/>
        <v/>
      </c>
      <c r="L95" s="2" t="str">
        <f t="shared" si="7"/>
        <v/>
      </c>
      <c r="M95" s="2" t="str">
        <f t="shared" si="8"/>
        <v/>
      </c>
      <c r="N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2">
        <v>92.0</v>
      </c>
      <c r="B96" s="2"/>
      <c r="C96" s="2"/>
      <c r="D96" s="2" t="str">
        <f>IFERROR(VLOOKUP(C96,'Catálogo Productos'!$B$3:$E$200,2,0),"")</f>
        <v/>
      </c>
      <c r="E96" s="2" t="str">
        <f>IFERROR(VLOOKUP(C96,'Catálogo Productos'!$B$3:$E$200,3,0),"")</f>
        <v/>
      </c>
      <c r="F96" s="2" t="str">
        <f>IFERROR(VLOOKUP(C96,'Catálogo Productos'!$B$3:$E$200,4,0),"")</f>
        <v/>
      </c>
      <c r="G96" s="2" t="str">
        <f>IF(F96="","",IF(I96="SÍ",F96*'Configuración'!$C$5,0))</f>
        <v/>
      </c>
      <c r="H96" s="2"/>
      <c r="I96" s="2"/>
      <c r="J96" s="2" t="str">
        <f>IF(F96="","",IF(H96="SÍ",'Configuración'!$C$6,0))</f>
        <v/>
      </c>
      <c r="K96" s="2" t="str">
        <f t="shared" si="6"/>
        <v/>
      </c>
      <c r="L96" s="2" t="str">
        <f t="shared" si="7"/>
        <v/>
      </c>
      <c r="M96" s="2" t="str">
        <f t="shared" si="8"/>
        <v/>
      </c>
      <c r="N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2">
        <v>93.0</v>
      </c>
      <c r="B97" s="2"/>
      <c r="C97" s="2"/>
      <c r="D97" s="2" t="str">
        <f>IFERROR(VLOOKUP(C97,'Catálogo Productos'!$B$3:$E$200,2,0),"")</f>
        <v/>
      </c>
      <c r="E97" s="2" t="str">
        <f>IFERROR(VLOOKUP(C97,'Catálogo Productos'!$B$3:$E$200,3,0),"")</f>
        <v/>
      </c>
      <c r="F97" s="2" t="str">
        <f>IFERROR(VLOOKUP(C97,'Catálogo Productos'!$B$3:$E$200,4,0),"")</f>
        <v/>
      </c>
      <c r="G97" s="2" t="str">
        <f>IF(F97="","",IF(I97="SÍ",F97*'Configuración'!$C$5,0))</f>
        <v/>
      </c>
      <c r="H97" s="2"/>
      <c r="I97" s="2"/>
      <c r="J97" s="2" t="str">
        <f>IF(F97="","",IF(H97="SÍ",'Configuración'!$C$6,0))</f>
        <v/>
      </c>
      <c r="K97" s="2" t="str">
        <f t="shared" si="6"/>
        <v/>
      </c>
      <c r="L97" s="2" t="str">
        <f t="shared" si="7"/>
        <v/>
      </c>
      <c r="M97" s="2" t="str">
        <f t="shared" si="8"/>
        <v/>
      </c>
      <c r="N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2">
        <v>94.0</v>
      </c>
      <c r="B98" s="2"/>
      <c r="C98" s="2"/>
      <c r="D98" s="2" t="str">
        <f>IFERROR(VLOOKUP(C98,'Catálogo Productos'!$B$3:$E$200,2,0),"")</f>
        <v/>
      </c>
      <c r="E98" s="2" t="str">
        <f>IFERROR(VLOOKUP(C98,'Catálogo Productos'!$B$3:$E$200,3,0),"")</f>
        <v/>
      </c>
      <c r="F98" s="2" t="str">
        <f>IFERROR(VLOOKUP(C98,'Catálogo Productos'!$B$3:$E$200,4,0),"")</f>
        <v/>
      </c>
      <c r="G98" s="2" t="str">
        <f>IF(F98="","",IF(I98="SÍ",F98*'Configuración'!$C$5,0))</f>
        <v/>
      </c>
      <c r="H98" s="2"/>
      <c r="I98" s="2"/>
      <c r="J98" s="2" t="str">
        <f>IF(F98="","",IF(H98="SÍ",'Configuración'!$C$6,0))</f>
        <v/>
      </c>
      <c r="K98" s="2" t="str">
        <f t="shared" si="6"/>
        <v/>
      </c>
      <c r="L98" s="2" t="str">
        <f t="shared" si="7"/>
        <v/>
      </c>
      <c r="M98" s="2" t="str">
        <f t="shared" si="8"/>
        <v/>
      </c>
      <c r="N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2">
        <v>95.0</v>
      </c>
      <c r="B99" s="2"/>
      <c r="C99" s="2"/>
      <c r="D99" s="2" t="str">
        <f>IFERROR(VLOOKUP(C99,'Catálogo Productos'!$B$3:$E$200,2,0),"")</f>
        <v/>
      </c>
      <c r="E99" s="2" t="str">
        <f>IFERROR(VLOOKUP(C99,'Catálogo Productos'!$B$3:$E$200,3,0),"")</f>
        <v/>
      </c>
      <c r="F99" s="2" t="str">
        <f>IFERROR(VLOOKUP(C99,'Catálogo Productos'!$B$3:$E$200,4,0),"")</f>
        <v/>
      </c>
      <c r="G99" s="2" t="str">
        <f>IF(F99="","",IF(I99="SÍ",F99*'Configuración'!$C$5,0))</f>
        <v/>
      </c>
      <c r="H99" s="2"/>
      <c r="I99" s="2"/>
      <c r="J99" s="2" t="str">
        <f>IF(F99="","",IF(H99="SÍ",'Configuración'!$C$6,0))</f>
        <v/>
      </c>
      <c r="K99" s="2" t="str">
        <f t="shared" si="6"/>
        <v/>
      </c>
      <c r="L99" s="2" t="str">
        <f t="shared" si="7"/>
        <v/>
      </c>
      <c r="M99" s="2" t="str">
        <f t="shared" si="8"/>
        <v/>
      </c>
      <c r="N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2">
        <v>96.0</v>
      </c>
      <c r="B100" s="2"/>
      <c r="C100" s="2"/>
      <c r="D100" s="2" t="str">
        <f>IFERROR(VLOOKUP(C100,'Catálogo Productos'!$B$3:$E$200,2,0),"")</f>
        <v/>
      </c>
      <c r="E100" s="2" t="str">
        <f>IFERROR(VLOOKUP(C100,'Catálogo Productos'!$B$3:$E$200,3,0),"")</f>
        <v/>
      </c>
      <c r="F100" s="2" t="str">
        <f>IFERROR(VLOOKUP(C100,'Catálogo Productos'!$B$3:$E$200,4,0),"")</f>
        <v/>
      </c>
      <c r="G100" s="2" t="str">
        <f>IF(F100="","",IF(I100="SÍ",F100*'Configuración'!$C$5,0))</f>
        <v/>
      </c>
      <c r="H100" s="2"/>
      <c r="I100" s="2"/>
      <c r="J100" s="2" t="str">
        <f>IF(F100="","",IF(H100="SÍ",'Configuración'!$C$6,0))</f>
        <v/>
      </c>
      <c r="K100" s="2" t="str">
        <f t="shared" si="6"/>
        <v/>
      </c>
      <c r="L100" s="2" t="str">
        <f t="shared" si="7"/>
        <v/>
      </c>
      <c r="M100" s="2" t="str">
        <f t="shared" si="8"/>
        <v/>
      </c>
      <c r="N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2">
        <v>97.0</v>
      </c>
      <c r="B101" s="2"/>
      <c r="C101" s="2"/>
      <c r="D101" s="2" t="str">
        <f>IFERROR(VLOOKUP(C101,'Catálogo Productos'!$B$3:$E$200,2,0),"")</f>
        <v/>
      </c>
      <c r="E101" s="2" t="str">
        <f>IFERROR(VLOOKUP(C101,'Catálogo Productos'!$B$3:$E$200,3,0),"")</f>
        <v/>
      </c>
      <c r="F101" s="2" t="str">
        <f>IFERROR(VLOOKUP(C101,'Catálogo Productos'!$B$3:$E$200,4,0),"")</f>
        <v/>
      </c>
      <c r="G101" s="2" t="str">
        <f>IF(F101="","",IF(I101="SÍ",F101*'Configuración'!$C$5,0))</f>
        <v/>
      </c>
      <c r="H101" s="2"/>
      <c r="I101" s="2"/>
      <c r="J101" s="2" t="str">
        <f>IF(F101="","",IF(H101="SÍ",'Configuración'!$C$6,0))</f>
        <v/>
      </c>
      <c r="K101" s="2" t="str">
        <f t="shared" si="6"/>
        <v/>
      </c>
      <c r="L101" s="2" t="str">
        <f t="shared" si="7"/>
        <v/>
      </c>
      <c r="M101" s="2" t="str">
        <f t="shared" si="8"/>
        <v/>
      </c>
      <c r="N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2">
        <v>98.0</v>
      </c>
      <c r="B102" s="2"/>
      <c r="C102" s="2"/>
      <c r="D102" s="2" t="str">
        <f>IFERROR(VLOOKUP(C102,'Catálogo Productos'!$B$3:$E$200,2,0),"")</f>
        <v/>
      </c>
      <c r="E102" s="2" t="str">
        <f>IFERROR(VLOOKUP(C102,'Catálogo Productos'!$B$3:$E$200,3,0),"")</f>
        <v/>
      </c>
      <c r="F102" s="2" t="str">
        <f>IFERROR(VLOOKUP(C102,'Catálogo Productos'!$B$3:$E$200,4,0),"")</f>
        <v/>
      </c>
      <c r="G102" s="2" t="str">
        <f>IF(F102="","",IF(I102="SÍ",F102*'Configuración'!$C$5,0))</f>
        <v/>
      </c>
      <c r="H102" s="2"/>
      <c r="I102" s="2"/>
      <c r="J102" s="2" t="str">
        <f>IF(F102="","",IF(H102="SÍ",'Configuración'!$C$6,0))</f>
        <v/>
      </c>
      <c r="K102" s="2" t="str">
        <f t="shared" si="6"/>
        <v/>
      </c>
      <c r="L102" s="2" t="str">
        <f t="shared" si="7"/>
        <v/>
      </c>
      <c r="M102" s="2" t="str">
        <f t="shared" si="8"/>
        <v/>
      </c>
      <c r="N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>
      <c r="A103" s="2">
        <v>99.0</v>
      </c>
      <c r="B103" s="2"/>
      <c r="C103" s="2"/>
      <c r="D103" s="2" t="str">
        <f>IFERROR(VLOOKUP(C103,'Catálogo Productos'!$B$3:$E$200,2,0),"")</f>
        <v/>
      </c>
      <c r="E103" s="2" t="str">
        <f>IFERROR(VLOOKUP(C103,'Catálogo Productos'!$B$3:$E$200,3,0),"")</f>
        <v/>
      </c>
      <c r="F103" s="2" t="str">
        <f>IFERROR(VLOOKUP(C103,'Catálogo Productos'!$B$3:$E$200,4,0),"")</f>
        <v/>
      </c>
      <c r="G103" s="2" t="str">
        <f>IF(F103="","",IF(I103="SÍ",F103*'Configuración'!$C$5,0))</f>
        <v/>
      </c>
      <c r="H103" s="2"/>
      <c r="I103" s="2"/>
      <c r="J103" s="2" t="str">
        <f>IF(F103="","",IF(H103="SÍ",'Configuración'!$C$6,0))</f>
        <v/>
      </c>
      <c r="K103" s="2" t="str">
        <f t="shared" si="6"/>
        <v/>
      </c>
      <c r="L103" s="2" t="str">
        <f t="shared" si="7"/>
        <v/>
      </c>
      <c r="M103" s="2" t="str">
        <f t="shared" si="8"/>
        <v/>
      </c>
      <c r="N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customHeight="1">
      <c r="A104" s="2">
        <v>100.0</v>
      </c>
      <c r="B104" s="2"/>
      <c r="C104" s="2"/>
      <c r="D104" s="2" t="str">
        <f>IFERROR(VLOOKUP(C104,'Catálogo Productos'!$B$3:$E$200,2,0),"")</f>
        <v/>
      </c>
      <c r="E104" s="2" t="str">
        <f>IFERROR(VLOOKUP(C104,'Catálogo Productos'!$B$3:$E$200,3,0),"")</f>
        <v/>
      </c>
      <c r="F104" s="2" t="str">
        <f>IFERROR(VLOOKUP(C104,'Catálogo Productos'!$B$3:$E$200,4,0),"")</f>
        <v/>
      </c>
      <c r="G104" s="2" t="str">
        <f>IF(F104="","",IF(I104="SÍ",F104*'Configuración'!$C$5,0))</f>
        <v/>
      </c>
      <c r="H104" s="2"/>
      <c r="I104" s="2"/>
      <c r="J104" s="2" t="str">
        <f>IF(F104="","",IF(H104="SÍ",'Configuración'!$C$6,0))</f>
        <v/>
      </c>
      <c r="K104" s="2" t="str">
        <f t="shared" si="6"/>
        <v/>
      </c>
      <c r="L104" s="2" t="str">
        <f t="shared" si="7"/>
        <v/>
      </c>
      <c r="M104" s="2" t="str">
        <f t="shared" si="8"/>
        <v/>
      </c>
      <c r="N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>
      <c r="A105" s="2">
        <v>101.0</v>
      </c>
      <c r="B105" s="2"/>
      <c r="C105" s="2"/>
      <c r="D105" s="2" t="str">
        <f>IFERROR(VLOOKUP(C105,'Catálogo Productos'!$B$3:$E$200,2,0),"")</f>
        <v/>
      </c>
      <c r="E105" s="2" t="str">
        <f>IFERROR(VLOOKUP(C105,'Catálogo Productos'!$B$3:$E$200,3,0),"")</f>
        <v/>
      </c>
      <c r="F105" s="2" t="str">
        <f>IFERROR(VLOOKUP(C105,'Catálogo Productos'!$B$3:$E$200,4,0),"")</f>
        <v/>
      </c>
      <c r="G105" s="2" t="str">
        <f>IF(F105="","",IF(I105="SÍ",F105*'Configuración'!$C$5,0))</f>
        <v/>
      </c>
      <c r="H105" s="2"/>
      <c r="I105" s="2"/>
      <c r="J105" s="2" t="str">
        <f>IF(F105="","",IF(H105="SÍ",'Configuración'!$C$6,0))</f>
        <v/>
      </c>
      <c r="K105" s="2" t="str">
        <f t="shared" si="6"/>
        <v/>
      </c>
      <c r="L105" s="2" t="str">
        <f t="shared" si="7"/>
        <v/>
      </c>
      <c r="M105" s="2" t="str">
        <f t="shared" si="8"/>
        <v/>
      </c>
      <c r="N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>
      <c r="A106" s="2">
        <v>102.0</v>
      </c>
      <c r="B106" s="2"/>
      <c r="C106" s="2"/>
      <c r="D106" s="2" t="str">
        <f>IFERROR(VLOOKUP(C106,'Catálogo Productos'!$B$3:$E$200,2,0),"")</f>
        <v/>
      </c>
      <c r="E106" s="2" t="str">
        <f>IFERROR(VLOOKUP(C106,'Catálogo Productos'!$B$3:$E$200,3,0),"")</f>
        <v/>
      </c>
      <c r="F106" s="2" t="str">
        <f>IFERROR(VLOOKUP(C106,'Catálogo Productos'!$B$3:$E$200,4,0),"")</f>
        <v/>
      </c>
      <c r="G106" s="2" t="str">
        <f>IF(F106="","",IF(I106="SÍ",F106*'Configuración'!$C$5,0))</f>
        <v/>
      </c>
      <c r="H106" s="2"/>
      <c r="I106" s="2"/>
      <c r="J106" s="2" t="str">
        <f>IF(F106="","",IF(H106="SÍ",'Configuración'!$C$6,0))</f>
        <v/>
      </c>
      <c r="K106" s="2" t="str">
        <f t="shared" si="6"/>
        <v/>
      </c>
      <c r="L106" s="2" t="str">
        <f t="shared" si="7"/>
        <v/>
      </c>
      <c r="M106" s="2" t="str">
        <f t="shared" si="8"/>
        <v/>
      </c>
      <c r="N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customHeight="1">
      <c r="A107" s="2">
        <v>103.0</v>
      </c>
      <c r="B107" s="2"/>
      <c r="C107" s="2"/>
      <c r="D107" s="2" t="str">
        <f>IFERROR(VLOOKUP(C107,'Catálogo Productos'!$B$3:$E$200,2,0),"")</f>
        <v/>
      </c>
      <c r="E107" s="2" t="str">
        <f>IFERROR(VLOOKUP(C107,'Catálogo Productos'!$B$3:$E$200,3,0),"")</f>
        <v/>
      </c>
      <c r="F107" s="2" t="str">
        <f>IFERROR(VLOOKUP(C107,'Catálogo Productos'!$B$3:$E$200,4,0),"")</f>
        <v/>
      </c>
      <c r="G107" s="2" t="str">
        <f>IF(F107="","",IF(I107="SÍ",F107*'Configuración'!$C$5,0))</f>
        <v/>
      </c>
      <c r="H107" s="2"/>
      <c r="I107" s="2"/>
      <c r="J107" s="2" t="str">
        <f>IF(F107="","",IF(H107="SÍ",'Configuración'!$C$6,0))</f>
        <v/>
      </c>
      <c r="K107" s="2" t="str">
        <f t="shared" si="6"/>
        <v/>
      </c>
      <c r="L107" s="2" t="str">
        <f t="shared" si="7"/>
        <v/>
      </c>
      <c r="M107" s="2" t="str">
        <f t="shared" si="8"/>
        <v/>
      </c>
      <c r="N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>
      <c r="A108" s="2">
        <v>104.0</v>
      </c>
      <c r="B108" s="2"/>
      <c r="C108" s="2"/>
      <c r="D108" s="2" t="str">
        <f>IFERROR(VLOOKUP(C108,'Catálogo Productos'!$B$3:$E$200,2,0),"")</f>
        <v/>
      </c>
      <c r="E108" s="2" t="str">
        <f>IFERROR(VLOOKUP(C108,'Catálogo Productos'!$B$3:$E$200,3,0),"")</f>
        <v/>
      </c>
      <c r="F108" s="2" t="str">
        <f>IFERROR(VLOOKUP(C108,'Catálogo Productos'!$B$3:$E$200,4,0),"")</f>
        <v/>
      </c>
      <c r="G108" s="2" t="str">
        <f>IF(F108="","",IF(I108="SÍ",F108*'Configuración'!$C$5,0))</f>
        <v/>
      </c>
      <c r="H108" s="2"/>
      <c r="I108" s="2"/>
      <c r="J108" s="2" t="str">
        <f>IF(F108="","",IF(H108="SÍ",'Configuración'!$C$6,0))</f>
        <v/>
      </c>
      <c r="K108" s="2" t="str">
        <f t="shared" si="6"/>
        <v/>
      </c>
      <c r="L108" s="2" t="str">
        <f t="shared" si="7"/>
        <v/>
      </c>
      <c r="M108" s="2" t="str">
        <f t="shared" si="8"/>
        <v/>
      </c>
      <c r="N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customHeight="1">
      <c r="A109" s="2">
        <v>105.0</v>
      </c>
      <c r="B109" s="2"/>
      <c r="C109" s="2"/>
      <c r="D109" s="2" t="str">
        <f>IFERROR(VLOOKUP(C109,'Catálogo Productos'!$B$3:$E$200,2,0),"")</f>
        <v/>
      </c>
      <c r="E109" s="2" t="str">
        <f>IFERROR(VLOOKUP(C109,'Catálogo Productos'!$B$3:$E$200,3,0),"")</f>
        <v/>
      </c>
      <c r="F109" s="2" t="str">
        <f>IFERROR(VLOOKUP(C109,'Catálogo Productos'!$B$3:$E$200,4,0),"")</f>
        <v/>
      </c>
      <c r="G109" s="2" t="str">
        <f>IF(F109="","",IF(I109="SÍ",F109*'Configuración'!$C$5,0))</f>
        <v/>
      </c>
      <c r="H109" s="2"/>
      <c r="I109" s="2"/>
      <c r="J109" s="2" t="str">
        <f>IF(F109="","",IF(H109="SÍ",'Configuración'!$C$6,0))</f>
        <v/>
      </c>
      <c r="K109" s="2" t="str">
        <f t="shared" si="6"/>
        <v/>
      </c>
      <c r="L109" s="2" t="str">
        <f t="shared" si="7"/>
        <v/>
      </c>
      <c r="M109" s="2" t="str">
        <f t="shared" si="8"/>
        <v/>
      </c>
      <c r="N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customHeight="1">
      <c r="A110" s="2">
        <v>106.0</v>
      </c>
      <c r="B110" s="2"/>
      <c r="C110" s="2"/>
      <c r="D110" s="2" t="str">
        <f>IFERROR(VLOOKUP(C110,'Catálogo Productos'!$B$3:$E$200,2,0),"")</f>
        <v/>
      </c>
      <c r="E110" s="2" t="str">
        <f>IFERROR(VLOOKUP(C110,'Catálogo Productos'!$B$3:$E$200,3,0),"")</f>
        <v/>
      </c>
      <c r="F110" s="2" t="str">
        <f>IFERROR(VLOOKUP(C110,'Catálogo Productos'!$B$3:$E$200,4,0),"")</f>
        <v/>
      </c>
      <c r="G110" s="2" t="str">
        <f>IF(F110="","",IF(I110="SÍ",F110*'Configuración'!$C$5,0))</f>
        <v/>
      </c>
      <c r="H110" s="2"/>
      <c r="I110" s="2"/>
      <c r="J110" s="2" t="str">
        <f>IF(F110="","",IF(H110="SÍ",'Configuración'!$C$6,0))</f>
        <v/>
      </c>
      <c r="K110" s="2" t="str">
        <f t="shared" si="6"/>
        <v/>
      </c>
      <c r="L110" s="2" t="str">
        <f t="shared" si="7"/>
        <v/>
      </c>
      <c r="M110" s="2" t="str">
        <f t="shared" si="8"/>
        <v/>
      </c>
      <c r="N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>
      <c r="A111" s="2">
        <v>107.0</v>
      </c>
      <c r="B111" s="2"/>
      <c r="C111" s="2"/>
      <c r="D111" s="2" t="str">
        <f>IFERROR(VLOOKUP(C111,'Catálogo Productos'!$B$3:$E$200,2,0),"")</f>
        <v/>
      </c>
      <c r="E111" s="2" t="str">
        <f>IFERROR(VLOOKUP(C111,'Catálogo Productos'!$B$3:$E$200,3,0),"")</f>
        <v/>
      </c>
      <c r="F111" s="2" t="str">
        <f>IFERROR(VLOOKUP(C111,'Catálogo Productos'!$B$3:$E$200,4,0),"")</f>
        <v/>
      </c>
      <c r="G111" s="2" t="str">
        <f>IF(F111="","",IF(I111="SÍ",F111*'Configuración'!$C$5,0))</f>
        <v/>
      </c>
      <c r="H111" s="2"/>
      <c r="I111" s="2"/>
      <c r="J111" s="2" t="str">
        <f>IF(F111="","",IF(H111="SÍ",'Configuración'!$C$6,0))</f>
        <v/>
      </c>
      <c r="K111" s="2" t="str">
        <f t="shared" si="6"/>
        <v/>
      </c>
      <c r="L111" s="2" t="str">
        <f t="shared" si="7"/>
        <v/>
      </c>
      <c r="M111" s="2" t="str">
        <f t="shared" si="8"/>
        <v/>
      </c>
      <c r="N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>
      <c r="A112" s="2">
        <v>108.0</v>
      </c>
      <c r="B112" s="2"/>
      <c r="C112" s="2"/>
      <c r="D112" s="2" t="str">
        <f>IFERROR(VLOOKUP(C112,'Catálogo Productos'!$B$3:$E$200,2,0),"")</f>
        <v/>
      </c>
      <c r="E112" s="2" t="str">
        <f>IFERROR(VLOOKUP(C112,'Catálogo Productos'!$B$3:$E$200,3,0),"")</f>
        <v/>
      </c>
      <c r="F112" s="2" t="str">
        <f>IFERROR(VLOOKUP(C112,'Catálogo Productos'!$B$3:$E$200,4,0),"")</f>
        <v/>
      </c>
      <c r="G112" s="2" t="str">
        <f>IF(F112="","",IF(I112="SÍ",F112*'Configuración'!$C$5,0))</f>
        <v/>
      </c>
      <c r="H112" s="2"/>
      <c r="I112" s="2"/>
      <c r="J112" s="2" t="str">
        <f>IF(F112="","",IF(H112="SÍ",'Configuración'!$C$6,0))</f>
        <v/>
      </c>
      <c r="K112" s="2" t="str">
        <f t="shared" si="6"/>
        <v/>
      </c>
      <c r="L112" s="2" t="str">
        <f t="shared" si="7"/>
        <v/>
      </c>
      <c r="M112" s="2" t="str">
        <f t="shared" si="8"/>
        <v/>
      </c>
      <c r="N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customHeight="1">
      <c r="A113" s="2">
        <v>109.0</v>
      </c>
      <c r="B113" s="2"/>
      <c r="C113" s="2"/>
      <c r="D113" s="2" t="str">
        <f>IFERROR(VLOOKUP(C113,'Catálogo Productos'!$B$3:$E$200,2,0),"")</f>
        <v/>
      </c>
      <c r="E113" s="2" t="str">
        <f>IFERROR(VLOOKUP(C113,'Catálogo Productos'!$B$3:$E$200,3,0),"")</f>
        <v/>
      </c>
      <c r="F113" s="2" t="str">
        <f>IFERROR(VLOOKUP(C113,'Catálogo Productos'!$B$3:$E$200,4,0),"")</f>
        <v/>
      </c>
      <c r="G113" s="2" t="str">
        <f>IF(F113="","",IF(I113="SÍ",F113*'Configuración'!$C$5,0))</f>
        <v/>
      </c>
      <c r="H113" s="2"/>
      <c r="I113" s="2"/>
      <c r="J113" s="2" t="str">
        <f>IF(F113="","",IF(H113="SÍ",'Configuración'!$C$6,0))</f>
        <v/>
      </c>
      <c r="K113" s="2" t="str">
        <f t="shared" si="6"/>
        <v/>
      </c>
      <c r="L113" s="2" t="str">
        <f t="shared" si="7"/>
        <v/>
      </c>
      <c r="M113" s="2" t="str">
        <f t="shared" si="8"/>
        <v/>
      </c>
      <c r="N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>
      <c r="A114" s="2">
        <v>110.0</v>
      </c>
      <c r="B114" s="2"/>
      <c r="C114" s="2"/>
      <c r="D114" s="2" t="str">
        <f>IFERROR(VLOOKUP(C114,'Catálogo Productos'!$B$3:$E$200,2,0),"")</f>
        <v/>
      </c>
      <c r="E114" s="2" t="str">
        <f>IFERROR(VLOOKUP(C114,'Catálogo Productos'!$B$3:$E$200,3,0),"")</f>
        <v/>
      </c>
      <c r="F114" s="2" t="str">
        <f>IFERROR(VLOOKUP(C114,'Catálogo Productos'!$B$3:$E$200,4,0),"")</f>
        <v/>
      </c>
      <c r="G114" s="2" t="str">
        <f>IF(F114="","",IF(I114="SÍ",F114*'Configuración'!$C$5,0))</f>
        <v/>
      </c>
      <c r="H114" s="2"/>
      <c r="I114" s="2"/>
      <c r="J114" s="2" t="str">
        <f>IF(F114="","",IF(H114="SÍ",'Configuración'!$C$6,0))</f>
        <v/>
      </c>
      <c r="K114" s="2" t="str">
        <f t="shared" si="6"/>
        <v/>
      </c>
      <c r="L114" s="2" t="str">
        <f t="shared" si="7"/>
        <v/>
      </c>
      <c r="M114" s="2" t="str">
        <f t="shared" si="8"/>
        <v/>
      </c>
      <c r="N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>
      <c r="A115" s="2">
        <v>111.0</v>
      </c>
      <c r="B115" s="2"/>
      <c r="C115" s="2"/>
      <c r="D115" s="2" t="str">
        <f>IFERROR(VLOOKUP(C115,'Catálogo Productos'!$B$3:$E$200,2,0),"")</f>
        <v/>
      </c>
      <c r="E115" s="2" t="str">
        <f>IFERROR(VLOOKUP(C115,'Catálogo Productos'!$B$3:$E$200,3,0),"")</f>
        <v/>
      </c>
      <c r="F115" s="2" t="str">
        <f>IFERROR(VLOOKUP(C115,'Catálogo Productos'!$B$3:$E$200,4,0),"")</f>
        <v/>
      </c>
      <c r="G115" s="2" t="str">
        <f>IF(F115="","",IF(I115="SÍ",F115*'Configuración'!$C$5,0))</f>
        <v/>
      </c>
      <c r="H115" s="2"/>
      <c r="I115" s="2"/>
      <c r="J115" s="2" t="str">
        <f>IF(F115="","",IF(H115="SÍ",'Configuración'!$C$6,0))</f>
        <v/>
      </c>
      <c r="K115" s="2" t="str">
        <f t="shared" si="6"/>
        <v/>
      </c>
      <c r="L115" s="2" t="str">
        <f t="shared" si="7"/>
        <v/>
      </c>
      <c r="M115" s="2" t="str">
        <f t="shared" si="8"/>
        <v/>
      </c>
      <c r="N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>
      <c r="A116" s="2">
        <v>112.0</v>
      </c>
      <c r="B116" s="2"/>
      <c r="C116" s="2"/>
      <c r="D116" s="2" t="str">
        <f>IFERROR(VLOOKUP(C116,'Catálogo Productos'!$B$3:$E$200,2,0),"")</f>
        <v/>
      </c>
      <c r="E116" s="2" t="str">
        <f>IFERROR(VLOOKUP(C116,'Catálogo Productos'!$B$3:$E$200,3,0),"")</f>
        <v/>
      </c>
      <c r="F116" s="2" t="str">
        <f>IFERROR(VLOOKUP(C116,'Catálogo Productos'!$B$3:$E$200,4,0),"")</f>
        <v/>
      </c>
      <c r="G116" s="2" t="str">
        <f>IF(F116="","",IF(I116="SÍ",F116*'Configuración'!$C$5,0))</f>
        <v/>
      </c>
      <c r="H116" s="2"/>
      <c r="I116" s="2"/>
      <c r="J116" s="2" t="str">
        <f>IF(F116="","",IF(H116="SÍ",'Configuración'!$C$6,0))</f>
        <v/>
      </c>
      <c r="K116" s="2" t="str">
        <f t="shared" si="6"/>
        <v/>
      </c>
      <c r="L116" s="2" t="str">
        <f t="shared" si="7"/>
        <v/>
      </c>
      <c r="M116" s="2" t="str">
        <f t="shared" si="8"/>
        <v/>
      </c>
      <c r="N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>
      <c r="A117" s="2">
        <v>113.0</v>
      </c>
      <c r="B117" s="2"/>
      <c r="C117" s="2"/>
      <c r="D117" s="2" t="str">
        <f>IFERROR(VLOOKUP(C117,'Catálogo Productos'!$B$3:$E$200,2,0),"")</f>
        <v/>
      </c>
      <c r="E117" s="2" t="str">
        <f>IFERROR(VLOOKUP(C117,'Catálogo Productos'!$B$3:$E$200,3,0),"")</f>
        <v/>
      </c>
      <c r="F117" s="2" t="str">
        <f>IFERROR(VLOOKUP(C117,'Catálogo Productos'!$B$3:$E$200,4,0),"")</f>
        <v/>
      </c>
      <c r="G117" s="2" t="str">
        <f>IF(F117="","",IF(I117="SÍ",F117*'Configuración'!$C$5,0))</f>
        <v/>
      </c>
      <c r="H117" s="2"/>
      <c r="I117" s="2"/>
      <c r="J117" s="2" t="str">
        <f>IF(F117="","",IF(H117="SÍ",'Configuración'!$C$6,0))</f>
        <v/>
      </c>
      <c r="K117" s="2" t="str">
        <f t="shared" si="6"/>
        <v/>
      </c>
      <c r="L117" s="2" t="str">
        <f t="shared" si="7"/>
        <v/>
      </c>
      <c r="M117" s="2" t="str">
        <f t="shared" si="8"/>
        <v/>
      </c>
      <c r="N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2">
        <v>114.0</v>
      </c>
      <c r="B118" s="2"/>
      <c r="C118" s="2"/>
      <c r="D118" s="2" t="str">
        <f>IFERROR(VLOOKUP(C118,'Catálogo Productos'!$B$3:$E$200,2,0),"")</f>
        <v/>
      </c>
      <c r="E118" s="2" t="str">
        <f>IFERROR(VLOOKUP(C118,'Catálogo Productos'!$B$3:$E$200,3,0),"")</f>
        <v/>
      </c>
      <c r="F118" s="2" t="str">
        <f>IFERROR(VLOOKUP(C118,'Catálogo Productos'!$B$3:$E$200,4,0),"")</f>
        <v/>
      </c>
      <c r="G118" s="2" t="str">
        <f>IF(F118="","",IF(I118="SÍ",F118*'Configuración'!$C$5,0))</f>
        <v/>
      </c>
      <c r="H118" s="2"/>
      <c r="I118" s="2"/>
      <c r="J118" s="2" t="str">
        <f>IF(F118="","",IF(H118="SÍ",'Configuración'!$C$6,0))</f>
        <v/>
      </c>
      <c r="K118" s="2" t="str">
        <f t="shared" si="6"/>
        <v/>
      </c>
      <c r="L118" s="2" t="str">
        <f t="shared" si="7"/>
        <v/>
      </c>
      <c r="M118" s="2" t="str">
        <f t="shared" si="8"/>
        <v/>
      </c>
      <c r="N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>
      <c r="A119" s="2">
        <v>115.0</v>
      </c>
      <c r="B119" s="2"/>
      <c r="C119" s="2"/>
      <c r="D119" s="2" t="str">
        <f>IFERROR(VLOOKUP(C119,'Catálogo Productos'!$B$3:$E$200,2,0),"")</f>
        <v/>
      </c>
      <c r="E119" s="2" t="str">
        <f>IFERROR(VLOOKUP(C119,'Catálogo Productos'!$B$3:$E$200,3,0),"")</f>
        <v/>
      </c>
      <c r="F119" s="2" t="str">
        <f>IFERROR(VLOOKUP(C119,'Catálogo Productos'!$B$3:$E$200,4,0),"")</f>
        <v/>
      </c>
      <c r="G119" s="2" t="str">
        <f>IF(F119="","",IF(I119="SÍ",F119*'Configuración'!$C$5,0))</f>
        <v/>
      </c>
      <c r="H119" s="2"/>
      <c r="I119" s="2"/>
      <c r="J119" s="2" t="str">
        <f>IF(F119="","",IF(H119="SÍ",'Configuración'!$C$6,0))</f>
        <v/>
      </c>
      <c r="K119" s="2" t="str">
        <f t="shared" si="6"/>
        <v/>
      </c>
      <c r="L119" s="2" t="str">
        <f t="shared" si="7"/>
        <v/>
      </c>
      <c r="M119" s="2" t="str">
        <f t="shared" si="8"/>
        <v/>
      </c>
      <c r="N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2">
        <v>116.0</v>
      </c>
      <c r="B120" s="2"/>
      <c r="C120" s="2"/>
      <c r="D120" s="2" t="str">
        <f>IFERROR(VLOOKUP(C120,'Catálogo Productos'!$B$3:$E$200,2,0),"")</f>
        <v/>
      </c>
      <c r="E120" s="2" t="str">
        <f>IFERROR(VLOOKUP(C120,'Catálogo Productos'!$B$3:$E$200,3,0),"")</f>
        <v/>
      </c>
      <c r="F120" s="2" t="str">
        <f>IFERROR(VLOOKUP(C120,'Catálogo Productos'!$B$3:$E$200,4,0),"")</f>
        <v/>
      </c>
      <c r="G120" s="2" t="str">
        <f>IF(F120="","",IF(I120="SÍ",F120*'Configuración'!$C$5,0))</f>
        <v/>
      </c>
      <c r="H120" s="2"/>
      <c r="I120" s="2"/>
      <c r="J120" s="2" t="str">
        <f>IF(F120="","",IF(H120="SÍ",'Configuración'!$C$6,0))</f>
        <v/>
      </c>
      <c r="K120" s="2" t="str">
        <f t="shared" si="6"/>
        <v/>
      </c>
      <c r="L120" s="2" t="str">
        <f t="shared" si="7"/>
        <v/>
      </c>
      <c r="M120" s="2" t="str">
        <f t="shared" si="8"/>
        <v/>
      </c>
      <c r="N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2">
        <v>117.0</v>
      </c>
      <c r="B121" s="2"/>
      <c r="C121" s="2"/>
      <c r="D121" s="2" t="str">
        <f>IFERROR(VLOOKUP(C121,'Catálogo Productos'!$B$3:$E$200,2,0),"")</f>
        <v/>
      </c>
      <c r="E121" s="2" t="str">
        <f>IFERROR(VLOOKUP(C121,'Catálogo Productos'!$B$3:$E$200,3,0),"")</f>
        <v/>
      </c>
      <c r="F121" s="2" t="str">
        <f>IFERROR(VLOOKUP(C121,'Catálogo Productos'!$B$3:$E$200,4,0),"")</f>
        <v/>
      </c>
      <c r="G121" s="2" t="str">
        <f>IF(F121="","",IF(I121="SÍ",F121*'Configuración'!$C$5,0))</f>
        <v/>
      </c>
      <c r="H121" s="2"/>
      <c r="I121" s="2"/>
      <c r="J121" s="2" t="str">
        <f>IF(F121="","",IF(H121="SÍ",'Configuración'!$C$6,0))</f>
        <v/>
      </c>
      <c r="K121" s="2" t="str">
        <f t="shared" si="6"/>
        <v/>
      </c>
      <c r="L121" s="2" t="str">
        <f t="shared" si="7"/>
        <v/>
      </c>
      <c r="M121" s="2" t="str">
        <f t="shared" si="8"/>
        <v/>
      </c>
      <c r="N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>
      <c r="A122" s="2">
        <v>118.0</v>
      </c>
      <c r="B122" s="2"/>
      <c r="C122" s="2"/>
      <c r="D122" s="2" t="str">
        <f>IFERROR(VLOOKUP(C122,'Catálogo Productos'!$B$3:$E$200,2,0),"")</f>
        <v/>
      </c>
      <c r="E122" s="2" t="str">
        <f>IFERROR(VLOOKUP(C122,'Catálogo Productos'!$B$3:$E$200,3,0),"")</f>
        <v/>
      </c>
      <c r="F122" s="2" t="str">
        <f>IFERROR(VLOOKUP(C122,'Catálogo Productos'!$B$3:$E$200,4,0),"")</f>
        <v/>
      </c>
      <c r="G122" s="2" t="str">
        <f>IF(F122="","",IF(I122="SÍ",F122*'Configuración'!$C$5,0))</f>
        <v/>
      </c>
      <c r="H122" s="2"/>
      <c r="I122" s="2"/>
      <c r="J122" s="2" t="str">
        <f>IF(F122="","",IF(H122="SÍ",'Configuración'!$C$6,0))</f>
        <v/>
      </c>
      <c r="K122" s="2" t="str">
        <f t="shared" si="6"/>
        <v/>
      </c>
      <c r="L122" s="2" t="str">
        <f t="shared" si="7"/>
        <v/>
      </c>
      <c r="M122" s="2" t="str">
        <f t="shared" si="8"/>
        <v/>
      </c>
      <c r="N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2">
        <v>119.0</v>
      </c>
      <c r="B123" s="2"/>
      <c r="C123" s="2"/>
      <c r="D123" s="2" t="str">
        <f>IFERROR(VLOOKUP(C123,'Catálogo Productos'!$B$3:$E$200,2,0),"")</f>
        <v/>
      </c>
      <c r="E123" s="2" t="str">
        <f>IFERROR(VLOOKUP(C123,'Catálogo Productos'!$B$3:$E$200,3,0),"")</f>
        <v/>
      </c>
      <c r="F123" s="2" t="str">
        <f>IFERROR(VLOOKUP(C123,'Catálogo Productos'!$B$3:$E$200,4,0),"")</f>
        <v/>
      </c>
      <c r="G123" s="2" t="str">
        <f>IF(F123="","",IF(I123="SÍ",F123*'Configuración'!$C$5,0))</f>
        <v/>
      </c>
      <c r="H123" s="2"/>
      <c r="I123" s="2"/>
      <c r="J123" s="2" t="str">
        <f>IF(F123="","",IF(H123="SÍ",'Configuración'!$C$6,0))</f>
        <v/>
      </c>
      <c r="K123" s="2" t="str">
        <f t="shared" si="6"/>
        <v/>
      </c>
      <c r="L123" s="2" t="str">
        <f t="shared" si="7"/>
        <v/>
      </c>
      <c r="M123" s="2" t="str">
        <f t="shared" si="8"/>
        <v/>
      </c>
      <c r="N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2">
        <v>120.0</v>
      </c>
      <c r="B124" s="2"/>
      <c r="C124" s="2"/>
      <c r="D124" s="2" t="str">
        <f>IFERROR(VLOOKUP(C124,'Catálogo Productos'!$B$3:$E$200,2,0),"")</f>
        <v/>
      </c>
      <c r="E124" s="2" t="str">
        <f>IFERROR(VLOOKUP(C124,'Catálogo Productos'!$B$3:$E$200,3,0),"")</f>
        <v/>
      </c>
      <c r="F124" s="2" t="str">
        <f>IFERROR(VLOOKUP(C124,'Catálogo Productos'!$B$3:$E$200,4,0),"")</f>
        <v/>
      </c>
      <c r="G124" s="2" t="str">
        <f>IF(F124="","",IF(I124="SÍ",F124*'Configuración'!$C$5,0))</f>
        <v/>
      </c>
      <c r="H124" s="2"/>
      <c r="I124" s="2"/>
      <c r="J124" s="2" t="str">
        <f>IF(F124="","",IF(H124="SÍ",'Configuración'!$C$6,0))</f>
        <v/>
      </c>
      <c r="K124" s="2" t="str">
        <f t="shared" si="6"/>
        <v/>
      </c>
      <c r="L124" s="2" t="str">
        <f t="shared" si="7"/>
        <v/>
      </c>
      <c r="M124" s="2" t="str">
        <f t="shared" si="8"/>
        <v/>
      </c>
      <c r="N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>
      <c r="A125" s="2">
        <v>121.0</v>
      </c>
      <c r="B125" s="2"/>
      <c r="C125" s="2"/>
      <c r="D125" s="2" t="str">
        <f>IFERROR(VLOOKUP(C125,'Catálogo Productos'!$B$3:$E$200,2,0),"")</f>
        <v/>
      </c>
      <c r="E125" s="2" t="str">
        <f>IFERROR(VLOOKUP(C125,'Catálogo Productos'!$B$3:$E$200,3,0),"")</f>
        <v/>
      </c>
      <c r="F125" s="2" t="str">
        <f>IFERROR(VLOOKUP(C125,'Catálogo Productos'!$B$3:$E$200,4,0),"")</f>
        <v/>
      </c>
      <c r="G125" s="2" t="str">
        <f>IF(F125="","",IF(I125="SÍ",F125*'Configuración'!$C$5,0))</f>
        <v/>
      </c>
      <c r="H125" s="2"/>
      <c r="I125" s="2"/>
      <c r="J125" s="2" t="str">
        <f>IF(F125="","",IF(H125="SÍ",'Configuración'!$C$6,0))</f>
        <v/>
      </c>
      <c r="K125" s="2" t="str">
        <f t="shared" si="6"/>
        <v/>
      </c>
      <c r="L125" s="2" t="str">
        <f t="shared" si="7"/>
        <v/>
      </c>
      <c r="M125" s="2" t="str">
        <f t="shared" si="8"/>
        <v/>
      </c>
      <c r="N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>
      <c r="A126" s="2">
        <v>122.0</v>
      </c>
      <c r="B126" s="2"/>
      <c r="C126" s="2"/>
      <c r="D126" s="2" t="str">
        <f>IFERROR(VLOOKUP(C126,'Catálogo Productos'!$B$3:$E$200,2,0),"")</f>
        <v/>
      </c>
      <c r="E126" s="2" t="str">
        <f>IFERROR(VLOOKUP(C126,'Catálogo Productos'!$B$3:$E$200,3,0),"")</f>
        <v/>
      </c>
      <c r="F126" s="2" t="str">
        <f>IFERROR(VLOOKUP(C126,'Catálogo Productos'!$B$3:$E$200,4,0),"")</f>
        <v/>
      </c>
      <c r="G126" s="2" t="str">
        <f>IF(F126="","",IF(I126="SÍ",F126*'Configuración'!$C$5,0))</f>
        <v/>
      </c>
      <c r="H126" s="2"/>
      <c r="I126" s="2"/>
      <c r="J126" s="2" t="str">
        <f>IF(F126="","",IF(H126="SÍ",'Configuración'!$C$6,0))</f>
        <v/>
      </c>
      <c r="K126" s="2" t="str">
        <f t="shared" si="6"/>
        <v/>
      </c>
      <c r="L126" s="2" t="str">
        <f t="shared" si="7"/>
        <v/>
      </c>
      <c r="M126" s="2" t="str">
        <f t="shared" si="8"/>
        <v/>
      </c>
      <c r="N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2">
        <v>123.0</v>
      </c>
      <c r="B127" s="2"/>
      <c r="C127" s="2"/>
      <c r="D127" s="2" t="str">
        <f>IFERROR(VLOOKUP(C127,'Catálogo Productos'!$B$3:$E$200,2,0),"")</f>
        <v/>
      </c>
      <c r="E127" s="2" t="str">
        <f>IFERROR(VLOOKUP(C127,'Catálogo Productos'!$B$3:$E$200,3,0),"")</f>
        <v/>
      </c>
      <c r="F127" s="2" t="str">
        <f>IFERROR(VLOOKUP(C127,'Catálogo Productos'!$B$3:$E$200,4,0),"")</f>
        <v/>
      </c>
      <c r="G127" s="2" t="str">
        <f>IF(F127="","",IF(I127="SÍ",F127*'Configuración'!$C$5,0))</f>
        <v/>
      </c>
      <c r="H127" s="2"/>
      <c r="I127" s="2"/>
      <c r="J127" s="2" t="str">
        <f>IF(F127="","",IF(H127="SÍ",'Configuración'!$C$6,0))</f>
        <v/>
      </c>
      <c r="K127" s="2" t="str">
        <f t="shared" si="6"/>
        <v/>
      </c>
      <c r="L127" s="2" t="str">
        <f t="shared" si="7"/>
        <v/>
      </c>
      <c r="M127" s="2" t="str">
        <f t="shared" si="8"/>
        <v/>
      </c>
      <c r="N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2">
        <v>124.0</v>
      </c>
      <c r="B128" s="2"/>
      <c r="C128" s="2"/>
      <c r="D128" s="2" t="str">
        <f>IFERROR(VLOOKUP(C128,'Catálogo Productos'!$B$3:$E$200,2,0),"")</f>
        <v/>
      </c>
      <c r="E128" s="2" t="str">
        <f>IFERROR(VLOOKUP(C128,'Catálogo Productos'!$B$3:$E$200,3,0),"")</f>
        <v/>
      </c>
      <c r="F128" s="2" t="str">
        <f>IFERROR(VLOOKUP(C128,'Catálogo Productos'!$B$3:$E$200,4,0),"")</f>
        <v/>
      </c>
      <c r="G128" s="2" t="str">
        <f>IF(F128="","",IF(I128="SÍ",F128*'Configuración'!$C$5,0))</f>
        <v/>
      </c>
      <c r="H128" s="2"/>
      <c r="I128" s="2"/>
      <c r="J128" s="2" t="str">
        <f>IF(F128="","",IF(H128="SÍ",'Configuración'!$C$6,0))</f>
        <v/>
      </c>
      <c r="K128" s="2" t="str">
        <f t="shared" si="6"/>
        <v/>
      </c>
      <c r="L128" s="2" t="str">
        <f t="shared" si="7"/>
        <v/>
      </c>
      <c r="M128" s="2" t="str">
        <f t="shared" si="8"/>
        <v/>
      </c>
      <c r="N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2">
        <v>125.0</v>
      </c>
      <c r="B129" s="2"/>
      <c r="C129" s="2"/>
      <c r="D129" s="2" t="str">
        <f>IFERROR(VLOOKUP(C129,'Catálogo Productos'!$B$3:$E$200,2,0),"")</f>
        <v/>
      </c>
      <c r="E129" s="2" t="str">
        <f>IFERROR(VLOOKUP(C129,'Catálogo Productos'!$B$3:$E$200,3,0),"")</f>
        <v/>
      </c>
      <c r="F129" s="2" t="str">
        <f>IFERROR(VLOOKUP(C129,'Catálogo Productos'!$B$3:$E$200,4,0),"")</f>
        <v/>
      </c>
      <c r="G129" s="2" t="str">
        <f>IF(F129="","",IF(I129="SÍ",F129*'Configuración'!$C$5,0))</f>
        <v/>
      </c>
      <c r="H129" s="2"/>
      <c r="I129" s="2"/>
      <c r="J129" s="2" t="str">
        <f>IF(F129="","",IF(H129="SÍ",'Configuración'!$C$6,0))</f>
        <v/>
      </c>
      <c r="K129" s="2" t="str">
        <f t="shared" si="6"/>
        <v/>
      </c>
      <c r="L129" s="2" t="str">
        <f t="shared" si="7"/>
        <v/>
      </c>
      <c r="M129" s="2" t="str">
        <f t="shared" si="8"/>
        <v/>
      </c>
      <c r="N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>
      <c r="A130" s="2">
        <v>126.0</v>
      </c>
      <c r="B130" s="2"/>
      <c r="C130" s="2"/>
      <c r="D130" s="2" t="str">
        <f>IFERROR(VLOOKUP(C130,'Catálogo Productos'!$B$3:$E$200,2,0),"")</f>
        <v/>
      </c>
      <c r="E130" s="2" t="str">
        <f>IFERROR(VLOOKUP(C130,'Catálogo Productos'!$B$3:$E$200,3,0),"")</f>
        <v/>
      </c>
      <c r="F130" s="2" t="str">
        <f>IFERROR(VLOOKUP(C130,'Catálogo Productos'!$B$3:$E$200,4,0),"")</f>
        <v/>
      </c>
      <c r="G130" s="2" t="str">
        <f>IF(F130="","",IF(I130="SÍ",F130*'Configuración'!$C$5,0))</f>
        <v/>
      </c>
      <c r="H130" s="2"/>
      <c r="I130" s="2"/>
      <c r="J130" s="2" t="str">
        <f>IF(F130="","",IF(H130="SÍ",'Configuración'!$C$6,0))</f>
        <v/>
      </c>
      <c r="K130" s="2" t="str">
        <f t="shared" si="6"/>
        <v/>
      </c>
      <c r="L130" s="2" t="str">
        <f t="shared" si="7"/>
        <v/>
      </c>
      <c r="M130" s="2" t="str">
        <f t="shared" si="8"/>
        <v/>
      </c>
      <c r="N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>
      <c r="A131" s="2">
        <v>127.0</v>
      </c>
      <c r="B131" s="2"/>
      <c r="C131" s="2"/>
      <c r="D131" s="2" t="str">
        <f>IFERROR(VLOOKUP(C131,'Catálogo Productos'!$B$3:$E$200,2,0),"")</f>
        <v/>
      </c>
      <c r="E131" s="2" t="str">
        <f>IFERROR(VLOOKUP(C131,'Catálogo Productos'!$B$3:$E$200,3,0),"")</f>
        <v/>
      </c>
      <c r="F131" s="2" t="str">
        <f>IFERROR(VLOOKUP(C131,'Catálogo Productos'!$B$3:$E$200,4,0),"")</f>
        <v/>
      </c>
      <c r="G131" s="2" t="str">
        <f>IF(F131="","",IF(I131="SÍ",F131*'Configuración'!$C$5,0))</f>
        <v/>
      </c>
      <c r="H131" s="2"/>
      <c r="I131" s="2"/>
      <c r="J131" s="2" t="str">
        <f>IF(F131="","",IF(H131="SÍ",'Configuración'!$C$6,0))</f>
        <v/>
      </c>
      <c r="K131" s="2" t="str">
        <f t="shared" si="6"/>
        <v/>
      </c>
      <c r="L131" s="2" t="str">
        <f t="shared" si="7"/>
        <v/>
      </c>
      <c r="M131" s="2" t="str">
        <f t="shared" si="8"/>
        <v/>
      </c>
      <c r="N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>
      <c r="A132" s="2">
        <v>128.0</v>
      </c>
      <c r="B132" s="2"/>
      <c r="C132" s="2"/>
      <c r="D132" s="2" t="str">
        <f>IFERROR(VLOOKUP(C132,'Catálogo Productos'!$B$3:$E$200,2,0),"")</f>
        <v/>
      </c>
      <c r="E132" s="2" t="str">
        <f>IFERROR(VLOOKUP(C132,'Catálogo Productos'!$B$3:$E$200,3,0),"")</f>
        <v/>
      </c>
      <c r="F132" s="2" t="str">
        <f>IFERROR(VLOOKUP(C132,'Catálogo Productos'!$B$3:$E$200,4,0),"")</f>
        <v/>
      </c>
      <c r="G132" s="2" t="str">
        <f>IF(F132="","",IF(I132="SÍ",F132*'Configuración'!$C$5,0))</f>
        <v/>
      </c>
      <c r="H132" s="2"/>
      <c r="I132" s="2"/>
      <c r="J132" s="2" t="str">
        <f>IF(F132="","",IF(H132="SÍ",'Configuración'!$C$6,0))</f>
        <v/>
      </c>
      <c r="K132" s="2" t="str">
        <f t="shared" si="6"/>
        <v/>
      </c>
      <c r="L132" s="2" t="str">
        <f t="shared" si="7"/>
        <v/>
      </c>
      <c r="M132" s="2" t="str">
        <f t="shared" si="8"/>
        <v/>
      </c>
      <c r="N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>
      <c r="A133" s="2">
        <v>129.0</v>
      </c>
      <c r="B133" s="2"/>
      <c r="C133" s="2"/>
      <c r="D133" s="2" t="str">
        <f>IFERROR(VLOOKUP(C133,'Catálogo Productos'!$B$3:$E$200,2,0),"")</f>
        <v/>
      </c>
      <c r="E133" s="2" t="str">
        <f>IFERROR(VLOOKUP(C133,'Catálogo Productos'!$B$3:$E$200,3,0),"")</f>
        <v/>
      </c>
      <c r="F133" s="2" t="str">
        <f>IFERROR(VLOOKUP(C133,'Catálogo Productos'!$B$3:$E$200,4,0),"")</f>
        <v/>
      </c>
      <c r="G133" s="2" t="str">
        <f>IF(F133="","",IF(I133="SÍ",F133*'Configuración'!$C$5,0))</f>
        <v/>
      </c>
      <c r="H133" s="2"/>
      <c r="I133" s="2"/>
      <c r="J133" s="2" t="str">
        <f>IF(F133="","",IF(H133="SÍ",'Configuración'!$C$6,0))</f>
        <v/>
      </c>
      <c r="K133" s="2" t="str">
        <f t="shared" si="6"/>
        <v/>
      </c>
      <c r="L133" s="2" t="str">
        <f t="shared" si="7"/>
        <v/>
      </c>
      <c r="M133" s="2" t="str">
        <f t="shared" si="8"/>
        <v/>
      </c>
      <c r="N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>
      <c r="A134" s="2">
        <v>130.0</v>
      </c>
      <c r="B134" s="2"/>
      <c r="C134" s="2"/>
      <c r="D134" s="2" t="str">
        <f>IFERROR(VLOOKUP(C134,'Catálogo Productos'!$B$3:$E$200,2,0),"")</f>
        <v/>
      </c>
      <c r="E134" s="2" t="str">
        <f>IFERROR(VLOOKUP(C134,'Catálogo Productos'!$B$3:$E$200,3,0),"")</f>
        <v/>
      </c>
      <c r="F134" s="2" t="str">
        <f>IFERROR(VLOOKUP(C134,'Catálogo Productos'!$B$3:$E$200,4,0),"")</f>
        <v/>
      </c>
      <c r="G134" s="2" t="str">
        <f>IF(F134="","",IF(I134="SÍ",F134*'Configuración'!$C$5,0))</f>
        <v/>
      </c>
      <c r="H134" s="2"/>
      <c r="I134" s="2"/>
      <c r="J134" s="2" t="str">
        <f>IF(F134="","",IF(H134="SÍ",'Configuración'!$C$6,0))</f>
        <v/>
      </c>
      <c r="K134" s="2" t="str">
        <f t="shared" si="6"/>
        <v/>
      </c>
      <c r="L134" s="2" t="str">
        <f t="shared" si="7"/>
        <v/>
      </c>
      <c r="M134" s="2" t="str">
        <f t="shared" si="8"/>
        <v/>
      </c>
      <c r="N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>
      <c r="A135" s="2">
        <v>131.0</v>
      </c>
      <c r="B135" s="2"/>
      <c r="C135" s="2"/>
      <c r="D135" s="2" t="str">
        <f>IFERROR(VLOOKUP(C135,'Catálogo Productos'!$B$3:$E$200,2,0),"")</f>
        <v/>
      </c>
      <c r="E135" s="2" t="str">
        <f>IFERROR(VLOOKUP(C135,'Catálogo Productos'!$B$3:$E$200,3,0),"")</f>
        <v/>
      </c>
      <c r="F135" s="2" t="str">
        <f>IFERROR(VLOOKUP(C135,'Catálogo Productos'!$B$3:$E$200,4,0),"")</f>
        <v/>
      </c>
      <c r="G135" s="2" t="str">
        <f>IF(F135="","",IF(I135="SÍ",F135*'Configuración'!$C$5,0))</f>
        <v/>
      </c>
      <c r="H135" s="2"/>
      <c r="I135" s="2"/>
      <c r="J135" s="2" t="str">
        <f>IF(F135="","",IF(H135="SÍ",'Configuración'!$C$6,0))</f>
        <v/>
      </c>
      <c r="K135" s="2" t="str">
        <f t="shared" si="6"/>
        <v/>
      </c>
      <c r="L135" s="2" t="str">
        <f t="shared" si="7"/>
        <v/>
      </c>
      <c r="M135" s="2" t="str">
        <f t="shared" si="8"/>
        <v/>
      </c>
      <c r="N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>
      <c r="A136" s="2">
        <v>132.0</v>
      </c>
      <c r="B136" s="2"/>
      <c r="C136" s="2"/>
      <c r="D136" s="2" t="str">
        <f>IFERROR(VLOOKUP(C136,'Catálogo Productos'!$B$3:$E$200,2,0),"")</f>
        <v/>
      </c>
      <c r="E136" s="2" t="str">
        <f>IFERROR(VLOOKUP(C136,'Catálogo Productos'!$B$3:$E$200,3,0),"")</f>
        <v/>
      </c>
      <c r="F136" s="2" t="str">
        <f>IFERROR(VLOOKUP(C136,'Catálogo Productos'!$B$3:$E$200,4,0),"")</f>
        <v/>
      </c>
      <c r="G136" s="2" t="str">
        <f>IF(F136="","",IF(I136="SÍ",F136*'Configuración'!$C$5,0))</f>
        <v/>
      </c>
      <c r="H136" s="2"/>
      <c r="I136" s="2"/>
      <c r="J136" s="2" t="str">
        <f>IF(F136="","",IF(H136="SÍ",'Configuración'!$C$6,0))</f>
        <v/>
      </c>
      <c r="K136" s="2" t="str">
        <f t="shared" si="6"/>
        <v/>
      </c>
      <c r="L136" s="2" t="str">
        <f t="shared" si="7"/>
        <v/>
      </c>
      <c r="M136" s="2" t="str">
        <f t="shared" si="8"/>
        <v/>
      </c>
      <c r="N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customHeight="1">
      <c r="A137" s="2">
        <v>133.0</v>
      </c>
      <c r="B137" s="2"/>
      <c r="C137" s="2"/>
      <c r="D137" s="2" t="str">
        <f>IFERROR(VLOOKUP(C137,'Catálogo Productos'!$B$3:$E$200,2,0),"")</f>
        <v/>
      </c>
      <c r="E137" s="2" t="str">
        <f>IFERROR(VLOOKUP(C137,'Catálogo Productos'!$B$3:$E$200,3,0),"")</f>
        <v/>
      </c>
      <c r="F137" s="2" t="str">
        <f>IFERROR(VLOOKUP(C137,'Catálogo Productos'!$B$3:$E$200,4,0),"")</f>
        <v/>
      </c>
      <c r="G137" s="2" t="str">
        <f>IF(F137="","",IF(I137="SÍ",F137*'Configuración'!$C$5,0))</f>
        <v/>
      </c>
      <c r="H137" s="2"/>
      <c r="I137" s="2"/>
      <c r="J137" s="2" t="str">
        <f>IF(F137="","",IF(H137="SÍ",'Configuración'!$C$6,0))</f>
        <v/>
      </c>
      <c r="K137" s="2" t="str">
        <f t="shared" si="6"/>
        <v/>
      </c>
      <c r="L137" s="2" t="str">
        <f t="shared" si="7"/>
        <v/>
      </c>
      <c r="M137" s="2" t="str">
        <f t="shared" si="8"/>
        <v/>
      </c>
      <c r="N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>
      <c r="A138" s="2">
        <v>134.0</v>
      </c>
      <c r="B138" s="2"/>
      <c r="C138" s="2"/>
      <c r="D138" s="2" t="str">
        <f>IFERROR(VLOOKUP(C138,'Catálogo Productos'!$B$3:$E$200,2,0),"")</f>
        <v/>
      </c>
      <c r="E138" s="2" t="str">
        <f>IFERROR(VLOOKUP(C138,'Catálogo Productos'!$B$3:$E$200,3,0),"")</f>
        <v/>
      </c>
      <c r="F138" s="2" t="str">
        <f>IFERROR(VLOOKUP(C138,'Catálogo Productos'!$B$3:$E$200,4,0),"")</f>
        <v/>
      </c>
      <c r="G138" s="2" t="str">
        <f>IF(F138="","",IF(I138="SÍ",F138*'Configuración'!$C$5,0))</f>
        <v/>
      </c>
      <c r="H138" s="2"/>
      <c r="I138" s="2"/>
      <c r="J138" s="2" t="str">
        <f>IF(F138="","",IF(H138="SÍ",'Configuración'!$C$6,0))</f>
        <v/>
      </c>
      <c r="K138" s="2" t="str">
        <f t="shared" si="6"/>
        <v/>
      </c>
      <c r="L138" s="2" t="str">
        <f t="shared" si="7"/>
        <v/>
      </c>
      <c r="M138" s="2" t="str">
        <f t="shared" si="8"/>
        <v/>
      </c>
      <c r="N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>
      <c r="A139" s="2">
        <v>135.0</v>
      </c>
      <c r="B139" s="2"/>
      <c r="C139" s="2"/>
      <c r="D139" s="2" t="str">
        <f>IFERROR(VLOOKUP(C139,'Catálogo Productos'!$B$3:$E$200,2,0),"")</f>
        <v/>
      </c>
      <c r="E139" s="2" t="str">
        <f>IFERROR(VLOOKUP(C139,'Catálogo Productos'!$B$3:$E$200,3,0),"")</f>
        <v/>
      </c>
      <c r="F139" s="2" t="str">
        <f>IFERROR(VLOOKUP(C139,'Catálogo Productos'!$B$3:$E$200,4,0),"")</f>
        <v/>
      </c>
      <c r="G139" s="2" t="str">
        <f>IF(F139="","",IF(I139="SÍ",F139*'Configuración'!$C$5,0))</f>
        <v/>
      </c>
      <c r="H139" s="2"/>
      <c r="I139" s="2"/>
      <c r="J139" s="2" t="str">
        <f>IF(F139="","",IF(H139="SÍ",'Configuración'!$C$6,0))</f>
        <v/>
      </c>
      <c r="K139" s="2" t="str">
        <f t="shared" si="6"/>
        <v/>
      </c>
      <c r="L139" s="2" t="str">
        <f t="shared" si="7"/>
        <v/>
      </c>
      <c r="M139" s="2" t="str">
        <f t="shared" si="8"/>
        <v/>
      </c>
      <c r="N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>
      <c r="A140" s="2">
        <v>136.0</v>
      </c>
      <c r="B140" s="2"/>
      <c r="C140" s="2"/>
      <c r="D140" s="2" t="str">
        <f>IFERROR(VLOOKUP(C140,'Catálogo Productos'!$B$3:$E$200,2,0),"")</f>
        <v/>
      </c>
      <c r="E140" s="2" t="str">
        <f>IFERROR(VLOOKUP(C140,'Catálogo Productos'!$B$3:$E$200,3,0),"")</f>
        <v/>
      </c>
      <c r="F140" s="2" t="str">
        <f>IFERROR(VLOOKUP(C140,'Catálogo Productos'!$B$3:$E$200,4,0),"")</f>
        <v/>
      </c>
      <c r="G140" s="2" t="str">
        <f>IF(F140="","",IF(I140="SÍ",F140*'Configuración'!$C$5,0))</f>
        <v/>
      </c>
      <c r="H140" s="2"/>
      <c r="I140" s="2"/>
      <c r="J140" s="2" t="str">
        <f>IF(F140="","",IF(H140="SÍ",'Configuración'!$C$6,0))</f>
        <v/>
      </c>
      <c r="K140" s="2" t="str">
        <f t="shared" si="6"/>
        <v/>
      </c>
      <c r="L140" s="2" t="str">
        <f t="shared" si="7"/>
        <v/>
      </c>
      <c r="M140" s="2" t="str">
        <f t="shared" si="8"/>
        <v/>
      </c>
      <c r="N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>
      <c r="A141" s="2">
        <v>137.0</v>
      </c>
      <c r="B141" s="2"/>
      <c r="C141" s="2"/>
      <c r="D141" s="2" t="str">
        <f>IFERROR(VLOOKUP(C141,'Catálogo Productos'!$B$3:$E$200,2,0),"")</f>
        <v/>
      </c>
      <c r="E141" s="2" t="str">
        <f>IFERROR(VLOOKUP(C141,'Catálogo Productos'!$B$3:$E$200,3,0),"")</f>
        <v/>
      </c>
      <c r="F141" s="2" t="str">
        <f>IFERROR(VLOOKUP(C141,'Catálogo Productos'!$B$3:$E$200,4,0),"")</f>
        <v/>
      </c>
      <c r="G141" s="2" t="str">
        <f>IF(F141="","",IF(I141="SÍ",F141*'Configuración'!$C$5,0))</f>
        <v/>
      </c>
      <c r="H141" s="2"/>
      <c r="I141" s="2"/>
      <c r="J141" s="2" t="str">
        <f>IF(F141="","",IF(H141="SÍ",'Configuración'!$C$6,0))</f>
        <v/>
      </c>
      <c r="K141" s="2" t="str">
        <f t="shared" si="6"/>
        <v/>
      </c>
      <c r="L141" s="2" t="str">
        <f t="shared" si="7"/>
        <v/>
      </c>
      <c r="M141" s="2" t="str">
        <f t="shared" si="8"/>
        <v/>
      </c>
      <c r="N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>
      <c r="A142" s="2">
        <v>138.0</v>
      </c>
      <c r="B142" s="2"/>
      <c r="C142" s="2"/>
      <c r="D142" s="2" t="str">
        <f>IFERROR(VLOOKUP(C142,'Catálogo Productos'!$B$3:$E$200,2,0),"")</f>
        <v/>
      </c>
      <c r="E142" s="2" t="str">
        <f>IFERROR(VLOOKUP(C142,'Catálogo Productos'!$B$3:$E$200,3,0),"")</f>
        <v/>
      </c>
      <c r="F142" s="2" t="str">
        <f>IFERROR(VLOOKUP(C142,'Catálogo Productos'!$B$3:$E$200,4,0),"")</f>
        <v/>
      </c>
      <c r="G142" s="2" t="str">
        <f>IF(F142="","",IF(I142="SÍ",F142*'Configuración'!$C$5,0))</f>
        <v/>
      </c>
      <c r="H142" s="2"/>
      <c r="I142" s="2"/>
      <c r="J142" s="2" t="str">
        <f>IF(F142="","",IF(H142="SÍ",'Configuración'!$C$6,0))</f>
        <v/>
      </c>
      <c r="K142" s="2" t="str">
        <f t="shared" si="6"/>
        <v/>
      </c>
      <c r="L142" s="2" t="str">
        <f t="shared" si="7"/>
        <v/>
      </c>
      <c r="M142" s="2" t="str">
        <f t="shared" si="8"/>
        <v/>
      </c>
      <c r="N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customHeight="1">
      <c r="A143" s="2">
        <v>139.0</v>
      </c>
      <c r="B143" s="2"/>
      <c r="C143" s="2"/>
      <c r="D143" s="2" t="str">
        <f>IFERROR(VLOOKUP(C143,'Catálogo Productos'!$B$3:$E$200,2,0),"")</f>
        <v/>
      </c>
      <c r="E143" s="2" t="str">
        <f>IFERROR(VLOOKUP(C143,'Catálogo Productos'!$B$3:$E$200,3,0),"")</f>
        <v/>
      </c>
      <c r="F143" s="2" t="str">
        <f>IFERROR(VLOOKUP(C143,'Catálogo Productos'!$B$3:$E$200,4,0),"")</f>
        <v/>
      </c>
      <c r="G143" s="2" t="str">
        <f>IF(F143="","",IF(I143="SÍ",F143*'Configuración'!$C$5,0))</f>
        <v/>
      </c>
      <c r="H143" s="2"/>
      <c r="I143" s="2"/>
      <c r="J143" s="2" t="str">
        <f>IF(F143="","",IF(H143="SÍ",'Configuración'!$C$6,0))</f>
        <v/>
      </c>
      <c r="K143" s="2" t="str">
        <f t="shared" si="6"/>
        <v/>
      </c>
      <c r="L143" s="2" t="str">
        <f t="shared" si="7"/>
        <v/>
      </c>
      <c r="M143" s="2" t="str">
        <f t="shared" si="8"/>
        <v/>
      </c>
      <c r="N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>
      <c r="A144" s="2">
        <v>140.0</v>
      </c>
      <c r="B144" s="2"/>
      <c r="C144" s="2"/>
      <c r="D144" s="2" t="str">
        <f>IFERROR(VLOOKUP(C144,'Catálogo Productos'!$B$3:$E$200,2,0),"")</f>
        <v/>
      </c>
      <c r="E144" s="2" t="str">
        <f>IFERROR(VLOOKUP(C144,'Catálogo Productos'!$B$3:$E$200,3,0),"")</f>
        <v/>
      </c>
      <c r="F144" s="2" t="str">
        <f>IFERROR(VLOOKUP(C144,'Catálogo Productos'!$B$3:$E$200,4,0),"")</f>
        <v/>
      </c>
      <c r="G144" s="2" t="str">
        <f>IF(F144="","",IF(I144="SÍ",F144*'Configuración'!$C$5,0))</f>
        <v/>
      </c>
      <c r="H144" s="2"/>
      <c r="I144" s="2"/>
      <c r="J144" s="2" t="str">
        <f>IF(F144="","",IF(H144="SÍ",'Configuración'!$C$6,0))</f>
        <v/>
      </c>
      <c r="K144" s="2" t="str">
        <f t="shared" si="6"/>
        <v/>
      </c>
      <c r="L144" s="2" t="str">
        <f t="shared" si="7"/>
        <v/>
      </c>
      <c r="M144" s="2" t="str">
        <f t="shared" si="8"/>
        <v/>
      </c>
      <c r="N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>
      <c r="A145" s="2">
        <v>141.0</v>
      </c>
      <c r="B145" s="2"/>
      <c r="C145" s="2"/>
      <c r="D145" s="2" t="str">
        <f>IFERROR(VLOOKUP(C145,'Catálogo Productos'!$B$3:$E$200,2,0),"")</f>
        <v/>
      </c>
      <c r="E145" s="2" t="str">
        <f>IFERROR(VLOOKUP(C145,'Catálogo Productos'!$B$3:$E$200,3,0),"")</f>
        <v/>
      </c>
      <c r="F145" s="2" t="str">
        <f>IFERROR(VLOOKUP(C145,'Catálogo Productos'!$B$3:$E$200,4,0),"")</f>
        <v/>
      </c>
      <c r="G145" s="2" t="str">
        <f>IF(F145="","",IF(I145="SÍ",F145*'Configuración'!$C$5,0))</f>
        <v/>
      </c>
      <c r="H145" s="2"/>
      <c r="I145" s="2"/>
      <c r="J145" s="2" t="str">
        <f>IF(F145="","",IF(H145="SÍ",'Configuración'!$C$6,0))</f>
        <v/>
      </c>
      <c r="K145" s="2" t="str">
        <f t="shared" si="6"/>
        <v/>
      </c>
      <c r="L145" s="2" t="str">
        <f t="shared" si="7"/>
        <v/>
      </c>
      <c r="M145" s="2" t="str">
        <f t="shared" si="8"/>
        <v/>
      </c>
      <c r="N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>
      <c r="A146" s="2">
        <v>142.0</v>
      </c>
      <c r="B146" s="2"/>
      <c r="C146" s="2"/>
      <c r="D146" s="2" t="str">
        <f>IFERROR(VLOOKUP(C146,'Catálogo Productos'!$B$3:$E$200,2,0),"")</f>
        <v/>
      </c>
      <c r="E146" s="2" t="str">
        <f>IFERROR(VLOOKUP(C146,'Catálogo Productos'!$B$3:$E$200,3,0),"")</f>
        <v/>
      </c>
      <c r="F146" s="2" t="str">
        <f>IFERROR(VLOOKUP(C146,'Catálogo Productos'!$B$3:$E$200,4,0),"")</f>
        <v/>
      </c>
      <c r="G146" s="2" t="str">
        <f>IF(F146="","",IF(I146="SÍ",F146*'Configuración'!$C$5,0))</f>
        <v/>
      </c>
      <c r="H146" s="2"/>
      <c r="I146" s="2"/>
      <c r="J146" s="2" t="str">
        <f>IF(F146="","",IF(H146="SÍ",'Configuración'!$C$6,0))</f>
        <v/>
      </c>
      <c r="K146" s="2" t="str">
        <f t="shared" si="6"/>
        <v/>
      </c>
      <c r="L146" s="2" t="str">
        <f t="shared" si="7"/>
        <v/>
      </c>
      <c r="M146" s="2" t="str">
        <f t="shared" si="8"/>
        <v/>
      </c>
      <c r="N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>
      <c r="A147" s="2">
        <v>143.0</v>
      </c>
      <c r="B147" s="2"/>
      <c r="C147" s="2"/>
      <c r="D147" s="2" t="str">
        <f>IFERROR(VLOOKUP(C147,'Catálogo Productos'!$B$3:$E$200,2,0),"")</f>
        <v/>
      </c>
      <c r="E147" s="2" t="str">
        <f>IFERROR(VLOOKUP(C147,'Catálogo Productos'!$B$3:$E$200,3,0),"")</f>
        <v/>
      </c>
      <c r="F147" s="2" t="str">
        <f>IFERROR(VLOOKUP(C147,'Catálogo Productos'!$B$3:$E$200,4,0),"")</f>
        <v/>
      </c>
      <c r="G147" s="2" t="str">
        <f>IF(F147="","",IF(I147="SÍ",F147*'Configuración'!$C$5,0))</f>
        <v/>
      </c>
      <c r="H147" s="2"/>
      <c r="I147" s="2"/>
      <c r="J147" s="2" t="str">
        <f>IF(F147="","",IF(H147="SÍ",'Configuración'!$C$6,0))</f>
        <v/>
      </c>
      <c r="K147" s="2" t="str">
        <f t="shared" si="6"/>
        <v/>
      </c>
      <c r="L147" s="2" t="str">
        <f t="shared" si="7"/>
        <v/>
      </c>
      <c r="M147" s="2" t="str">
        <f t="shared" si="8"/>
        <v/>
      </c>
      <c r="N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>
      <c r="A148" s="2">
        <v>144.0</v>
      </c>
      <c r="B148" s="2"/>
      <c r="C148" s="2"/>
      <c r="D148" s="2" t="str">
        <f>IFERROR(VLOOKUP(C148,'Catálogo Productos'!$B$3:$E$200,2,0),"")</f>
        <v/>
      </c>
      <c r="E148" s="2" t="str">
        <f>IFERROR(VLOOKUP(C148,'Catálogo Productos'!$B$3:$E$200,3,0),"")</f>
        <v/>
      </c>
      <c r="F148" s="2" t="str">
        <f>IFERROR(VLOOKUP(C148,'Catálogo Productos'!$B$3:$E$200,4,0),"")</f>
        <v/>
      </c>
      <c r="G148" s="2" t="str">
        <f>IF(F148="","",IF(I148="SÍ",F148*'Configuración'!$C$5,0))</f>
        <v/>
      </c>
      <c r="H148" s="2"/>
      <c r="I148" s="2"/>
      <c r="J148" s="2" t="str">
        <f>IF(F148="","",IF(H148="SÍ",'Configuración'!$C$6,0))</f>
        <v/>
      </c>
      <c r="K148" s="2" t="str">
        <f t="shared" si="6"/>
        <v/>
      </c>
      <c r="L148" s="2" t="str">
        <f t="shared" si="7"/>
        <v/>
      </c>
      <c r="M148" s="2" t="str">
        <f t="shared" si="8"/>
        <v/>
      </c>
      <c r="N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customHeight="1">
      <c r="A149" s="2">
        <v>145.0</v>
      </c>
      <c r="B149" s="2"/>
      <c r="C149" s="2"/>
      <c r="D149" s="2" t="str">
        <f>IFERROR(VLOOKUP(C149,'Catálogo Productos'!$B$3:$E$200,2,0),"")</f>
        <v/>
      </c>
      <c r="E149" s="2" t="str">
        <f>IFERROR(VLOOKUP(C149,'Catálogo Productos'!$B$3:$E$200,3,0),"")</f>
        <v/>
      </c>
      <c r="F149" s="2" t="str">
        <f>IFERROR(VLOOKUP(C149,'Catálogo Productos'!$B$3:$E$200,4,0),"")</f>
        <v/>
      </c>
      <c r="G149" s="2" t="str">
        <f>IF(F149="","",IF(I149="SÍ",F149*'Configuración'!$C$5,0))</f>
        <v/>
      </c>
      <c r="H149" s="2"/>
      <c r="I149" s="2"/>
      <c r="J149" s="2" t="str">
        <f>IF(F149="","",IF(H149="SÍ",'Configuración'!$C$6,0))</f>
        <v/>
      </c>
      <c r="K149" s="2" t="str">
        <f t="shared" si="6"/>
        <v/>
      </c>
      <c r="L149" s="2" t="str">
        <f t="shared" si="7"/>
        <v/>
      </c>
      <c r="M149" s="2" t="str">
        <f t="shared" si="8"/>
        <v/>
      </c>
      <c r="N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customHeight="1">
      <c r="A150" s="2">
        <v>146.0</v>
      </c>
      <c r="B150" s="2"/>
      <c r="C150" s="2"/>
      <c r="D150" s="2" t="str">
        <f>IFERROR(VLOOKUP(C150,'Catálogo Productos'!$B$3:$E$200,2,0),"")</f>
        <v/>
      </c>
      <c r="E150" s="2" t="str">
        <f>IFERROR(VLOOKUP(C150,'Catálogo Productos'!$B$3:$E$200,3,0),"")</f>
        <v/>
      </c>
      <c r="F150" s="2" t="str">
        <f>IFERROR(VLOOKUP(C150,'Catálogo Productos'!$B$3:$E$200,4,0),"")</f>
        <v/>
      </c>
      <c r="G150" s="2" t="str">
        <f>IF(F150="","",IF(I150="SÍ",F150*'Configuración'!$C$5,0))</f>
        <v/>
      </c>
      <c r="H150" s="2"/>
      <c r="I150" s="2"/>
      <c r="J150" s="2" t="str">
        <f>IF(F150="","",IF(H150="SÍ",'Configuración'!$C$6,0))</f>
        <v/>
      </c>
      <c r="K150" s="2" t="str">
        <f t="shared" si="6"/>
        <v/>
      </c>
      <c r="L150" s="2" t="str">
        <f t="shared" si="7"/>
        <v/>
      </c>
      <c r="M150" s="2" t="str">
        <f t="shared" si="8"/>
        <v/>
      </c>
      <c r="N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customHeight="1">
      <c r="A151" s="2">
        <v>147.0</v>
      </c>
      <c r="B151" s="2"/>
      <c r="C151" s="2"/>
      <c r="D151" s="2" t="str">
        <f>IFERROR(VLOOKUP(C151,'Catálogo Productos'!$B$3:$E$200,2,0),"")</f>
        <v/>
      </c>
      <c r="E151" s="2" t="str">
        <f>IFERROR(VLOOKUP(C151,'Catálogo Productos'!$B$3:$E$200,3,0),"")</f>
        <v/>
      </c>
      <c r="F151" s="2" t="str">
        <f>IFERROR(VLOOKUP(C151,'Catálogo Productos'!$B$3:$E$200,4,0),"")</f>
        <v/>
      </c>
      <c r="G151" s="2" t="str">
        <f>IF(F151="","",IF(I151="SÍ",F151*'Configuración'!$C$5,0))</f>
        <v/>
      </c>
      <c r="H151" s="2"/>
      <c r="I151" s="2"/>
      <c r="J151" s="2" t="str">
        <f>IF(F151="","",IF(H151="SÍ",'Configuración'!$C$6,0))</f>
        <v/>
      </c>
      <c r="K151" s="2" t="str">
        <f t="shared" si="6"/>
        <v/>
      </c>
      <c r="L151" s="2" t="str">
        <f t="shared" si="7"/>
        <v/>
      </c>
      <c r="M151" s="2" t="str">
        <f t="shared" si="8"/>
        <v/>
      </c>
      <c r="N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customHeight="1">
      <c r="A152" s="2">
        <v>148.0</v>
      </c>
      <c r="B152" s="2"/>
      <c r="C152" s="2"/>
      <c r="D152" s="2" t="str">
        <f>IFERROR(VLOOKUP(C152,'Catálogo Productos'!$B$3:$E$200,2,0),"")</f>
        <v/>
      </c>
      <c r="E152" s="2" t="str">
        <f>IFERROR(VLOOKUP(C152,'Catálogo Productos'!$B$3:$E$200,3,0),"")</f>
        <v/>
      </c>
      <c r="F152" s="2" t="str">
        <f>IFERROR(VLOOKUP(C152,'Catálogo Productos'!$B$3:$E$200,4,0),"")</f>
        <v/>
      </c>
      <c r="G152" s="2" t="str">
        <f>IF(F152="","",IF(I152="SÍ",F152*'Configuración'!$C$5,0))</f>
        <v/>
      </c>
      <c r="H152" s="2"/>
      <c r="I152" s="2"/>
      <c r="J152" s="2" t="str">
        <f>IF(F152="","",IF(H152="SÍ",'Configuración'!$C$6,0))</f>
        <v/>
      </c>
      <c r="K152" s="2" t="str">
        <f t="shared" si="6"/>
        <v/>
      </c>
      <c r="L152" s="2" t="str">
        <f t="shared" si="7"/>
        <v/>
      </c>
      <c r="M152" s="2" t="str">
        <f t="shared" si="8"/>
        <v/>
      </c>
      <c r="N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>
      <c r="A153" s="2">
        <v>149.0</v>
      </c>
      <c r="B153" s="2"/>
      <c r="C153" s="2"/>
      <c r="D153" s="2" t="str">
        <f>IFERROR(VLOOKUP(C153,'Catálogo Productos'!$B$3:$E$200,2,0),"")</f>
        <v/>
      </c>
      <c r="E153" s="2" t="str">
        <f>IFERROR(VLOOKUP(C153,'Catálogo Productos'!$B$3:$E$200,3,0),"")</f>
        <v/>
      </c>
      <c r="F153" s="2" t="str">
        <f>IFERROR(VLOOKUP(C153,'Catálogo Productos'!$B$3:$E$200,4,0),"")</f>
        <v/>
      </c>
      <c r="G153" s="2" t="str">
        <f>IF(F153="","",IF(I153="SÍ",F153*'Configuración'!$C$5,0))</f>
        <v/>
      </c>
      <c r="H153" s="2"/>
      <c r="I153" s="2"/>
      <c r="J153" s="2" t="str">
        <f>IF(F153="","",IF(H153="SÍ",'Configuración'!$C$6,0))</f>
        <v/>
      </c>
      <c r="K153" s="2" t="str">
        <f t="shared" si="6"/>
        <v/>
      </c>
      <c r="L153" s="2" t="str">
        <f t="shared" si="7"/>
        <v/>
      </c>
      <c r="M153" s="2" t="str">
        <f t="shared" si="8"/>
        <v/>
      </c>
      <c r="N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2">
        <v>150.0</v>
      </c>
      <c r="B154" s="2"/>
      <c r="C154" s="2"/>
      <c r="D154" s="2" t="str">
        <f>IFERROR(VLOOKUP(C154,'Catálogo Productos'!$B$3:$E$200,2,0),"")</f>
        <v/>
      </c>
      <c r="E154" s="2" t="str">
        <f>IFERROR(VLOOKUP(C154,'Catálogo Productos'!$B$3:$E$200,3,0),"")</f>
        <v/>
      </c>
      <c r="F154" s="2" t="str">
        <f>IFERROR(VLOOKUP(C154,'Catálogo Productos'!$B$3:$E$200,4,0),"")</f>
        <v/>
      </c>
      <c r="G154" s="2" t="str">
        <f>IF(F154="","",IF(I154="SÍ",F154*'Configuración'!$C$5,0))</f>
        <v/>
      </c>
      <c r="H154" s="2"/>
      <c r="I154" s="2"/>
      <c r="J154" s="2" t="str">
        <f>IF(F154="","",IF(H154="SÍ",'Configuración'!$C$6,0))</f>
        <v/>
      </c>
      <c r="K154" s="2" t="str">
        <f t="shared" si="6"/>
        <v/>
      </c>
      <c r="L154" s="2" t="str">
        <f t="shared" si="7"/>
        <v/>
      </c>
      <c r="M154" s="2" t="str">
        <f t="shared" si="8"/>
        <v/>
      </c>
      <c r="N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customHeight="1">
      <c r="A155" s="2">
        <v>151.0</v>
      </c>
      <c r="B155" s="2"/>
      <c r="C155" s="2"/>
      <c r="D155" s="2" t="str">
        <f>IFERROR(VLOOKUP(C155,'Catálogo Productos'!$B$3:$E$200,2,0),"")</f>
        <v/>
      </c>
      <c r="E155" s="2" t="str">
        <f>IFERROR(VLOOKUP(C155,'Catálogo Productos'!$B$3:$E$200,3,0),"")</f>
        <v/>
      </c>
      <c r="F155" s="2" t="str">
        <f>IFERROR(VLOOKUP(C155,'Catálogo Productos'!$B$3:$E$200,4,0),"")</f>
        <v/>
      </c>
      <c r="G155" s="2" t="str">
        <f>IF(F155="","",IF(I155="SÍ",F155*'Configuración'!$C$5,0))</f>
        <v/>
      </c>
      <c r="H155" s="2"/>
      <c r="I155" s="2"/>
      <c r="J155" s="2" t="str">
        <f>IF(F155="","",IF(H155="SÍ",'Configuración'!$C$6,0))</f>
        <v/>
      </c>
      <c r="K155" s="2" t="str">
        <f t="shared" si="6"/>
        <v/>
      </c>
      <c r="L155" s="2" t="str">
        <f t="shared" si="7"/>
        <v/>
      </c>
      <c r="M155" s="2" t="str">
        <f t="shared" si="8"/>
        <v/>
      </c>
      <c r="N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>
      <c r="A156" s="2">
        <v>152.0</v>
      </c>
      <c r="B156" s="2"/>
      <c r="C156" s="2"/>
      <c r="D156" s="2" t="str">
        <f>IFERROR(VLOOKUP(C156,'Catálogo Productos'!$B$3:$E$200,2,0),"")</f>
        <v/>
      </c>
      <c r="E156" s="2" t="str">
        <f>IFERROR(VLOOKUP(C156,'Catálogo Productos'!$B$3:$E$200,3,0),"")</f>
        <v/>
      </c>
      <c r="F156" s="2" t="str">
        <f>IFERROR(VLOOKUP(C156,'Catálogo Productos'!$B$3:$E$200,4,0),"")</f>
        <v/>
      </c>
      <c r="G156" s="2" t="str">
        <f>IF(F156="","",IF(I156="SÍ",F156*'Configuración'!$C$5,0))</f>
        <v/>
      </c>
      <c r="H156" s="2"/>
      <c r="I156" s="2"/>
      <c r="J156" s="2" t="str">
        <f>IF(F156="","",IF(H156="SÍ",'Configuración'!$C$6,0))</f>
        <v/>
      </c>
      <c r="K156" s="2" t="str">
        <f t="shared" si="6"/>
        <v/>
      </c>
      <c r="L156" s="2" t="str">
        <f t="shared" si="7"/>
        <v/>
      </c>
      <c r="M156" s="2" t="str">
        <f t="shared" si="8"/>
        <v/>
      </c>
      <c r="N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>
      <c r="A157" s="2">
        <v>153.0</v>
      </c>
      <c r="B157" s="2"/>
      <c r="C157" s="2"/>
      <c r="D157" s="2" t="str">
        <f>IFERROR(VLOOKUP(C157,'Catálogo Productos'!$B$3:$E$200,2,0),"")</f>
        <v/>
      </c>
      <c r="E157" s="2" t="str">
        <f>IFERROR(VLOOKUP(C157,'Catálogo Productos'!$B$3:$E$200,3,0),"")</f>
        <v/>
      </c>
      <c r="F157" s="2" t="str">
        <f>IFERROR(VLOOKUP(C157,'Catálogo Productos'!$B$3:$E$200,4,0),"")</f>
        <v/>
      </c>
      <c r="G157" s="2" t="str">
        <f>IF(F157="","",IF(I157="SÍ",F157*'Configuración'!$C$5,0))</f>
        <v/>
      </c>
      <c r="H157" s="2"/>
      <c r="I157" s="2"/>
      <c r="J157" s="2" t="str">
        <f>IF(F157="","",IF(H157="SÍ",'Configuración'!$C$6,0))</f>
        <v/>
      </c>
      <c r="K157" s="2" t="str">
        <f t="shared" si="6"/>
        <v/>
      </c>
      <c r="L157" s="2" t="str">
        <f t="shared" si="7"/>
        <v/>
      </c>
      <c r="M157" s="2" t="str">
        <f t="shared" si="8"/>
        <v/>
      </c>
      <c r="N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>
      <c r="A158" s="2">
        <v>154.0</v>
      </c>
      <c r="B158" s="2"/>
      <c r="C158" s="2"/>
      <c r="D158" s="2" t="str">
        <f>IFERROR(VLOOKUP(C158,'Catálogo Productos'!$B$3:$E$200,2,0),"")</f>
        <v/>
      </c>
      <c r="E158" s="2" t="str">
        <f>IFERROR(VLOOKUP(C158,'Catálogo Productos'!$B$3:$E$200,3,0),"")</f>
        <v/>
      </c>
      <c r="F158" s="2" t="str">
        <f>IFERROR(VLOOKUP(C158,'Catálogo Productos'!$B$3:$E$200,4,0),"")</f>
        <v/>
      </c>
      <c r="G158" s="2" t="str">
        <f>IF(F158="","",IF(I158="SÍ",F158*'Configuración'!$C$5,0))</f>
        <v/>
      </c>
      <c r="H158" s="2"/>
      <c r="I158" s="2"/>
      <c r="J158" s="2" t="str">
        <f>IF(F158="","",IF(H158="SÍ",'Configuración'!$C$6,0))</f>
        <v/>
      </c>
      <c r="K158" s="2" t="str">
        <f t="shared" si="6"/>
        <v/>
      </c>
      <c r="L158" s="2" t="str">
        <f t="shared" si="7"/>
        <v/>
      </c>
      <c r="M158" s="2" t="str">
        <f t="shared" si="8"/>
        <v/>
      </c>
      <c r="N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2">
        <v>155.0</v>
      </c>
      <c r="B159" s="2"/>
      <c r="C159" s="2"/>
      <c r="D159" s="2" t="str">
        <f>IFERROR(VLOOKUP(C159,'Catálogo Productos'!$B$3:$E$200,2,0),"")</f>
        <v/>
      </c>
      <c r="E159" s="2" t="str">
        <f>IFERROR(VLOOKUP(C159,'Catálogo Productos'!$B$3:$E$200,3,0),"")</f>
        <v/>
      </c>
      <c r="F159" s="2" t="str">
        <f>IFERROR(VLOOKUP(C159,'Catálogo Productos'!$B$3:$E$200,4,0),"")</f>
        <v/>
      </c>
      <c r="G159" s="2" t="str">
        <f>IF(F159="","",IF(I159="SÍ",F159*'Configuración'!$C$5,0))</f>
        <v/>
      </c>
      <c r="H159" s="2"/>
      <c r="I159" s="2"/>
      <c r="J159" s="2" t="str">
        <f>IF(F159="","",IF(H159="SÍ",'Configuración'!$C$6,0))</f>
        <v/>
      </c>
      <c r="K159" s="2" t="str">
        <f t="shared" si="6"/>
        <v/>
      </c>
      <c r="L159" s="2" t="str">
        <f t="shared" si="7"/>
        <v/>
      </c>
      <c r="M159" s="2" t="str">
        <f t="shared" si="8"/>
        <v/>
      </c>
      <c r="N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>
      <c r="A160" s="2">
        <v>156.0</v>
      </c>
      <c r="B160" s="2"/>
      <c r="C160" s="2"/>
      <c r="D160" s="2" t="str">
        <f>IFERROR(VLOOKUP(C160,'Catálogo Productos'!$B$3:$E$200,2,0),"")</f>
        <v/>
      </c>
      <c r="E160" s="2" t="str">
        <f>IFERROR(VLOOKUP(C160,'Catálogo Productos'!$B$3:$E$200,3,0),"")</f>
        <v/>
      </c>
      <c r="F160" s="2" t="str">
        <f>IFERROR(VLOOKUP(C160,'Catálogo Productos'!$B$3:$E$200,4,0),"")</f>
        <v/>
      </c>
      <c r="G160" s="2" t="str">
        <f>IF(F160="","",IF(I160="SÍ",F160*'Configuración'!$C$5,0))</f>
        <v/>
      </c>
      <c r="H160" s="2"/>
      <c r="I160" s="2"/>
      <c r="J160" s="2" t="str">
        <f>IF(F160="","",IF(H160="SÍ",'Configuración'!$C$6,0))</f>
        <v/>
      </c>
      <c r="K160" s="2" t="str">
        <f t="shared" si="6"/>
        <v/>
      </c>
      <c r="L160" s="2" t="str">
        <f t="shared" si="7"/>
        <v/>
      </c>
      <c r="M160" s="2" t="str">
        <f t="shared" si="8"/>
        <v/>
      </c>
      <c r="N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>
      <c r="A161" s="2">
        <v>157.0</v>
      </c>
      <c r="B161" s="2"/>
      <c r="C161" s="2"/>
      <c r="D161" s="2" t="str">
        <f>IFERROR(VLOOKUP(C161,'Catálogo Productos'!$B$3:$E$200,2,0),"")</f>
        <v/>
      </c>
      <c r="E161" s="2" t="str">
        <f>IFERROR(VLOOKUP(C161,'Catálogo Productos'!$B$3:$E$200,3,0),"")</f>
        <v/>
      </c>
      <c r="F161" s="2" t="str">
        <f>IFERROR(VLOOKUP(C161,'Catálogo Productos'!$B$3:$E$200,4,0),"")</f>
        <v/>
      </c>
      <c r="G161" s="2" t="str">
        <f>IF(F161="","",IF(I161="SÍ",F161*'Configuración'!$C$5,0))</f>
        <v/>
      </c>
      <c r="H161" s="2"/>
      <c r="I161" s="2"/>
      <c r="J161" s="2" t="str">
        <f>IF(F161="","",IF(H161="SÍ",'Configuración'!$C$6,0))</f>
        <v/>
      </c>
      <c r="K161" s="2" t="str">
        <f t="shared" si="6"/>
        <v/>
      </c>
      <c r="L161" s="2" t="str">
        <f t="shared" si="7"/>
        <v/>
      </c>
      <c r="M161" s="2" t="str">
        <f t="shared" si="8"/>
        <v/>
      </c>
      <c r="N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2">
        <v>158.0</v>
      </c>
      <c r="B162" s="2"/>
      <c r="C162" s="2"/>
      <c r="D162" s="2" t="str">
        <f>IFERROR(VLOOKUP(C162,'Catálogo Productos'!$B$3:$E$200,2,0),"")</f>
        <v/>
      </c>
      <c r="E162" s="2" t="str">
        <f>IFERROR(VLOOKUP(C162,'Catálogo Productos'!$B$3:$E$200,3,0),"")</f>
        <v/>
      </c>
      <c r="F162" s="2" t="str">
        <f>IFERROR(VLOOKUP(C162,'Catálogo Productos'!$B$3:$E$200,4,0),"")</f>
        <v/>
      </c>
      <c r="G162" s="2" t="str">
        <f>IF(F162="","",IF(I162="SÍ",F162*'Configuración'!$C$5,0))</f>
        <v/>
      </c>
      <c r="H162" s="2"/>
      <c r="I162" s="2"/>
      <c r="J162" s="2" t="str">
        <f>IF(F162="","",IF(H162="SÍ",'Configuración'!$C$6,0))</f>
        <v/>
      </c>
      <c r="K162" s="2" t="str">
        <f t="shared" si="6"/>
        <v/>
      </c>
      <c r="L162" s="2" t="str">
        <f t="shared" si="7"/>
        <v/>
      </c>
      <c r="M162" s="2" t="str">
        <f t="shared" si="8"/>
        <v/>
      </c>
      <c r="N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2">
        <v>159.0</v>
      </c>
      <c r="B163" s="2"/>
      <c r="C163" s="2"/>
      <c r="D163" s="2" t="str">
        <f>IFERROR(VLOOKUP(C163,'Catálogo Productos'!$B$3:$E$200,2,0),"")</f>
        <v/>
      </c>
      <c r="E163" s="2" t="str">
        <f>IFERROR(VLOOKUP(C163,'Catálogo Productos'!$B$3:$E$200,3,0),"")</f>
        <v/>
      </c>
      <c r="F163" s="2" t="str">
        <f>IFERROR(VLOOKUP(C163,'Catálogo Productos'!$B$3:$E$200,4,0),"")</f>
        <v/>
      </c>
      <c r="G163" s="2" t="str">
        <f>IF(F163="","",IF(I163="SÍ",F163*'Configuración'!$C$5,0))</f>
        <v/>
      </c>
      <c r="H163" s="2"/>
      <c r="I163" s="2"/>
      <c r="J163" s="2" t="str">
        <f>IF(F163="","",IF(H163="SÍ",'Configuración'!$C$6,0))</f>
        <v/>
      </c>
      <c r="K163" s="2" t="str">
        <f t="shared" si="6"/>
        <v/>
      </c>
      <c r="L163" s="2" t="str">
        <f t="shared" si="7"/>
        <v/>
      </c>
      <c r="M163" s="2" t="str">
        <f t="shared" si="8"/>
        <v/>
      </c>
      <c r="N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>
      <c r="A164" s="2">
        <v>160.0</v>
      </c>
      <c r="B164" s="2"/>
      <c r="C164" s="2"/>
      <c r="D164" s="2" t="str">
        <f>IFERROR(VLOOKUP(C164,'Catálogo Productos'!$B$3:$E$200,2,0),"")</f>
        <v/>
      </c>
      <c r="E164" s="2" t="str">
        <f>IFERROR(VLOOKUP(C164,'Catálogo Productos'!$B$3:$E$200,3,0),"")</f>
        <v/>
      </c>
      <c r="F164" s="2" t="str">
        <f>IFERROR(VLOOKUP(C164,'Catálogo Productos'!$B$3:$E$200,4,0),"")</f>
        <v/>
      </c>
      <c r="G164" s="2" t="str">
        <f>IF(F164="","",IF(I164="SÍ",F164*'Configuración'!$C$5,0))</f>
        <v/>
      </c>
      <c r="H164" s="2"/>
      <c r="I164" s="2"/>
      <c r="J164" s="2" t="str">
        <f>IF(F164="","",IF(H164="SÍ",'Configuración'!$C$6,0))</f>
        <v/>
      </c>
      <c r="K164" s="2" t="str">
        <f t="shared" si="6"/>
        <v/>
      </c>
      <c r="L164" s="2" t="str">
        <f t="shared" si="7"/>
        <v/>
      </c>
      <c r="M164" s="2" t="str">
        <f t="shared" si="8"/>
        <v/>
      </c>
      <c r="N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>
      <c r="A165" s="2">
        <v>161.0</v>
      </c>
      <c r="B165" s="2"/>
      <c r="C165" s="2"/>
      <c r="D165" s="2" t="str">
        <f>IFERROR(VLOOKUP(C165,'Catálogo Productos'!$B$3:$E$200,2,0),"")</f>
        <v/>
      </c>
      <c r="E165" s="2" t="str">
        <f>IFERROR(VLOOKUP(C165,'Catálogo Productos'!$B$3:$E$200,3,0),"")</f>
        <v/>
      </c>
      <c r="F165" s="2" t="str">
        <f>IFERROR(VLOOKUP(C165,'Catálogo Productos'!$B$3:$E$200,4,0),"")</f>
        <v/>
      </c>
      <c r="G165" s="2" t="str">
        <f>IF(F165="","",IF(I165="SÍ",F165*'Configuración'!$C$5,0))</f>
        <v/>
      </c>
      <c r="H165" s="2"/>
      <c r="I165" s="2"/>
      <c r="J165" s="2" t="str">
        <f>IF(F165="","",IF(H165="SÍ",'Configuración'!$C$6,0))</f>
        <v/>
      </c>
      <c r="K165" s="2" t="str">
        <f t="shared" si="6"/>
        <v/>
      </c>
      <c r="L165" s="2" t="str">
        <f t="shared" si="7"/>
        <v/>
      </c>
      <c r="M165" s="2" t="str">
        <f t="shared" si="8"/>
        <v/>
      </c>
      <c r="N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2">
        <v>162.0</v>
      </c>
      <c r="B166" s="2"/>
      <c r="C166" s="2"/>
      <c r="D166" s="2" t="str">
        <f>IFERROR(VLOOKUP(C166,'Catálogo Productos'!$B$3:$E$200,2,0),"")</f>
        <v/>
      </c>
      <c r="E166" s="2" t="str">
        <f>IFERROR(VLOOKUP(C166,'Catálogo Productos'!$B$3:$E$200,3,0),"")</f>
        <v/>
      </c>
      <c r="F166" s="2" t="str">
        <f>IFERROR(VLOOKUP(C166,'Catálogo Productos'!$B$3:$E$200,4,0),"")</f>
        <v/>
      </c>
      <c r="G166" s="2" t="str">
        <f>IF(F166="","",IF(I166="SÍ",F166*'Configuración'!$C$5,0))</f>
        <v/>
      </c>
      <c r="H166" s="2"/>
      <c r="I166" s="2"/>
      <c r="J166" s="2" t="str">
        <f>IF(F166="","",IF(H166="SÍ",'Configuración'!$C$6,0))</f>
        <v/>
      </c>
      <c r="K166" s="2" t="str">
        <f t="shared" si="6"/>
        <v/>
      </c>
      <c r="L166" s="2" t="str">
        <f t="shared" si="7"/>
        <v/>
      </c>
      <c r="M166" s="2" t="str">
        <f t="shared" si="8"/>
        <v/>
      </c>
      <c r="N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>
      <c r="A167" s="2">
        <v>163.0</v>
      </c>
      <c r="B167" s="2"/>
      <c r="C167" s="2"/>
      <c r="D167" s="2" t="str">
        <f>IFERROR(VLOOKUP(C167,'Catálogo Productos'!$B$3:$E$200,2,0),"")</f>
        <v/>
      </c>
      <c r="E167" s="2" t="str">
        <f>IFERROR(VLOOKUP(C167,'Catálogo Productos'!$B$3:$E$200,3,0),"")</f>
        <v/>
      </c>
      <c r="F167" s="2" t="str">
        <f>IFERROR(VLOOKUP(C167,'Catálogo Productos'!$B$3:$E$200,4,0),"")</f>
        <v/>
      </c>
      <c r="G167" s="2" t="str">
        <f>IF(F167="","",IF(I167="SÍ",F167*'Configuración'!$C$5,0))</f>
        <v/>
      </c>
      <c r="H167" s="2"/>
      <c r="I167" s="2"/>
      <c r="J167" s="2" t="str">
        <f>IF(F167="","",IF(H167="SÍ",'Configuración'!$C$6,0))</f>
        <v/>
      </c>
      <c r="K167" s="2" t="str">
        <f t="shared" si="6"/>
        <v/>
      </c>
      <c r="L167" s="2" t="str">
        <f t="shared" si="7"/>
        <v/>
      </c>
      <c r="M167" s="2" t="str">
        <f t="shared" si="8"/>
        <v/>
      </c>
      <c r="N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2">
        <v>164.0</v>
      </c>
      <c r="B168" s="2"/>
      <c r="C168" s="2"/>
      <c r="D168" s="2" t="str">
        <f>IFERROR(VLOOKUP(C168,'Catálogo Productos'!$B$3:$E$200,2,0),"")</f>
        <v/>
      </c>
      <c r="E168" s="2" t="str">
        <f>IFERROR(VLOOKUP(C168,'Catálogo Productos'!$B$3:$E$200,3,0),"")</f>
        <v/>
      </c>
      <c r="F168" s="2" t="str">
        <f>IFERROR(VLOOKUP(C168,'Catálogo Productos'!$B$3:$E$200,4,0),"")</f>
        <v/>
      </c>
      <c r="G168" s="2" t="str">
        <f>IF(F168="","",IF(I168="SÍ",F168*'Configuración'!$C$5,0))</f>
        <v/>
      </c>
      <c r="H168" s="2"/>
      <c r="I168" s="2"/>
      <c r="J168" s="2" t="str">
        <f>IF(F168="","",IF(H168="SÍ",'Configuración'!$C$6,0))</f>
        <v/>
      </c>
      <c r="K168" s="2" t="str">
        <f t="shared" si="6"/>
        <v/>
      </c>
      <c r="L168" s="2" t="str">
        <f t="shared" si="7"/>
        <v/>
      </c>
      <c r="M168" s="2" t="str">
        <f t="shared" si="8"/>
        <v/>
      </c>
      <c r="N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2">
        <v>165.0</v>
      </c>
      <c r="B169" s="2"/>
      <c r="C169" s="2"/>
      <c r="D169" s="2" t="str">
        <f>IFERROR(VLOOKUP(C169,'Catálogo Productos'!$B$3:$E$200,2,0),"")</f>
        <v/>
      </c>
      <c r="E169" s="2" t="str">
        <f>IFERROR(VLOOKUP(C169,'Catálogo Productos'!$B$3:$E$200,3,0),"")</f>
        <v/>
      </c>
      <c r="F169" s="2" t="str">
        <f>IFERROR(VLOOKUP(C169,'Catálogo Productos'!$B$3:$E$200,4,0),"")</f>
        <v/>
      </c>
      <c r="G169" s="2" t="str">
        <f>IF(F169="","",IF(I169="SÍ",F169*'Configuración'!$C$5,0))</f>
        <v/>
      </c>
      <c r="H169" s="2"/>
      <c r="I169" s="2"/>
      <c r="J169" s="2" t="str">
        <f>IF(F169="","",IF(H169="SÍ",'Configuración'!$C$6,0))</f>
        <v/>
      </c>
      <c r="K169" s="2" t="str">
        <f t="shared" si="6"/>
        <v/>
      </c>
      <c r="L169" s="2" t="str">
        <f t="shared" si="7"/>
        <v/>
      </c>
      <c r="M169" s="2" t="str">
        <f t="shared" si="8"/>
        <v/>
      </c>
      <c r="N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>
      <c r="A170" s="2">
        <v>166.0</v>
      </c>
      <c r="B170" s="2"/>
      <c r="C170" s="2"/>
      <c r="D170" s="2" t="str">
        <f>IFERROR(VLOOKUP(C170,'Catálogo Productos'!$B$3:$E$200,2,0),"")</f>
        <v/>
      </c>
      <c r="E170" s="2" t="str">
        <f>IFERROR(VLOOKUP(C170,'Catálogo Productos'!$B$3:$E$200,3,0),"")</f>
        <v/>
      </c>
      <c r="F170" s="2" t="str">
        <f>IFERROR(VLOOKUP(C170,'Catálogo Productos'!$B$3:$E$200,4,0),"")</f>
        <v/>
      </c>
      <c r="G170" s="2" t="str">
        <f>IF(F170="","",IF(I170="SÍ",F170*'Configuración'!$C$5,0))</f>
        <v/>
      </c>
      <c r="H170" s="2"/>
      <c r="I170" s="2"/>
      <c r="J170" s="2" t="str">
        <f>IF(F170="","",IF(H170="SÍ",'Configuración'!$C$6,0))</f>
        <v/>
      </c>
      <c r="K170" s="2" t="str">
        <f t="shared" si="6"/>
        <v/>
      </c>
      <c r="L170" s="2" t="str">
        <f t="shared" si="7"/>
        <v/>
      </c>
      <c r="M170" s="2" t="str">
        <f t="shared" si="8"/>
        <v/>
      </c>
      <c r="N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>
      <c r="A171" s="2">
        <v>167.0</v>
      </c>
      <c r="B171" s="2"/>
      <c r="C171" s="2"/>
      <c r="D171" s="2" t="str">
        <f>IFERROR(VLOOKUP(C171,'Catálogo Productos'!$B$3:$E$200,2,0),"")</f>
        <v/>
      </c>
      <c r="E171" s="2" t="str">
        <f>IFERROR(VLOOKUP(C171,'Catálogo Productos'!$B$3:$E$200,3,0),"")</f>
        <v/>
      </c>
      <c r="F171" s="2" t="str">
        <f>IFERROR(VLOOKUP(C171,'Catálogo Productos'!$B$3:$E$200,4,0),"")</f>
        <v/>
      </c>
      <c r="G171" s="2" t="str">
        <f>IF(F171="","",IF(I171="SÍ",F171*'Configuración'!$C$5,0))</f>
        <v/>
      </c>
      <c r="H171" s="2"/>
      <c r="I171" s="2"/>
      <c r="J171" s="2" t="str">
        <f>IF(F171="","",IF(H171="SÍ",'Configuración'!$C$6,0))</f>
        <v/>
      </c>
      <c r="K171" s="2" t="str">
        <f t="shared" si="6"/>
        <v/>
      </c>
      <c r="L171" s="2" t="str">
        <f t="shared" si="7"/>
        <v/>
      </c>
      <c r="M171" s="2" t="str">
        <f t="shared" si="8"/>
        <v/>
      </c>
      <c r="N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>
      <c r="A172" s="2">
        <v>168.0</v>
      </c>
      <c r="B172" s="2"/>
      <c r="C172" s="2"/>
      <c r="D172" s="2" t="str">
        <f>IFERROR(VLOOKUP(C172,'Catálogo Productos'!$B$3:$E$200,2,0),"")</f>
        <v/>
      </c>
      <c r="E172" s="2" t="str">
        <f>IFERROR(VLOOKUP(C172,'Catálogo Productos'!$B$3:$E$200,3,0),"")</f>
        <v/>
      </c>
      <c r="F172" s="2" t="str">
        <f>IFERROR(VLOOKUP(C172,'Catálogo Productos'!$B$3:$E$200,4,0),"")</f>
        <v/>
      </c>
      <c r="G172" s="2" t="str">
        <f>IF(F172="","",IF(I172="SÍ",F172*'Configuración'!$C$5,0))</f>
        <v/>
      </c>
      <c r="H172" s="2"/>
      <c r="I172" s="2"/>
      <c r="J172" s="2" t="str">
        <f>IF(F172="","",IF(H172="SÍ",'Configuración'!$C$6,0))</f>
        <v/>
      </c>
      <c r="K172" s="2" t="str">
        <f t="shared" si="6"/>
        <v/>
      </c>
      <c r="L172" s="2" t="str">
        <f t="shared" si="7"/>
        <v/>
      </c>
      <c r="M172" s="2" t="str">
        <f t="shared" si="8"/>
        <v/>
      </c>
      <c r="N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2">
        <v>169.0</v>
      </c>
      <c r="B173" s="2"/>
      <c r="C173" s="2"/>
      <c r="D173" s="2" t="str">
        <f>IFERROR(VLOOKUP(C173,'Catálogo Productos'!$B$3:$E$200,2,0),"")</f>
        <v/>
      </c>
      <c r="E173" s="2" t="str">
        <f>IFERROR(VLOOKUP(C173,'Catálogo Productos'!$B$3:$E$200,3,0),"")</f>
        <v/>
      </c>
      <c r="F173" s="2" t="str">
        <f>IFERROR(VLOOKUP(C173,'Catálogo Productos'!$B$3:$E$200,4,0),"")</f>
        <v/>
      </c>
      <c r="G173" s="2" t="str">
        <f>IF(F173="","",IF(I173="SÍ",F173*'Configuración'!$C$5,0))</f>
        <v/>
      </c>
      <c r="H173" s="2"/>
      <c r="I173" s="2"/>
      <c r="J173" s="2" t="str">
        <f>IF(F173="","",IF(H173="SÍ",'Configuración'!$C$6,0))</f>
        <v/>
      </c>
      <c r="K173" s="2" t="str">
        <f t="shared" si="6"/>
        <v/>
      </c>
      <c r="L173" s="2" t="str">
        <f t="shared" si="7"/>
        <v/>
      </c>
      <c r="M173" s="2" t="str">
        <f t="shared" si="8"/>
        <v/>
      </c>
      <c r="N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2">
        <v>170.0</v>
      </c>
      <c r="B174" s="2"/>
      <c r="C174" s="2"/>
      <c r="D174" s="2" t="str">
        <f>IFERROR(VLOOKUP(C174,'Catálogo Productos'!$B$3:$E$200,2,0),"")</f>
        <v/>
      </c>
      <c r="E174" s="2" t="str">
        <f>IFERROR(VLOOKUP(C174,'Catálogo Productos'!$B$3:$E$200,3,0),"")</f>
        <v/>
      </c>
      <c r="F174" s="2" t="str">
        <f>IFERROR(VLOOKUP(C174,'Catálogo Productos'!$B$3:$E$200,4,0),"")</f>
        <v/>
      </c>
      <c r="G174" s="2" t="str">
        <f>IF(F174="","",IF(I174="SÍ",F174*'Configuración'!$C$5,0))</f>
        <v/>
      </c>
      <c r="H174" s="2"/>
      <c r="I174" s="2"/>
      <c r="J174" s="2" t="str">
        <f>IF(F174="","",IF(H174="SÍ",'Configuración'!$C$6,0))</f>
        <v/>
      </c>
      <c r="K174" s="2" t="str">
        <f t="shared" si="6"/>
        <v/>
      </c>
      <c r="L174" s="2" t="str">
        <f t="shared" si="7"/>
        <v/>
      </c>
      <c r="M174" s="2" t="str">
        <f t="shared" si="8"/>
        <v/>
      </c>
      <c r="N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2">
        <v>171.0</v>
      </c>
      <c r="B175" s="2"/>
      <c r="C175" s="2"/>
      <c r="D175" s="2" t="str">
        <f>IFERROR(VLOOKUP(C175,'Catálogo Productos'!$B$3:$E$200,2,0),"")</f>
        <v/>
      </c>
      <c r="E175" s="2" t="str">
        <f>IFERROR(VLOOKUP(C175,'Catálogo Productos'!$B$3:$E$200,3,0),"")</f>
        <v/>
      </c>
      <c r="F175" s="2" t="str">
        <f>IFERROR(VLOOKUP(C175,'Catálogo Productos'!$B$3:$E$200,4,0),"")</f>
        <v/>
      </c>
      <c r="G175" s="2" t="str">
        <f>IF(F175="","",IF(I175="SÍ",F175*'Configuración'!$C$5,0))</f>
        <v/>
      </c>
      <c r="H175" s="2"/>
      <c r="I175" s="2"/>
      <c r="J175" s="2" t="str">
        <f>IF(F175="","",IF(H175="SÍ",'Configuración'!$C$6,0))</f>
        <v/>
      </c>
      <c r="K175" s="2" t="str">
        <f t="shared" si="6"/>
        <v/>
      </c>
      <c r="L175" s="2" t="str">
        <f t="shared" si="7"/>
        <v/>
      </c>
      <c r="M175" s="2" t="str">
        <f t="shared" si="8"/>
        <v/>
      </c>
      <c r="N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2">
        <v>172.0</v>
      </c>
      <c r="B176" s="2"/>
      <c r="C176" s="2"/>
      <c r="D176" s="2" t="str">
        <f>IFERROR(VLOOKUP(C176,'Catálogo Productos'!$B$3:$E$200,2,0),"")</f>
        <v/>
      </c>
      <c r="E176" s="2" t="str">
        <f>IFERROR(VLOOKUP(C176,'Catálogo Productos'!$B$3:$E$200,3,0),"")</f>
        <v/>
      </c>
      <c r="F176" s="2" t="str">
        <f>IFERROR(VLOOKUP(C176,'Catálogo Productos'!$B$3:$E$200,4,0),"")</f>
        <v/>
      </c>
      <c r="G176" s="2" t="str">
        <f>IF(F176="","",IF(I176="SÍ",F176*'Configuración'!$C$5,0))</f>
        <v/>
      </c>
      <c r="H176" s="2"/>
      <c r="I176" s="2"/>
      <c r="J176" s="2" t="str">
        <f>IF(F176="","",IF(H176="SÍ",'Configuración'!$C$6,0))</f>
        <v/>
      </c>
      <c r="K176" s="2" t="str">
        <f t="shared" si="6"/>
        <v/>
      </c>
      <c r="L176" s="2" t="str">
        <f t="shared" si="7"/>
        <v/>
      </c>
      <c r="M176" s="2" t="str">
        <f t="shared" si="8"/>
        <v/>
      </c>
      <c r="N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2">
        <v>173.0</v>
      </c>
      <c r="B177" s="2"/>
      <c r="C177" s="2"/>
      <c r="D177" s="2" t="str">
        <f>IFERROR(VLOOKUP(C177,'Catálogo Productos'!$B$3:$E$200,2,0),"")</f>
        <v/>
      </c>
      <c r="E177" s="2" t="str">
        <f>IFERROR(VLOOKUP(C177,'Catálogo Productos'!$B$3:$E$200,3,0),"")</f>
        <v/>
      </c>
      <c r="F177" s="2" t="str">
        <f>IFERROR(VLOOKUP(C177,'Catálogo Productos'!$B$3:$E$200,4,0),"")</f>
        <v/>
      </c>
      <c r="G177" s="2" t="str">
        <f>IF(F177="","",IF(I177="SÍ",F177*'Configuración'!$C$5,0))</f>
        <v/>
      </c>
      <c r="H177" s="2"/>
      <c r="I177" s="2"/>
      <c r="J177" s="2" t="str">
        <f>IF(F177="","",IF(H177="SÍ",'Configuración'!$C$6,0))</f>
        <v/>
      </c>
      <c r="K177" s="2" t="str">
        <f t="shared" si="6"/>
        <v/>
      </c>
      <c r="L177" s="2" t="str">
        <f t="shared" si="7"/>
        <v/>
      </c>
      <c r="M177" s="2" t="str">
        <f t="shared" si="8"/>
        <v/>
      </c>
      <c r="N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2">
        <v>174.0</v>
      </c>
      <c r="B178" s="2"/>
      <c r="C178" s="2"/>
      <c r="D178" s="2" t="str">
        <f>IFERROR(VLOOKUP(C178,'Catálogo Productos'!$B$3:$E$200,2,0),"")</f>
        <v/>
      </c>
      <c r="E178" s="2" t="str">
        <f>IFERROR(VLOOKUP(C178,'Catálogo Productos'!$B$3:$E$200,3,0),"")</f>
        <v/>
      </c>
      <c r="F178" s="2" t="str">
        <f>IFERROR(VLOOKUP(C178,'Catálogo Productos'!$B$3:$E$200,4,0),"")</f>
        <v/>
      </c>
      <c r="G178" s="2" t="str">
        <f>IF(F178="","",IF(I178="SÍ",F178*'Configuración'!$C$5,0))</f>
        <v/>
      </c>
      <c r="H178" s="2"/>
      <c r="I178" s="2"/>
      <c r="J178" s="2" t="str">
        <f>IF(F178="","",IF(H178="SÍ",'Configuración'!$C$6,0))</f>
        <v/>
      </c>
      <c r="K178" s="2" t="str">
        <f t="shared" si="6"/>
        <v/>
      </c>
      <c r="L178" s="2" t="str">
        <f t="shared" si="7"/>
        <v/>
      </c>
      <c r="M178" s="2" t="str">
        <f t="shared" si="8"/>
        <v/>
      </c>
      <c r="N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2">
        <v>175.0</v>
      </c>
      <c r="B179" s="2"/>
      <c r="C179" s="2"/>
      <c r="D179" s="2" t="str">
        <f>IFERROR(VLOOKUP(C179,'Catálogo Productos'!$B$3:$E$200,2,0),"")</f>
        <v/>
      </c>
      <c r="E179" s="2" t="str">
        <f>IFERROR(VLOOKUP(C179,'Catálogo Productos'!$B$3:$E$200,3,0),"")</f>
        <v/>
      </c>
      <c r="F179" s="2" t="str">
        <f>IFERROR(VLOOKUP(C179,'Catálogo Productos'!$B$3:$E$200,4,0),"")</f>
        <v/>
      </c>
      <c r="G179" s="2" t="str">
        <f>IF(F179="","",IF(I179="SÍ",F179*'Configuración'!$C$5,0))</f>
        <v/>
      </c>
      <c r="H179" s="2"/>
      <c r="I179" s="2"/>
      <c r="J179" s="2" t="str">
        <f>IF(F179="","",IF(H179="SÍ",'Configuración'!$C$6,0))</f>
        <v/>
      </c>
      <c r="K179" s="2" t="str">
        <f t="shared" si="6"/>
        <v/>
      </c>
      <c r="L179" s="2" t="str">
        <f t="shared" si="7"/>
        <v/>
      </c>
      <c r="M179" s="2" t="str">
        <f t="shared" si="8"/>
        <v/>
      </c>
      <c r="N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2">
        <v>176.0</v>
      </c>
      <c r="B180" s="2"/>
      <c r="C180" s="2"/>
      <c r="D180" s="2" t="str">
        <f>IFERROR(VLOOKUP(C180,'Catálogo Productos'!$B$3:$E$200,2,0),"")</f>
        <v/>
      </c>
      <c r="E180" s="2" t="str">
        <f>IFERROR(VLOOKUP(C180,'Catálogo Productos'!$B$3:$E$200,3,0),"")</f>
        <v/>
      </c>
      <c r="F180" s="2" t="str">
        <f>IFERROR(VLOOKUP(C180,'Catálogo Productos'!$B$3:$E$200,4,0),"")</f>
        <v/>
      </c>
      <c r="G180" s="2" t="str">
        <f>IF(F180="","",IF(I180="SÍ",F180*'Configuración'!$C$5,0))</f>
        <v/>
      </c>
      <c r="H180" s="2"/>
      <c r="I180" s="2"/>
      <c r="J180" s="2" t="str">
        <f>IF(F180="","",IF(H180="SÍ",'Configuración'!$C$6,0))</f>
        <v/>
      </c>
      <c r="K180" s="2" t="str">
        <f t="shared" si="6"/>
        <v/>
      </c>
      <c r="L180" s="2" t="str">
        <f t="shared" si="7"/>
        <v/>
      </c>
      <c r="M180" s="2" t="str">
        <f t="shared" si="8"/>
        <v/>
      </c>
      <c r="N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2">
        <v>177.0</v>
      </c>
      <c r="B181" s="2"/>
      <c r="C181" s="2"/>
      <c r="D181" s="2" t="str">
        <f>IFERROR(VLOOKUP(C181,'Catálogo Productos'!$B$3:$E$200,2,0),"")</f>
        <v/>
      </c>
      <c r="E181" s="2" t="str">
        <f>IFERROR(VLOOKUP(C181,'Catálogo Productos'!$B$3:$E$200,3,0),"")</f>
        <v/>
      </c>
      <c r="F181" s="2" t="str">
        <f>IFERROR(VLOOKUP(C181,'Catálogo Productos'!$B$3:$E$200,4,0),"")</f>
        <v/>
      </c>
      <c r="G181" s="2" t="str">
        <f>IF(F181="","",IF(I181="SÍ",F181*'Configuración'!$C$5,0))</f>
        <v/>
      </c>
      <c r="H181" s="2"/>
      <c r="I181" s="2"/>
      <c r="J181" s="2" t="str">
        <f>IF(F181="","",IF(H181="SÍ",'Configuración'!$C$6,0))</f>
        <v/>
      </c>
      <c r="K181" s="2" t="str">
        <f t="shared" si="6"/>
        <v/>
      </c>
      <c r="L181" s="2" t="str">
        <f t="shared" si="7"/>
        <v/>
      </c>
      <c r="M181" s="2" t="str">
        <f t="shared" si="8"/>
        <v/>
      </c>
      <c r="N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2">
        <v>178.0</v>
      </c>
      <c r="B182" s="2"/>
      <c r="C182" s="2"/>
      <c r="D182" s="2" t="str">
        <f>IFERROR(VLOOKUP(C182,'Catálogo Productos'!$B$3:$E$200,2,0),"")</f>
        <v/>
      </c>
      <c r="E182" s="2" t="str">
        <f>IFERROR(VLOOKUP(C182,'Catálogo Productos'!$B$3:$E$200,3,0),"")</f>
        <v/>
      </c>
      <c r="F182" s="2" t="str">
        <f>IFERROR(VLOOKUP(C182,'Catálogo Productos'!$B$3:$E$200,4,0),"")</f>
        <v/>
      </c>
      <c r="G182" s="2" t="str">
        <f>IF(F182="","",IF(I182="SÍ",F182*'Configuración'!$C$5,0))</f>
        <v/>
      </c>
      <c r="H182" s="2"/>
      <c r="I182" s="2"/>
      <c r="J182" s="2" t="str">
        <f>IF(F182="","",IF(H182="SÍ",'Configuración'!$C$6,0))</f>
        <v/>
      </c>
      <c r="K182" s="2" t="str">
        <f t="shared" si="6"/>
        <v/>
      </c>
      <c r="L182" s="2" t="str">
        <f t="shared" si="7"/>
        <v/>
      </c>
      <c r="M182" s="2" t="str">
        <f t="shared" si="8"/>
        <v/>
      </c>
      <c r="N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2">
        <v>179.0</v>
      </c>
      <c r="B183" s="2"/>
      <c r="C183" s="2"/>
      <c r="D183" s="2" t="str">
        <f>IFERROR(VLOOKUP(C183,'Catálogo Productos'!$B$3:$E$200,2,0),"")</f>
        <v/>
      </c>
      <c r="E183" s="2" t="str">
        <f>IFERROR(VLOOKUP(C183,'Catálogo Productos'!$B$3:$E$200,3,0),"")</f>
        <v/>
      </c>
      <c r="F183" s="2" t="str">
        <f>IFERROR(VLOOKUP(C183,'Catálogo Productos'!$B$3:$E$200,4,0),"")</f>
        <v/>
      </c>
      <c r="G183" s="2" t="str">
        <f>IF(F183="","",IF(I183="SÍ",F183*'Configuración'!$C$5,0))</f>
        <v/>
      </c>
      <c r="H183" s="2"/>
      <c r="I183" s="2"/>
      <c r="J183" s="2" t="str">
        <f>IF(F183="","",IF(H183="SÍ",'Configuración'!$C$6,0))</f>
        <v/>
      </c>
      <c r="K183" s="2" t="str">
        <f t="shared" si="6"/>
        <v/>
      </c>
      <c r="L183" s="2" t="str">
        <f t="shared" si="7"/>
        <v/>
      </c>
      <c r="M183" s="2" t="str">
        <f t="shared" si="8"/>
        <v/>
      </c>
      <c r="N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2">
        <v>180.0</v>
      </c>
      <c r="B184" s="2"/>
      <c r="C184" s="2"/>
      <c r="D184" s="2" t="str">
        <f>IFERROR(VLOOKUP(C184,'Catálogo Productos'!$B$3:$E$200,2,0),"")</f>
        <v/>
      </c>
      <c r="E184" s="2" t="str">
        <f>IFERROR(VLOOKUP(C184,'Catálogo Productos'!$B$3:$E$200,3,0),"")</f>
        <v/>
      </c>
      <c r="F184" s="2" t="str">
        <f>IFERROR(VLOOKUP(C184,'Catálogo Productos'!$B$3:$E$200,4,0),"")</f>
        <v/>
      </c>
      <c r="G184" s="2" t="str">
        <f>IF(F184="","",IF(I184="SÍ",F184*'Configuración'!$C$5,0))</f>
        <v/>
      </c>
      <c r="H184" s="2"/>
      <c r="I184" s="2"/>
      <c r="J184" s="2" t="str">
        <f>IF(F184="","",IF(H184="SÍ",'Configuración'!$C$6,0))</f>
        <v/>
      </c>
      <c r="K184" s="2" t="str">
        <f t="shared" si="6"/>
        <v/>
      </c>
      <c r="L184" s="2" t="str">
        <f t="shared" si="7"/>
        <v/>
      </c>
      <c r="M184" s="2" t="str">
        <f t="shared" si="8"/>
        <v/>
      </c>
      <c r="N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2">
        <v>181.0</v>
      </c>
      <c r="B185" s="2"/>
      <c r="C185" s="2"/>
      <c r="D185" s="2" t="str">
        <f>IFERROR(VLOOKUP(C185,'Catálogo Productos'!$B$3:$E$200,2,0),"")</f>
        <v/>
      </c>
      <c r="E185" s="2" t="str">
        <f>IFERROR(VLOOKUP(C185,'Catálogo Productos'!$B$3:$E$200,3,0),"")</f>
        <v/>
      </c>
      <c r="F185" s="2" t="str">
        <f>IFERROR(VLOOKUP(C185,'Catálogo Productos'!$B$3:$E$200,4,0),"")</f>
        <v/>
      </c>
      <c r="G185" s="2" t="str">
        <f>IF(F185="","",IF(I185="SÍ",F185*'Configuración'!$C$5,0))</f>
        <v/>
      </c>
      <c r="H185" s="2"/>
      <c r="I185" s="2"/>
      <c r="J185" s="2" t="str">
        <f>IF(F185="","",IF(H185="SÍ",'Configuración'!$C$6,0))</f>
        <v/>
      </c>
      <c r="K185" s="2" t="str">
        <f t="shared" si="6"/>
        <v/>
      </c>
      <c r="L185" s="2" t="str">
        <f t="shared" si="7"/>
        <v/>
      </c>
      <c r="M185" s="2" t="str">
        <f t="shared" si="8"/>
        <v/>
      </c>
      <c r="N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2">
        <v>182.0</v>
      </c>
      <c r="B186" s="2"/>
      <c r="C186" s="2"/>
      <c r="D186" s="2" t="str">
        <f>IFERROR(VLOOKUP(C186,'Catálogo Productos'!$B$3:$E$200,2,0),"")</f>
        <v/>
      </c>
      <c r="E186" s="2" t="str">
        <f>IFERROR(VLOOKUP(C186,'Catálogo Productos'!$B$3:$E$200,3,0),"")</f>
        <v/>
      </c>
      <c r="F186" s="2" t="str">
        <f>IFERROR(VLOOKUP(C186,'Catálogo Productos'!$B$3:$E$200,4,0),"")</f>
        <v/>
      </c>
      <c r="G186" s="2" t="str">
        <f>IF(F186="","",IF(I186="SÍ",F186*'Configuración'!$C$5,0))</f>
        <v/>
      </c>
      <c r="H186" s="2"/>
      <c r="I186" s="2"/>
      <c r="J186" s="2" t="str">
        <f>IF(F186="","",IF(H186="SÍ",'Configuración'!$C$6,0))</f>
        <v/>
      </c>
      <c r="K186" s="2" t="str">
        <f t="shared" si="6"/>
        <v/>
      </c>
      <c r="L186" s="2" t="str">
        <f t="shared" si="7"/>
        <v/>
      </c>
      <c r="M186" s="2" t="str">
        <f t="shared" si="8"/>
        <v/>
      </c>
      <c r="N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2">
        <v>183.0</v>
      </c>
      <c r="B187" s="2"/>
      <c r="C187" s="2"/>
      <c r="D187" s="2" t="str">
        <f>IFERROR(VLOOKUP(C187,'Catálogo Productos'!$B$3:$E$200,2,0),"")</f>
        <v/>
      </c>
      <c r="E187" s="2" t="str">
        <f>IFERROR(VLOOKUP(C187,'Catálogo Productos'!$B$3:$E$200,3,0),"")</f>
        <v/>
      </c>
      <c r="F187" s="2" t="str">
        <f>IFERROR(VLOOKUP(C187,'Catálogo Productos'!$B$3:$E$200,4,0),"")</f>
        <v/>
      </c>
      <c r="G187" s="2" t="str">
        <f>IF(F187="","",IF(I187="SÍ",F187*'Configuración'!$C$5,0))</f>
        <v/>
      </c>
      <c r="H187" s="2"/>
      <c r="I187" s="2"/>
      <c r="J187" s="2" t="str">
        <f>IF(F187="","",IF(H187="SÍ",'Configuración'!$C$6,0))</f>
        <v/>
      </c>
      <c r="K187" s="2" t="str">
        <f t="shared" si="6"/>
        <v/>
      </c>
      <c r="L187" s="2" t="str">
        <f t="shared" si="7"/>
        <v/>
      </c>
      <c r="M187" s="2" t="str">
        <f t="shared" si="8"/>
        <v/>
      </c>
      <c r="N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2">
        <v>184.0</v>
      </c>
      <c r="B188" s="2"/>
      <c r="C188" s="2"/>
      <c r="D188" s="2" t="str">
        <f>IFERROR(VLOOKUP(C188,'Catálogo Productos'!$B$3:$E$200,2,0),"")</f>
        <v/>
      </c>
      <c r="E188" s="2" t="str">
        <f>IFERROR(VLOOKUP(C188,'Catálogo Productos'!$B$3:$E$200,3,0),"")</f>
        <v/>
      </c>
      <c r="F188" s="2" t="str">
        <f>IFERROR(VLOOKUP(C188,'Catálogo Productos'!$B$3:$E$200,4,0),"")</f>
        <v/>
      </c>
      <c r="G188" s="2" t="str">
        <f>IF(F188="","",IF(I188="SÍ",F188*'Configuración'!$C$5,0))</f>
        <v/>
      </c>
      <c r="H188" s="2"/>
      <c r="I188" s="2"/>
      <c r="J188" s="2" t="str">
        <f>IF(F188="","",IF(H188="SÍ",'Configuración'!$C$6,0))</f>
        <v/>
      </c>
      <c r="K188" s="2" t="str">
        <f t="shared" si="6"/>
        <v/>
      </c>
      <c r="L188" s="2" t="str">
        <f t="shared" si="7"/>
        <v/>
      </c>
      <c r="M188" s="2" t="str">
        <f t="shared" si="8"/>
        <v/>
      </c>
      <c r="N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2">
        <v>185.0</v>
      </c>
      <c r="B189" s="2"/>
      <c r="C189" s="2"/>
      <c r="D189" s="2" t="str">
        <f>IFERROR(VLOOKUP(C189,'Catálogo Productos'!$B$3:$E$200,2,0),"")</f>
        <v/>
      </c>
      <c r="E189" s="2" t="str">
        <f>IFERROR(VLOOKUP(C189,'Catálogo Productos'!$B$3:$E$200,3,0),"")</f>
        <v/>
      </c>
      <c r="F189" s="2" t="str">
        <f>IFERROR(VLOOKUP(C189,'Catálogo Productos'!$B$3:$E$200,4,0),"")</f>
        <v/>
      </c>
      <c r="G189" s="2" t="str">
        <f>IF(F189="","",IF(I189="SÍ",F189*'Configuración'!$C$5,0))</f>
        <v/>
      </c>
      <c r="H189" s="2"/>
      <c r="I189" s="2"/>
      <c r="J189" s="2" t="str">
        <f>IF(F189="","",IF(H189="SÍ",'Configuración'!$C$6,0))</f>
        <v/>
      </c>
      <c r="K189" s="2" t="str">
        <f t="shared" si="6"/>
        <v/>
      </c>
      <c r="L189" s="2" t="str">
        <f t="shared" si="7"/>
        <v/>
      </c>
      <c r="M189" s="2" t="str">
        <f t="shared" si="8"/>
        <v/>
      </c>
      <c r="N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2">
        <v>186.0</v>
      </c>
      <c r="B190" s="2"/>
      <c r="C190" s="2"/>
      <c r="D190" s="2" t="str">
        <f>IFERROR(VLOOKUP(C190,'Catálogo Productos'!$B$3:$E$200,2,0),"")</f>
        <v/>
      </c>
      <c r="E190" s="2" t="str">
        <f>IFERROR(VLOOKUP(C190,'Catálogo Productos'!$B$3:$E$200,3,0),"")</f>
        <v/>
      </c>
      <c r="F190" s="2" t="str">
        <f>IFERROR(VLOOKUP(C190,'Catálogo Productos'!$B$3:$E$200,4,0),"")</f>
        <v/>
      </c>
      <c r="G190" s="2" t="str">
        <f>IF(F190="","",IF(I190="SÍ",F190*'Configuración'!$C$5,0))</f>
        <v/>
      </c>
      <c r="H190" s="2"/>
      <c r="I190" s="2"/>
      <c r="J190" s="2" t="str">
        <f>IF(F190="","",IF(H190="SÍ",'Configuración'!$C$6,0))</f>
        <v/>
      </c>
      <c r="K190" s="2" t="str">
        <f t="shared" si="6"/>
        <v/>
      </c>
      <c r="L190" s="2" t="str">
        <f t="shared" si="7"/>
        <v/>
      </c>
      <c r="M190" s="2" t="str">
        <f t="shared" si="8"/>
        <v/>
      </c>
      <c r="N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2">
        <v>187.0</v>
      </c>
      <c r="B191" s="2"/>
      <c r="C191" s="2"/>
      <c r="D191" s="2" t="str">
        <f>IFERROR(VLOOKUP(C191,'Catálogo Productos'!$B$3:$E$200,2,0),"")</f>
        <v/>
      </c>
      <c r="E191" s="2" t="str">
        <f>IFERROR(VLOOKUP(C191,'Catálogo Productos'!$B$3:$E$200,3,0),"")</f>
        <v/>
      </c>
      <c r="F191" s="2" t="str">
        <f>IFERROR(VLOOKUP(C191,'Catálogo Productos'!$B$3:$E$200,4,0),"")</f>
        <v/>
      </c>
      <c r="G191" s="2" t="str">
        <f>IF(F191="","",IF(I191="SÍ",F191*'Configuración'!$C$5,0))</f>
        <v/>
      </c>
      <c r="H191" s="2"/>
      <c r="I191" s="2"/>
      <c r="J191" s="2" t="str">
        <f>IF(F191="","",IF(H191="SÍ",'Configuración'!$C$6,0))</f>
        <v/>
      </c>
      <c r="K191" s="2" t="str">
        <f t="shared" si="6"/>
        <v/>
      </c>
      <c r="L191" s="2" t="str">
        <f t="shared" si="7"/>
        <v/>
      </c>
      <c r="M191" s="2" t="str">
        <f t="shared" si="8"/>
        <v/>
      </c>
      <c r="N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2">
        <v>188.0</v>
      </c>
      <c r="B192" s="2"/>
      <c r="C192" s="2"/>
      <c r="D192" s="2" t="str">
        <f>IFERROR(VLOOKUP(C192,'Catálogo Productos'!$B$3:$E$200,2,0),"")</f>
        <v/>
      </c>
      <c r="E192" s="2" t="str">
        <f>IFERROR(VLOOKUP(C192,'Catálogo Productos'!$B$3:$E$200,3,0),"")</f>
        <v/>
      </c>
      <c r="F192" s="2" t="str">
        <f>IFERROR(VLOOKUP(C192,'Catálogo Productos'!$B$3:$E$200,4,0),"")</f>
        <v/>
      </c>
      <c r="G192" s="2" t="str">
        <f>IF(F192="","",IF(I192="SÍ",F192*'Configuración'!$C$5,0))</f>
        <v/>
      </c>
      <c r="H192" s="2"/>
      <c r="I192" s="2"/>
      <c r="J192" s="2" t="str">
        <f>IF(F192="","",IF(H192="SÍ",'Configuración'!$C$6,0))</f>
        <v/>
      </c>
      <c r="K192" s="2" t="str">
        <f t="shared" si="6"/>
        <v/>
      </c>
      <c r="L192" s="2" t="str">
        <f t="shared" si="7"/>
        <v/>
      </c>
      <c r="M192" s="2" t="str">
        <f t="shared" si="8"/>
        <v/>
      </c>
      <c r="N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2">
        <v>189.0</v>
      </c>
      <c r="B193" s="2"/>
      <c r="C193" s="2"/>
      <c r="D193" s="2" t="str">
        <f>IFERROR(VLOOKUP(C193,'Catálogo Productos'!$B$3:$E$200,2,0),"")</f>
        <v/>
      </c>
      <c r="E193" s="2" t="str">
        <f>IFERROR(VLOOKUP(C193,'Catálogo Productos'!$B$3:$E$200,3,0),"")</f>
        <v/>
      </c>
      <c r="F193" s="2" t="str">
        <f>IFERROR(VLOOKUP(C193,'Catálogo Productos'!$B$3:$E$200,4,0),"")</f>
        <v/>
      </c>
      <c r="G193" s="2" t="str">
        <f>IF(F193="","",IF(I193="SÍ",F193*'Configuración'!$C$5,0))</f>
        <v/>
      </c>
      <c r="H193" s="2"/>
      <c r="I193" s="2"/>
      <c r="J193" s="2" t="str">
        <f>IF(F193="","",IF(H193="SÍ",'Configuración'!$C$6,0))</f>
        <v/>
      </c>
      <c r="K193" s="2" t="str">
        <f t="shared" si="6"/>
        <v/>
      </c>
      <c r="L193" s="2" t="str">
        <f t="shared" si="7"/>
        <v/>
      </c>
      <c r="M193" s="2" t="str">
        <f t="shared" si="8"/>
        <v/>
      </c>
      <c r="N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2">
        <v>190.0</v>
      </c>
      <c r="B194" s="2"/>
      <c r="C194" s="2"/>
      <c r="D194" s="2" t="str">
        <f>IFERROR(VLOOKUP(C194,'Catálogo Productos'!$B$3:$E$200,2,0),"")</f>
        <v/>
      </c>
      <c r="E194" s="2" t="str">
        <f>IFERROR(VLOOKUP(C194,'Catálogo Productos'!$B$3:$E$200,3,0),"")</f>
        <v/>
      </c>
      <c r="F194" s="2" t="str">
        <f>IFERROR(VLOOKUP(C194,'Catálogo Productos'!$B$3:$E$200,4,0),"")</f>
        <v/>
      </c>
      <c r="G194" s="2" t="str">
        <f>IF(F194="","",IF(I194="SÍ",F194*'Configuración'!$C$5,0))</f>
        <v/>
      </c>
      <c r="H194" s="2"/>
      <c r="I194" s="2"/>
      <c r="J194" s="2" t="str">
        <f>IF(F194="","",IF(H194="SÍ",'Configuración'!$C$6,0))</f>
        <v/>
      </c>
      <c r="K194" s="2" t="str">
        <f t="shared" si="6"/>
        <v/>
      </c>
      <c r="L194" s="2" t="str">
        <f t="shared" si="7"/>
        <v/>
      </c>
      <c r="M194" s="2" t="str">
        <f t="shared" si="8"/>
        <v/>
      </c>
      <c r="N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2">
        <v>191.0</v>
      </c>
      <c r="B195" s="2"/>
      <c r="C195" s="2"/>
      <c r="D195" s="2" t="str">
        <f>IFERROR(VLOOKUP(C195,'Catálogo Productos'!$B$3:$E$200,2,0),"")</f>
        <v/>
      </c>
      <c r="E195" s="2" t="str">
        <f>IFERROR(VLOOKUP(C195,'Catálogo Productos'!$B$3:$E$200,3,0),"")</f>
        <v/>
      </c>
      <c r="F195" s="2" t="str">
        <f>IFERROR(VLOOKUP(C195,'Catálogo Productos'!$B$3:$E$200,4,0),"")</f>
        <v/>
      </c>
      <c r="G195" s="2" t="str">
        <f>IF(F195="","",IF(I195="SÍ",F195*'Configuración'!$C$5,0))</f>
        <v/>
      </c>
      <c r="H195" s="2"/>
      <c r="I195" s="2"/>
      <c r="J195" s="2" t="str">
        <f>IF(F195="","",IF(H195="SÍ",'Configuración'!$C$6,0))</f>
        <v/>
      </c>
      <c r="K195" s="2" t="str">
        <f t="shared" si="6"/>
        <v/>
      </c>
      <c r="L195" s="2" t="str">
        <f t="shared" si="7"/>
        <v/>
      </c>
      <c r="M195" s="2" t="str">
        <f t="shared" si="8"/>
        <v/>
      </c>
      <c r="N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2">
        <v>192.0</v>
      </c>
      <c r="B196" s="2"/>
      <c r="C196" s="2"/>
      <c r="D196" s="2" t="str">
        <f>IFERROR(VLOOKUP(C196,'Catálogo Productos'!$B$3:$E$200,2,0),"")</f>
        <v/>
      </c>
      <c r="E196" s="2" t="str">
        <f>IFERROR(VLOOKUP(C196,'Catálogo Productos'!$B$3:$E$200,3,0),"")</f>
        <v/>
      </c>
      <c r="F196" s="2" t="str">
        <f>IFERROR(VLOOKUP(C196,'Catálogo Productos'!$B$3:$E$200,4,0),"")</f>
        <v/>
      </c>
      <c r="G196" s="2" t="str">
        <f>IF(F196="","",IF(I196="SÍ",F196*'Configuración'!$C$5,0))</f>
        <v/>
      </c>
      <c r="H196" s="2"/>
      <c r="I196" s="2"/>
      <c r="J196" s="2" t="str">
        <f>IF(F196="","",IF(H196="SÍ",'Configuración'!$C$6,0))</f>
        <v/>
      </c>
      <c r="K196" s="2" t="str">
        <f t="shared" si="6"/>
        <v/>
      </c>
      <c r="L196" s="2" t="str">
        <f t="shared" si="7"/>
        <v/>
      </c>
      <c r="M196" s="2" t="str">
        <f t="shared" si="8"/>
        <v/>
      </c>
      <c r="N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2">
        <v>193.0</v>
      </c>
      <c r="B197" s="2"/>
      <c r="C197" s="2"/>
      <c r="D197" s="2" t="str">
        <f>IFERROR(VLOOKUP(C197,'Catálogo Productos'!$B$3:$E$200,2,0),"")</f>
        <v/>
      </c>
      <c r="E197" s="2" t="str">
        <f>IFERROR(VLOOKUP(C197,'Catálogo Productos'!$B$3:$E$200,3,0),"")</f>
        <v/>
      </c>
      <c r="F197" s="2" t="str">
        <f>IFERROR(VLOOKUP(C197,'Catálogo Productos'!$B$3:$E$200,4,0),"")</f>
        <v/>
      </c>
      <c r="G197" s="2" t="str">
        <f>IF(F197="","",IF(I197="SÍ",F197*'Configuración'!$C$5,0))</f>
        <v/>
      </c>
      <c r="H197" s="2"/>
      <c r="I197" s="2"/>
      <c r="J197" s="2" t="str">
        <f>IF(F197="","",IF(H197="SÍ",'Configuración'!$C$6,0))</f>
        <v/>
      </c>
      <c r="K197" s="2" t="str">
        <f t="shared" si="6"/>
        <v/>
      </c>
      <c r="L197" s="2" t="str">
        <f t="shared" si="7"/>
        <v/>
      </c>
      <c r="M197" s="2" t="str">
        <f t="shared" si="8"/>
        <v/>
      </c>
      <c r="N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2">
        <v>194.0</v>
      </c>
      <c r="B198" s="2"/>
      <c r="C198" s="2"/>
      <c r="D198" s="2" t="str">
        <f>IFERROR(VLOOKUP(C198,'Catálogo Productos'!$B$3:$E$200,2,0),"")</f>
        <v/>
      </c>
      <c r="E198" s="2" t="str">
        <f>IFERROR(VLOOKUP(C198,'Catálogo Productos'!$B$3:$E$200,3,0),"")</f>
        <v/>
      </c>
      <c r="F198" s="2" t="str">
        <f>IFERROR(VLOOKUP(C198,'Catálogo Productos'!$B$3:$E$200,4,0),"")</f>
        <v/>
      </c>
      <c r="G198" s="2" t="str">
        <f>IF(F198="","",IF(I198="SÍ",F198*'Configuración'!$C$5,0))</f>
        <v/>
      </c>
      <c r="H198" s="2"/>
      <c r="I198" s="2"/>
      <c r="J198" s="2" t="str">
        <f>IF(F198="","",IF(H198="SÍ",'Configuración'!$C$6,0))</f>
        <v/>
      </c>
      <c r="K198" s="2" t="str">
        <f t="shared" si="6"/>
        <v/>
      </c>
      <c r="L198" s="2" t="str">
        <f t="shared" si="7"/>
        <v/>
      </c>
      <c r="M198" s="2" t="str">
        <f t="shared" si="8"/>
        <v/>
      </c>
      <c r="N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2">
        <v>195.0</v>
      </c>
      <c r="B199" s="2"/>
      <c r="C199" s="2"/>
      <c r="D199" s="2" t="str">
        <f>IFERROR(VLOOKUP(C199,'Catálogo Productos'!$B$3:$E$200,2,0),"")</f>
        <v/>
      </c>
      <c r="E199" s="2" t="str">
        <f>IFERROR(VLOOKUP(C199,'Catálogo Productos'!$B$3:$E$200,3,0),"")</f>
        <v/>
      </c>
      <c r="F199" s="2" t="str">
        <f>IFERROR(VLOOKUP(C199,'Catálogo Productos'!$B$3:$E$200,4,0),"")</f>
        <v/>
      </c>
      <c r="G199" s="2" t="str">
        <f>IF(F199="","",IF(I199="SÍ",F199*'Configuración'!$C$5,0))</f>
        <v/>
      </c>
      <c r="H199" s="2"/>
      <c r="I199" s="2"/>
      <c r="J199" s="2" t="str">
        <f>IF(F199="","",IF(H199="SÍ",'Configuración'!$C$6,0))</f>
        <v/>
      </c>
      <c r="K199" s="2" t="str">
        <f t="shared" si="6"/>
        <v/>
      </c>
      <c r="L199" s="2" t="str">
        <f t="shared" si="7"/>
        <v/>
      </c>
      <c r="M199" s="2" t="str">
        <f t="shared" si="8"/>
        <v/>
      </c>
      <c r="N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2">
        <v>196.0</v>
      </c>
      <c r="B200" s="2"/>
      <c r="C200" s="2"/>
      <c r="D200" s="2" t="str">
        <f>IFERROR(VLOOKUP(C200,'Catálogo Productos'!$B$3:$E$200,2,0),"")</f>
        <v/>
      </c>
      <c r="E200" s="2" t="str">
        <f>IFERROR(VLOOKUP(C200,'Catálogo Productos'!$B$3:$E$200,3,0),"")</f>
        <v/>
      </c>
      <c r="F200" s="2" t="str">
        <f>IFERROR(VLOOKUP(C200,'Catálogo Productos'!$B$3:$E$200,4,0),"")</f>
        <v/>
      </c>
      <c r="G200" s="2" t="str">
        <f>IF(F200="","",IF(I200="SÍ",F200*'Configuración'!$C$5,0))</f>
        <v/>
      </c>
      <c r="H200" s="2"/>
      <c r="I200" s="2"/>
      <c r="J200" s="2" t="str">
        <f>IF(F200="","",IF(H200="SÍ",'Configuración'!$C$6,0))</f>
        <v/>
      </c>
      <c r="K200" s="2" t="str">
        <f t="shared" si="6"/>
        <v/>
      </c>
      <c r="L200" s="2" t="str">
        <f t="shared" si="7"/>
        <v/>
      </c>
      <c r="M200" s="2" t="str">
        <f t="shared" si="8"/>
        <v/>
      </c>
      <c r="N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2">
        <v>197.0</v>
      </c>
      <c r="B201" s="2"/>
      <c r="C201" s="2"/>
      <c r="D201" s="2" t="str">
        <f>IFERROR(VLOOKUP(C201,'Catálogo Productos'!$B$3:$E$200,2,0),"")</f>
        <v/>
      </c>
      <c r="E201" s="2" t="str">
        <f>IFERROR(VLOOKUP(C201,'Catálogo Productos'!$B$3:$E$200,3,0),"")</f>
        <v/>
      </c>
      <c r="F201" s="2" t="str">
        <f>IFERROR(VLOOKUP(C201,'Catálogo Productos'!$B$3:$E$200,4,0),"")</f>
        <v/>
      </c>
      <c r="G201" s="2" t="str">
        <f>IF(F201="","",IF(I201="SÍ",F201*'Configuración'!$C$5,0))</f>
        <v/>
      </c>
      <c r="H201" s="2"/>
      <c r="I201" s="2"/>
      <c r="J201" s="2" t="str">
        <f>IF(F201="","",IF(H201="SÍ",'Configuración'!$C$6,0))</f>
        <v/>
      </c>
      <c r="K201" s="2" t="str">
        <f t="shared" si="6"/>
        <v/>
      </c>
      <c r="L201" s="2" t="str">
        <f t="shared" si="7"/>
        <v/>
      </c>
      <c r="M201" s="2" t="str">
        <f t="shared" si="8"/>
        <v/>
      </c>
      <c r="N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2">
        <v>198.0</v>
      </c>
      <c r="B202" s="2"/>
      <c r="C202" s="2"/>
      <c r="D202" s="2" t="str">
        <f>IFERROR(VLOOKUP(C202,'Catálogo Productos'!$B$3:$E$200,2,0),"")</f>
        <v/>
      </c>
      <c r="E202" s="2" t="str">
        <f>IFERROR(VLOOKUP(C202,'Catálogo Productos'!$B$3:$E$200,3,0),"")</f>
        <v/>
      </c>
      <c r="F202" s="2" t="str">
        <f>IFERROR(VLOOKUP(C202,'Catálogo Productos'!$B$3:$E$200,4,0),"")</f>
        <v/>
      </c>
      <c r="G202" s="2" t="str">
        <f>IF(F202="","",IF(I202="SÍ",F202*'Configuración'!$C$5,0))</f>
        <v/>
      </c>
      <c r="H202" s="2"/>
      <c r="I202" s="2"/>
      <c r="J202" s="2" t="str">
        <f>IF(F202="","",IF(H202="SÍ",'Configuración'!$C$6,0))</f>
        <v/>
      </c>
      <c r="K202" s="2" t="str">
        <f t="shared" si="6"/>
        <v/>
      </c>
      <c r="L202" s="2" t="str">
        <f t="shared" si="7"/>
        <v/>
      </c>
      <c r="M202" s="2" t="str">
        <f t="shared" si="8"/>
        <v/>
      </c>
      <c r="N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2">
        <v>199.0</v>
      </c>
      <c r="B203" s="2"/>
      <c r="C203" s="2"/>
      <c r="D203" s="2" t="str">
        <f>IFERROR(VLOOKUP(C203,'Catálogo Productos'!$B$3:$E$200,2,0),"")</f>
        <v/>
      </c>
      <c r="E203" s="2" t="str">
        <f>IFERROR(VLOOKUP(C203,'Catálogo Productos'!$B$3:$E$200,3,0),"")</f>
        <v/>
      </c>
      <c r="F203" s="2" t="str">
        <f>IFERROR(VLOOKUP(C203,'Catálogo Productos'!$B$3:$E$200,4,0),"")</f>
        <v/>
      </c>
      <c r="G203" s="2" t="str">
        <f>IF(F203="","",IF(I203="SÍ",F203*'Configuración'!$C$5,0))</f>
        <v/>
      </c>
      <c r="H203" s="2"/>
      <c r="I203" s="2"/>
      <c r="J203" s="2" t="str">
        <f>IF(F203="","",IF(H203="SÍ",'Configuración'!$C$6,0))</f>
        <v/>
      </c>
      <c r="K203" s="2" t="str">
        <f t="shared" si="6"/>
        <v/>
      </c>
      <c r="L203" s="2" t="str">
        <f t="shared" si="7"/>
        <v/>
      </c>
      <c r="M203" s="2" t="str">
        <f t="shared" si="8"/>
        <v/>
      </c>
      <c r="N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2">
        <v>200.0</v>
      </c>
      <c r="B204" s="2"/>
      <c r="C204" s="2"/>
      <c r="D204" s="2" t="str">
        <f>IFERROR(VLOOKUP(C204,'Catálogo Productos'!$B$3:$E$200,2,0),"")</f>
        <v/>
      </c>
      <c r="E204" s="2" t="str">
        <f>IFERROR(VLOOKUP(C204,'Catálogo Productos'!$B$3:$E$200,3,0),"")</f>
        <v/>
      </c>
      <c r="F204" s="2" t="str">
        <f>IFERROR(VLOOKUP(C204,'Catálogo Productos'!$B$3:$E$200,4,0),"")</f>
        <v/>
      </c>
      <c r="G204" s="2" t="str">
        <f>IF(F204="","",IF(I204="SÍ",F204*'Configuración'!$C$5,0))</f>
        <v/>
      </c>
      <c r="H204" s="2"/>
      <c r="I204" s="2"/>
      <c r="J204" s="2" t="str">
        <f>IF(F204="","",IF(H204="SÍ",'Configuración'!$C$6,0))</f>
        <v/>
      </c>
      <c r="K204" s="2" t="str">
        <f t="shared" si="6"/>
        <v/>
      </c>
      <c r="L204" s="2" t="str">
        <f t="shared" si="7"/>
        <v/>
      </c>
      <c r="M204" s="2" t="str">
        <f t="shared" si="8"/>
        <v/>
      </c>
      <c r="N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</row>
  </sheetData>
  <mergeCells count="3">
    <mergeCell ref="A1:P1"/>
    <mergeCell ref="A2:P2"/>
    <mergeCell ref="A55:D55"/>
  </mergeCells>
  <dataValidations>
    <dataValidation type="list" allowBlank="1" showErrorMessage="1" sqref="H5:H204">
      <formula1>"SÍ,No"</formula1>
    </dataValidation>
    <dataValidation type="list" allowBlank="1" showInputMessage="1" showErrorMessage="1" prompt="Valor inválido - Selecciona SÍ o NO" sqref="I5:I204">
      <formula1>"SÍ,NO"</formula1>
    </dataValidation>
    <dataValidation type="list" allowBlank="1" showInputMessage="1" showErrorMessage="1" prompt="Producto inválido - Selecciona un producto del catálogo" sqref="C5:C54 C56:C204">
      <formula1>ListaProductos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AE60"/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35.0"/>
    <col customWidth="1" min="3" max="3" width="18.0"/>
    <col customWidth="1" min="4" max="4" width="12.0"/>
    <col customWidth="1" min="5" max="5" width="35.0"/>
    <col customWidth="1" min="6" max="6" width="8.71"/>
  </cols>
  <sheetData>
    <row r="1" ht="39.75" customHeight="1">
      <c r="A1" s="8" t="s">
        <v>159</v>
      </c>
      <c r="B1" s="9"/>
      <c r="C1" s="9"/>
      <c r="D1" s="9"/>
      <c r="E1" s="10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32" t="str">
        <f>'Configuración'!C20&amp;" "&amp;'Configuración'!C21</f>
        <v>Abril 2026</v>
      </c>
      <c r="B2" s="9"/>
      <c r="C2" s="9"/>
      <c r="D2" s="9"/>
      <c r="E2" s="10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A4" s="11" t="s">
        <v>114</v>
      </c>
      <c r="B4" s="9"/>
      <c r="C4" s="9"/>
      <c r="D4" s="9"/>
      <c r="E4" s="10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0" customHeight="1">
      <c r="A6" s="2"/>
      <c r="B6" s="15" t="s">
        <v>115</v>
      </c>
      <c r="C6" s="56" t="str">
        <f>'Febrero 2026 - Ventas'!F55</f>
        <v>#REF!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2"/>
      <c r="B7" s="15" t="s">
        <v>116</v>
      </c>
      <c r="C7" s="56" t="str">
        <f>'Febrero 2026 - Ventas'!G55</f>
        <v>#REF!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0" customHeight="1">
      <c r="A8" s="2"/>
      <c r="B8" s="15" t="s">
        <v>117</v>
      </c>
      <c r="C8" s="56" t="str">
        <f>'Febrero 2026 - Ventas'!J55</f>
        <v>#REF!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2"/>
      <c r="B9" s="15" t="s">
        <v>118</v>
      </c>
      <c r="C9" s="56" t="str">
        <f>'Febrero 2026 - Ventas'!K55</f>
        <v>#REF!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2"/>
      <c r="B10" s="15" t="s">
        <v>119</v>
      </c>
      <c r="C10" s="56" t="str">
        <f>'Febrero 2026 - Ventas'!E55</f>
        <v>#REF!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2"/>
      <c r="B11" s="97" t="s">
        <v>120</v>
      </c>
      <c r="C11" s="98" t="str">
        <f>'Febrero 2026 - Ventas'!L55</f>
        <v>#REF!</v>
      </c>
      <c r="D11" s="99"/>
      <c r="E11" s="99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0" customHeight="1">
      <c r="A13" s="100" t="s">
        <v>121</v>
      </c>
      <c r="B13" s="9"/>
      <c r="C13" s="9"/>
      <c r="D13" s="9"/>
      <c r="E13" s="10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0" customHeight="1">
      <c r="A15" s="2"/>
      <c r="B15" s="15" t="s">
        <v>122</v>
      </c>
      <c r="C15" s="56" t="str">
        <f>C9</f>
        <v>#REF!</v>
      </c>
      <c r="D15" s="2"/>
      <c r="E15" s="101" t="s">
        <v>123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0" customHeight="1">
      <c r="A16" s="2"/>
      <c r="B16" s="15" t="s">
        <v>124</v>
      </c>
      <c r="C16" s="56" t="str">
        <f>C11</f>
        <v>#REF!</v>
      </c>
      <c r="D16" s="2"/>
      <c r="E16" s="101" t="s">
        <v>125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0" customHeight="1">
      <c r="A17" s="2"/>
      <c r="B17" s="15" t="s">
        <v>126</v>
      </c>
      <c r="C17" s="56" t="str">
        <f>C10</f>
        <v>#REF!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0" customHeight="1">
      <c r="A18" s="2"/>
      <c r="B18" s="102" t="s">
        <v>127</v>
      </c>
      <c r="C18" s="103" t="str">
        <f>C15-C10</f>
        <v>#REF!</v>
      </c>
      <c r="D18" s="104"/>
      <c r="E18" s="10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0" customHeight="1">
      <c r="A19" s="2"/>
      <c r="B19" s="105"/>
      <c r="C19" s="106"/>
      <c r="D19" s="2"/>
      <c r="E19" s="107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0" customHeight="1">
      <c r="A21" s="108" t="s">
        <v>128</v>
      </c>
      <c r="B21" s="9"/>
      <c r="C21" s="9"/>
      <c r="D21" s="9"/>
      <c r="E21" s="10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0" customHeight="1">
      <c r="A23" s="2"/>
      <c r="B23" s="15" t="s">
        <v>129</v>
      </c>
      <c r="C23" s="56" t="str">
        <f>C18</f>
        <v>#REF!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0" customHeight="1">
      <c r="A24" s="2"/>
      <c r="B24" s="15" t="s">
        <v>130</v>
      </c>
      <c r="C24" s="56" t="str">
        <f>IF(C23&gt;0,C23*'Configuración'!$C$14,0)</f>
        <v>#REF!</v>
      </c>
      <c r="D24" s="109">
        <f>'Configuración'!$C$14</f>
        <v>0.7</v>
      </c>
      <c r="E24" s="17" t="s">
        <v>131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0" customHeight="1">
      <c r="A25" s="2"/>
      <c r="B25" s="15" t="s">
        <v>132</v>
      </c>
      <c r="C25" s="56" t="str">
        <f>IF(C23&gt;0,C23*'Configuración'!$C$15,0)</f>
        <v>#REF!</v>
      </c>
      <c r="D25" s="109">
        <f>'Configuración'!$C$15</f>
        <v>0.3</v>
      </c>
      <c r="E25" s="17" t="s">
        <v>133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0" customHeight="1">
      <c r="A27" s="110" t="s">
        <v>134</v>
      </c>
      <c r="B27" s="9"/>
      <c r="C27" s="9"/>
      <c r="D27" s="9"/>
      <c r="E27" s="10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0" customHeight="1">
      <c r="A29" s="2"/>
      <c r="B29" s="15" t="s">
        <v>135</v>
      </c>
      <c r="C29" s="111">
        <f>'Febrero 2026 - Ventas'!C57</f>
        <v>37</v>
      </c>
      <c r="D29" s="2"/>
      <c r="E29" s="101" t="s">
        <v>136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0" customHeight="1">
      <c r="A30" s="2"/>
      <c r="B30" s="15" t="s">
        <v>137</v>
      </c>
      <c r="C30" s="56" t="str">
        <f>IF(C29&gt;0,C6/C29,0)</f>
        <v>#REF!</v>
      </c>
      <c r="D30" s="2"/>
      <c r="E30" s="101" t="s">
        <v>138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0" customHeight="1">
      <c r="A31" s="2"/>
      <c r="B31" s="15" t="s">
        <v>139</v>
      </c>
      <c r="C31" s="56" t="str">
        <f>IF(C29&gt;0,C18/C29,0)</f>
        <v>#REF!</v>
      </c>
      <c r="D31" s="2"/>
      <c r="E31" s="101" t="s">
        <v>140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0" customHeight="1">
      <c r="A32" s="2"/>
      <c r="B32" s="15" t="s">
        <v>141</v>
      </c>
      <c r="C32" s="112" t="str">
        <f>IF(C9=0,0,C18/C9)</f>
        <v>#REF!</v>
      </c>
      <c r="D32" s="2"/>
      <c r="E32" s="101" t="s">
        <v>142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0" customHeight="1">
      <c r="A33" s="2"/>
      <c r="B33" s="15" t="s">
        <v>143</v>
      </c>
      <c r="C33" s="56" t="str">
        <f>'Febrero 2026 - Ventas'!G55+'Febrero 2026 - Ventas'!J55</f>
        <v>#REF!</v>
      </c>
      <c r="D33" s="2"/>
      <c r="E33" s="101" t="s">
        <v>144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0" customHeight="1">
      <c r="A34" s="2"/>
      <c r="B34" s="15" t="s">
        <v>145</v>
      </c>
      <c r="C34" s="112" t="str">
        <f>IF(C10=0,0,C18/C10)</f>
        <v>#REF!</v>
      </c>
      <c r="D34" s="2"/>
      <c r="E34" s="101" t="s">
        <v>146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0" customHeight="1">
      <c r="A36" s="110" t="s">
        <v>147</v>
      </c>
      <c r="B36" s="9"/>
      <c r="C36" s="9"/>
      <c r="D36" s="9"/>
      <c r="E36" s="10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0" customHeight="1">
      <c r="A38" s="2"/>
      <c r="B38" s="15" t="s">
        <v>148</v>
      </c>
      <c r="C38" s="113" t="str">
        <f>IF(C29=0,"—",IF(C18&gt;0,"✅ SÍ","❌ NO"))</f>
        <v>#REF!</v>
      </c>
      <c r="D38" s="2"/>
      <c r="E38" s="101" t="s">
        <v>149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0" customHeight="1">
      <c r="A39" s="2"/>
      <c r="B39" s="15" t="s">
        <v>150</v>
      </c>
      <c r="C39" s="113" t="str">
        <f>IF(C29=0,"—",IF(C24&gt;0,"✅ SÍ","❌ NO"))</f>
        <v>#REF!</v>
      </c>
      <c r="D39" s="2"/>
      <c r="E39" s="101" t="s">
        <v>151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0" customHeight="1">
      <c r="A40" s="2"/>
      <c r="B40" s="15" t="s">
        <v>152</v>
      </c>
      <c r="C40" s="113" t="str">
        <f>IF(C29=0,"—",IF(C25&gt;0,"✅ SÍ","❌ NO"))</f>
        <v>#REF!</v>
      </c>
      <c r="D40" s="2"/>
      <c r="E40" s="101" t="s">
        <v>153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0" customHeight="1">
      <c r="A41" s="2"/>
      <c r="B41" s="15" t="s">
        <v>154</v>
      </c>
      <c r="C41" s="113" t="str">
        <f>IF(C29&gt;=50,"✅ SÍ — ¡Baja tu tarifa de envío!","❌ NO — Aún no")</f>
        <v>❌ NO — Aún no</v>
      </c>
      <c r="D41" s="2"/>
      <c r="E41" s="101" t="s">
        <v>155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7"/>
      <c r="B242" s="7"/>
      <c r="C242" s="7"/>
      <c r="D242" s="7"/>
      <c r="E242" s="7"/>
      <c r="F242" s="7"/>
    </row>
    <row r="243" ht="15.75" customHeight="1">
      <c r="A243" s="7"/>
      <c r="B243" s="7"/>
      <c r="C243" s="7"/>
      <c r="D243" s="7"/>
      <c r="E243" s="7"/>
      <c r="F243" s="7"/>
    </row>
    <row r="244" ht="15.75" customHeight="1">
      <c r="A244" s="7"/>
      <c r="B244" s="7"/>
      <c r="C244" s="7"/>
      <c r="D244" s="7"/>
      <c r="E244" s="7"/>
      <c r="F244" s="7"/>
    </row>
    <row r="245" ht="15.75" customHeight="1">
      <c r="A245" s="7"/>
      <c r="B245" s="7"/>
      <c r="C245" s="7"/>
      <c r="D245" s="7"/>
      <c r="E245" s="7"/>
      <c r="F245" s="7"/>
    </row>
    <row r="246" ht="15.75" customHeight="1">
      <c r="A246" s="7"/>
      <c r="B246" s="7"/>
      <c r="C246" s="7"/>
      <c r="D246" s="7"/>
      <c r="E246" s="7"/>
      <c r="F246" s="7"/>
    </row>
    <row r="247" ht="15.75" customHeight="1">
      <c r="A247" s="7"/>
      <c r="B247" s="7"/>
      <c r="C247" s="7"/>
      <c r="D247" s="7"/>
      <c r="E247" s="7"/>
      <c r="F247" s="7"/>
    </row>
    <row r="248" ht="15.75" customHeight="1">
      <c r="A248" s="7"/>
      <c r="B248" s="7"/>
      <c r="C248" s="7"/>
      <c r="D248" s="7"/>
      <c r="E248" s="7"/>
      <c r="F248" s="7"/>
    </row>
    <row r="249" ht="15.75" customHeight="1">
      <c r="A249" s="7"/>
      <c r="B249" s="7"/>
      <c r="C249" s="7"/>
      <c r="D249" s="7"/>
      <c r="E249" s="7"/>
      <c r="F249" s="7"/>
    </row>
    <row r="250" ht="15.75" customHeight="1">
      <c r="A250" s="7"/>
      <c r="B250" s="7"/>
      <c r="C250" s="7"/>
      <c r="D250" s="7"/>
      <c r="E250" s="7"/>
      <c r="F250" s="7"/>
    </row>
    <row r="251" ht="15.75" customHeight="1">
      <c r="A251" s="7"/>
      <c r="B251" s="7"/>
      <c r="C251" s="7"/>
      <c r="D251" s="7"/>
      <c r="E251" s="7"/>
      <c r="F251" s="7"/>
    </row>
    <row r="252" ht="15.75" customHeight="1">
      <c r="A252" s="7"/>
      <c r="B252" s="7"/>
      <c r="C252" s="7"/>
      <c r="D252" s="7"/>
      <c r="E252" s="7"/>
      <c r="F252" s="7"/>
    </row>
    <row r="253" ht="15.75" customHeight="1">
      <c r="A253" s="7"/>
      <c r="B253" s="7"/>
      <c r="C253" s="7"/>
      <c r="D253" s="7"/>
      <c r="E253" s="7"/>
      <c r="F253" s="7"/>
    </row>
    <row r="254" ht="15.75" customHeight="1">
      <c r="A254" s="7"/>
      <c r="B254" s="7"/>
      <c r="C254" s="7"/>
      <c r="D254" s="7"/>
      <c r="E254" s="7"/>
      <c r="F254" s="7"/>
    </row>
    <row r="255" ht="15.75" customHeight="1">
      <c r="A255" s="7"/>
      <c r="B255" s="7"/>
      <c r="C255" s="7"/>
      <c r="D255" s="7"/>
      <c r="E255" s="7"/>
      <c r="F255" s="7"/>
    </row>
    <row r="256" ht="15.75" customHeight="1">
      <c r="A256" s="7"/>
      <c r="B256" s="7"/>
      <c r="C256" s="7"/>
      <c r="D256" s="7"/>
      <c r="E256" s="7"/>
      <c r="F256" s="7"/>
    </row>
    <row r="257" ht="15.75" customHeight="1">
      <c r="A257" s="7"/>
      <c r="B257" s="7"/>
      <c r="C257" s="7"/>
      <c r="D257" s="7"/>
      <c r="E257" s="7"/>
      <c r="F257" s="7"/>
    </row>
    <row r="258" ht="15.75" customHeight="1">
      <c r="A258" s="7"/>
      <c r="B258" s="7"/>
      <c r="C258" s="7"/>
      <c r="D258" s="7"/>
      <c r="E258" s="7"/>
      <c r="F258" s="7"/>
    </row>
    <row r="259" ht="15.75" customHeight="1">
      <c r="A259" s="7"/>
      <c r="B259" s="7"/>
      <c r="C259" s="7"/>
      <c r="D259" s="7"/>
      <c r="E259" s="7"/>
      <c r="F259" s="7"/>
    </row>
    <row r="260" ht="15.75" customHeight="1">
      <c r="A260" s="7"/>
      <c r="B260" s="7"/>
      <c r="C260" s="7"/>
      <c r="D260" s="7"/>
      <c r="E260" s="7"/>
      <c r="F260" s="7"/>
    </row>
    <row r="261" ht="15.75" customHeight="1">
      <c r="A261" s="7"/>
      <c r="B261" s="7"/>
      <c r="C261" s="7"/>
      <c r="D261" s="7"/>
      <c r="E261" s="7"/>
      <c r="F261" s="7"/>
    </row>
    <row r="262" ht="15.75" customHeight="1">
      <c r="A262" s="7"/>
      <c r="B262" s="7"/>
      <c r="C262" s="7"/>
      <c r="D262" s="7"/>
      <c r="E262" s="7"/>
      <c r="F262" s="7"/>
    </row>
    <row r="263" ht="15.75" customHeight="1">
      <c r="A263" s="7"/>
      <c r="B263" s="7"/>
      <c r="C263" s="7"/>
      <c r="D263" s="7"/>
      <c r="E263" s="7"/>
      <c r="F263" s="7"/>
    </row>
    <row r="264" ht="15.75" customHeight="1">
      <c r="A264" s="7"/>
      <c r="B264" s="7"/>
      <c r="C264" s="7"/>
      <c r="D264" s="7"/>
      <c r="E264" s="7"/>
      <c r="F264" s="7"/>
    </row>
    <row r="265" ht="15.75" customHeight="1">
      <c r="A265" s="7"/>
      <c r="B265" s="7"/>
      <c r="C265" s="7"/>
      <c r="D265" s="7"/>
      <c r="E265" s="7"/>
      <c r="F265" s="7"/>
    </row>
    <row r="266" ht="15.75" customHeight="1">
      <c r="A266" s="7"/>
      <c r="B266" s="7"/>
      <c r="C266" s="7"/>
      <c r="D266" s="7"/>
      <c r="E266" s="7"/>
      <c r="F266" s="7"/>
    </row>
    <row r="267" ht="15.75" customHeight="1">
      <c r="A267" s="7"/>
      <c r="B267" s="7"/>
      <c r="C267" s="7"/>
      <c r="D267" s="7"/>
      <c r="E267" s="7"/>
      <c r="F267" s="7"/>
    </row>
    <row r="268" ht="15.75" customHeight="1">
      <c r="A268" s="7"/>
      <c r="B268" s="7"/>
      <c r="C268" s="7"/>
      <c r="D268" s="7"/>
      <c r="E268" s="7"/>
      <c r="F268" s="7"/>
    </row>
    <row r="269" ht="15.75" customHeight="1">
      <c r="A269" s="7"/>
      <c r="B269" s="7"/>
      <c r="C269" s="7"/>
      <c r="D269" s="7"/>
      <c r="E269" s="7"/>
      <c r="F269" s="7"/>
    </row>
    <row r="270" ht="15.75" customHeight="1">
      <c r="A270" s="7"/>
      <c r="B270" s="7"/>
      <c r="C270" s="7"/>
      <c r="D270" s="7"/>
      <c r="E270" s="7"/>
      <c r="F270" s="7"/>
    </row>
    <row r="271" ht="15.75" customHeight="1">
      <c r="A271" s="7"/>
      <c r="B271" s="7"/>
      <c r="C271" s="7"/>
      <c r="D271" s="7"/>
      <c r="E271" s="7"/>
      <c r="F271" s="7"/>
    </row>
    <row r="272" ht="15.75" customHeight="1">
      <c r="A272" s="7"/>
      <c r="B272" s="7"/>
      <c r="C272" s="7"/>
      <c r="D272" s="7"/>
      <c r="E272" s="7"/>
      <c r="F272" s="7"/>
    </row>
    <row r="273" ht="15.75" customHeight="1">
      <c r="A273" s="7"/>
      <c r="B273" s="7"/>
      <c r="C273" s="7"/>
      <c r="D273" s="7"/>
      <c r="E273" s="7"/>
      <c r="F273" s="7"/>
    </row>
    <row r="274" ht="15.75" customHeight="1">
      <c r="A274" s="7"/>
      <c r="B274" s="7"/>
      <c r="C274" s="7"/>
      <c r="D274" s="7"/>
      <c r="E274" s="7"/>
      <c r="F274" s="7"/>
    </row>
    <row r="275" ht="15.75" customHeight="1">
      <c r="A275" s="7"/>
      <c r="B275" s="7"/>
      <c r="C275" s="7"/>
      <c r="D275" s="7"/>
      <c r="E275" s="7"/>
      <c r="F275" s="7"/>
    </row>
    <row r="276" ht="15.75" customHeight="1">
      <c r="A276" s="7"/>
      <c r="B276" s="7"/>
      <c r="C276" s="7"/>
      <c r="D276" s="7"/>
      <c r="E276" s="7"/>
      <c r="F276" s="7"/>
    </row>
    <row r="277" ht="15.75" customHeight="1">
      <c r="A277" s="7"/>
      <c r="B277" s="7"/>
      <c r="C277" s="7"/>
      <c r="D277" s="7"/>
      <c r="E277" s="7"/>
      <c r="F277" s="7"/>
    </row>
    <row r="278" ht="15.75" customHeight="1">
      <c r="A278" s="7"/>
      <c r="B278" s="7"/>
      <c r="C278" s="7"/>
      <c r="D278" s="7"/>
      <c r="E278" s="7"/>
      <c r="F278" s="7"/>
    </row>
    <row r="279" ht="15.75" customHeight="1">
      <c r="A279" s="7"/>
      <c r="B279" s="7"/>
      <c r="C279" s="7"/>
      <c r="D279" s="7"/>
      <c r="E279" s="7"/>
      <c r="F279" s="7"/>
    </row>
    <row r="280" ht="15.75" customHeight="1">
      <c r="A280" s="7"/>
      <c r="B280" s="7"/>
      <c r="C280" s="7"/>
      <c r="D280" s="7"/>
      <c r="E280" s="7"/>
      <c r="F280" s="7"/>
    </row>
    <row r="281" ht="15.75" customHeight="1">
      <c r="A281" s="7"/>
      <c r="B281" s="7"/>
      <c r="C281" s="7"/>
      <c r="D281" s="7"/>
      <c r="E281" s="7"/>
      <c r="F281" s="7"/>
    </row>
    <row r="282" ht="15.75" customHeight="1">
      <c r="A282" s="7"/>
      <c r="B282" s="7"/>
      <c r="C282" s="7"/>
      <c r="D282" s="7"/>
      <c r="E282" s="7"/>
      <c r="F282" s="7"/>
    </row>
    <row r="283" ht="15.75" customHeight="1">
      <c r="A283" s="7"/>
      <c r="B283" s="7"/>
      <c r="C283" s="7"/>
      <c r="D283" s="7"/>
      <c r="E283" s="7"/>
      <c r="F283" s="7"/>
    </row>
    <row r="284" ht="15.75" customHeight="1">
      <c r="A284" s="7"/>
      <c r="B284" s="7"/>
      <c r="C284" s="7"/>
      <c r="D284" s="7"/>
      <c r="E284" s="7"/>
      <c r="F284" s="7"/>
    </row>
    <row r="285" ht="15.75" customHeight="1">
      <c r="A285" s="7"/>
      <c r="B285" s="7"/>
      <c r="C285" s="7"/>
      <c r="D285" s="7"/>
      <c r="E285" s="7"/>
      <c r="F285" s="7"/>
    </row>
    <row r="286" ht="15.75" customHeight="1">
      <c r="A286" s="7"/>
      <c r="B286" s="7"/>
      <c r="C286" s="7"/>
      <c r="D286" s="7"/>
      <c r="E286" s="7"/>
      <c r="F286" s="7"/>
    </row>
    <row r="287" ht="15.75" customHeight="1">
      <c r="A287" s="7"/>
      <c r="B287" s="7"/>
      <c r="C287" s="7"/>
      <c r="D287" s="7"/>
      <c r="E287" s="7"/>
      <c r="F287" s="7"/>
    </row>
    <row r="288" ht="15.75" customHeight="1">
      <c r="A288" s="7"/>
      <c r="B288" s="7"/>
      <c r="C288" s="7"/>
      <c r="D288" s="7"/>
      <c r="E288" s="7"/>
      <c r="F288" s="7"/>
    </row>
    <row r="289" ht="15.75" customHeight="1">
      <c r="A289" s="7"/>
      <c r="B289" s="7"/>
      <c r="C289" s="7"/>
      <c r="D289" s="7"/>
      <c r="E289" s="7"/>
      <c r="F289" s="7"/>
    </row>
    <row r="290" ht="15.75" customHeight="1">
      <c r="A290" s="7"/>
      <c r="B290" s="7"/>
      <c r="C290" s="7"/>
      <c r="D290" s="7"/>
      <c r="E290" s="7"/>
      <c r="F290" s="7"/>
    </row>
    <row r="291" ht="15.75" customHeight="1">
      <c r="A291" s="7"/>
      <c r="B291" s="7"/>
      <c r="C291" s="7"/>
      <c r="D291" s="7"/>
      <c r="E291" s="7"/>
      <c r="F291" s="7"/>
    </row>
    <row r="292" ht="15.75" customHeight="1">
      <c r="A292" s="7"/>
      <c r="B292" s="7"/>
      <c r="C292" s="7"/>
      <c r="D292" s="7"/>
      <c r="E292" s="7"/>
      <c r="F292" s="7"/>
    </row>
    <row r="293" ht="15.75" customHeight="1">
      <c r="A293" s="7"/>
      <c r="B293" s="7"/>
      <c r="C293" s="7"/>
      <c r="D293" s="7"/>
      <c r="E293" s="7"/>
      <c r="F293" s="7"/>
    </row>
    <row r="294" ht="15.75" customHeight="1">
      <c r="A294" s="7"/>
      <c r="B294" s="7"/>
      <c r="C294" s="7"/>
      <c r="D294" s="7"/>
      <c r="E294" s="7"/>
      <c r="F294" s="7"/>
    </row>
    <row r="295" ht="15.75" customHeight="1">
      <c r="A295" s="7"/>
      <c r="B295" s="7"/>
      <c r="C295" s="7"/>
      <c r="D295" s="7"/>
      <c r="E295" s="7"/>
      <c r="F295" s="7"/>
    </row>
    <row r="296" ht="15.75" customHeight="1">
      <c r="A296" s="7"/>
      <c r="B296" s="7"/>
      <c r="C296" s="7"/>
      <c r="D296" s="7"/>
      <c r="E296" s="7"/>
      <c r="F296" s="7"/>
    </row>
    <row r="297" ht="15.75" customHeight="1">
      <c r="A297" s="7"/>
      <c r="B297" s="7"/>
      <c r="C297" s="7"/>
      <c r="D297" s="7"/>
      <c r="E297" s="7"/>
      <c r="F297" s="7"/>
    </row>
    <row r="298" ht="15.75" customHeight="1">
      <c r="A298" s="7"/>
      <c r="B298" s="7"/>
      <c r="C298" s="7"/>
      <c r="D298" s="7"/>
      <c r="E298" s="7"/>
      <c r="F298" s="7"/>
    </row>
    <row r="299" ht="15.75" customHeight="1">
      <c r="A299" s="7"/>
      <c r="B299" s="7"/>
      <c r="C299" s="7"/>
      <c r="D299" s="7"/>
      <c r="E299" s="7"/>
      <c r="F299" s="7"/>
    </row>
    <row r="300" ht="15.75" customHeight="1">
      <c r="A300" s="7"/>
      <c r="B300" s="7"/>
      <c r="C300" s="7"/>
      <c r="D300" s="7"/>
      <c r="E300" s="7"/>
      <c r="F300" s="7"/>
    </row>
    <row r="301" ht="15.75" customHeight="1">
      <c r="A301" s="7"/>
      <c r="B301" s="7"/>
      <c r="C301" s="7"/>
      <c r="D301" s="7"/>
      <c r="E301" s="7"/>
      <c r="F301" s="7"/>
    </row>
    <row r="302" ht="15.75" customHeight="1">
      <c r="A302" s="7"/>
      <c r="B302" s="7"/>
      <c r="C302" s="7"/>
      <c r="D302" s="7"/>
      <c r="E302" s="7"/>
      <c r="F302" s="7"/>
    </row>
    <row r="303" ht="15.75" customHeight="1">
      <c r="A303" s="7"/>
      <c r="B303" s="7"/>
      <c r="C303" s="7"/>
      <c r="D303" s="7"/>
      <c r="E303" s="7"/>
      <c r="F303" s="7"/>
    </row>
    <row r="304" ht="15.75" customHeight="1">
      <c r="A304" s="7"/>
      <c r="B304" s="7"/>
      <c r="C304" s="7"/>
      <c r="D304" s="7"/>
      <c r="E304" s="7"/>
      <c r="F304" s="7"/>
    </row>
    <row r="305" ht="15.75" customHeight="1">
      <c r="A305" s="7"/>
      <c r="B305" s="7"/>
      <c r="C305" s="7"/>
      <c r="D305" s="7"/>
      <c r="E305" s="7"/>
      <c r="F305" s="7"/>
    </row>
    <row r="306" ht="15.75" customHeight="1">
      <c r="A306" s="7"/>
      <c r="B306" s="7"/>
      <c r="C306" s="7"/>
      <c r="D306" s="7"/>
      <c r="E306" s="7"/>
      <c r="F306" s="7"/>
    </row>
    <row r="307" ht="15.75" customHeight="1">
      <c r="A307" s="7"/>
      <c r="B307" s="7"/>
      <c r="C307" s="7"/>
      <c r="D307" s="7"/>
      <c r="E307" s="7"/>
      <c r="F307" s="7"/>
    </row>
    <row r="308" ht="15.75" customHeight="1">
      <c r="A308" s="7"/>
      <c r="B308" s="7"/>
      <c r="C308" s="7"/>
      <c r="D308" s="7"/>
      <c r="E308" s="7"/>
      <c r="F308" s="7"/>
    </row>
    <row r="309" ht="15.75" customHeight="1">
      <c r="A309" s="7"/>
      <c r="B309" s="7"/>
      <c r="C309" s="7"/>
      <c r="D309" s="7"/>
      <c r="E309" s="7"/>
      <c r="F309" s="7"/>
    </row>
    <row r="310" ht="15.75" customHeight="1">
      <c r="A310" s="7"/>
      <c r="B310" s="7"/>
      <c r="C310" s="7"/>
      <c r="D310" s="7"/>
      <c r="E310" s="7"/>
      <c r="F310" s="7"/>
    </row>
    <row r="311" ht="15.75" customHeight="1">
      <c r="A311" s="7"/>
      <c r="B311" s="7"/>
      <c r="C311" s="7"/>
      <c r="D311" s="7"/>
      <c r="E311" s="7"/>
      <c r="F311" s="7"/>
    </row>
    <row r="312" ht="15.75" customHeight="1">
      <c r="A312" s="7"/>
      <c r="B312" s="7"/>
      <c r="C312" s="7"/>
      <c r="D312" s="7"/>
      <c r="E312" s="7"/>
      <c r="F312" s="7"/>
    </row>
    <row r="313" ht="15.75" customHeight="1">
      <c r="A313" s="7"/>
      <c r="B313" s="7"/>
      <c r="C313" s="7"/>
      <c r="D313" s="7"/>
      <c r="E313" s="7"/>
      <c r="F313" s="7"/>
    </row>
    <row r="314" ht="15.75" customHeight="1">
      <c r="A314" s="7"/>
      <c r="B314" s="7"/>
      <c r="C314" s="7"/>
      <c r="D314" s="7"/>
      <c r="E314" s="7"/>
      <c r="F314" s="7"/>
    </row>
    <row r="315" ht="15.75" customHeight="1">
      <c r="A315" s="7"/>
      <c r="B315" s="7"/>
      <c r="C315" s="7"/>
      <c r="D315" s="7"/>
      <c r="E315" s="7"/>
      <c r="F315" s="7"/>
    </row>
    <row r="316" ht="15.75" customHeight="1">
      <c r="A316" s="7"/>
      <c r="B316" s="7"/>
      <c r="C316" s="7"/>
      <c r="D316" s="7"/>
      <c r="E316" s="7"/>
      <c r="F316" s="7"/>
    </row>
    <row r="317" ht="15.75" customHeight="1">
      <c r="A317" s="7"/>
      <c r="B317" s="7"/>
      <c r="C317" s="7"/>
      <c r="D317" s="7"/>
      <c r="E317" s="7"/>
      <c r="F317" s="7"/>
    </row>
    <row r="318" ht="15.75" customHeight="1">
      <c r="A318" s="7"/>
      <c r="B318" s="7"/>
      <c r="C318" s="7"/>
      <c r="D318" s="7"/>
      <c r="E318" s="7"/>
      <c r="F318" s="7"/>
    </row>
    <row r="319" ht="15.75" customHeight="1">
      <c r="A319" s="7"/>
      <c r="B319" s="7"/>
      <c r="C319" s="7"/>
      <c r="D319" s="7"/>
      <c r="E319" s="7"/>
      <c r="F319" s="7"/>
    </row>
    <row r="320" ht="15.75" customHeight="1">
      <c r="A320" s="7"/>
      <c r="B320" s="7"/>
      <c r="C320" s="7"/>
      <c r="D320" s="7"/>
      <c r="E320" s="7"/>
      <c r="F320" s="7"/>
    </row>
    <row r="321" ht="15.75" customHeight="1">
      <c r="A321" s="7"/>
      <c r="B321" s="7"/>
      <c r="C321" s="7"/>
      <c r="D321" s="7"/>
      <c r="E321" s="7"/>
      <c r="F321" s="7"/>
    </row>
    <row r="322" ht="15.75" customHeight="1">
      <c r="A322" s="7"/>
      <c r="B322" s="7"/>
      <c r="C322" s="7"/>
      <c r="D322" s="7"/>
      <c r="E322" s="7"/>
      <c r="F322" s="7"/>
    </row>
    <row r="323" ht="15.75" customHeight="1">
      <c r="A323" s="7"/>
      <c r="B323" s="7"/>
      <c r="C323" s="7"/>
      <c r="D323" s="7"/>
      <c r="E323" s="7"/>
      <c r="F323" s="7"/>
    </row>
    <row r="324" ht="15.75" customHeight="1">
      <c r="A324" s="7"/>
      <c r="B324" s="7"/>
      <c r="C324" s="7"/>
      <c r="D324" s="7"/>
      <c r="E324" s="7"/>
      <c r="F324" s="7"/>
    </row>
    <row r="325" ht="15.75" customHeight="1">
      <c r="A325" s="7"/>
      <c r="B325" s="7"/>
      <c r="C325" s="7"/>
      <c r="D325" s="7"/>
      <c r="E325" s="7"/>
      <c r="F325" s="7"/>
    </row>
    <row r="326" ht="15.75" customHeight="1">
      <c r="A326" s="7"/>
      <c r="B326" s="7"/>
      <c r="C326" s="7"/>
      <c r="D326" s="7"/>
      <c r="E326" s="7"/>
      <c r="F326" s="7"/>
    </row>
    <row r="327" ht="15.75" customHeight="1">
      <c r="A327" s="7"/>
      <c r="B327" s="7"/>
      <c r="C327" s="7"/>
      <c r="D327" s="7"/>
      <c r="E327" s="7"/>
      <c r="F327" s="7"/>
    </row>
    <row r="328" ht="15.75" customHeight="1">
      <c r="A328" s="7"/>
      <c r="B328" s="7"/>
      <c r="C328" s="7"/>
      <c r="D328" s="7"/>
      <c r="E328" s="7"/>
      <c r="F328" s="7"/>
    </row>
    <row r="329" ht="15.75" customHeight="1">
      <c r="A329" s="7"/>
      <c r="B329" s="7"/>
      <c r="C329" s="7"/>
      <c r="D329" s="7"/>
      <c r="E329" s="7"/>
      <c r="F329" s="7"/>
    </row>
    <row r="330" ht="15.75" customHeight="1">
      <c r="A330" s="7"/>
      <c r="B330" s="7"/>
      <c r="C330" s="7"/>
      <c r="D330" s="7"/>
      <c r="E330" s="7"/>
      <c r="F330" s="7"/>
    </row>
    <row r="331" ht="15.75" customHeight="1">
      <c r="A331" s="7"/>
      <c r="B331" s="7"/>
      <c r="C331" s="7"/>
      <c r="D331" s="7"/>
      <c r="E331" s="7"/>
      <c r="F331" s="7"/>
    </row>
    <row r="332" ht="15.75" customHeight="1">
      <c r="A332" s="7"/>
      <c r="B332" s="7"/>
      <c r="C332" s="7"/>
      <c r="D332" s="7"/>
      <c r="E332" s="7"/>
      <c r="F332" s="7"/>
    </row>
    <row r="333" ht="15.75" customHeight="1">
      <c r="A333" s="7"/>
      <c r="B333" s="7"/>
      <c r="C333" s="7"/>
      <c r="D333" s="7"/>
      <c r="E333" s="7"/>
      <c r="F333" s="7"/>
    </row>
    <row r="334" ht="15.75" customHeight="1">
      <c r="A334" s="7"/>
      <c r="B334" s="7"/>
      <c r="C334" s="7"/>
      <c r="D334" s="7"/>
      <c r="E334" s="7"/>
      <c r="F334" s="7"/>
    </row>
    <row r="335" ht="15.75" customHeight="1">
      <c r="A335" s="7"/>
      <c r="B335" s="7"/>
      <c r="C335" s="7"/>
      <c r="D335" s="7"/>
      <c r="E335" s="7"/>
      <c r="F335" s="7"/>
    </row>
    <row r="336" ht="15.75" customHeight="1">
      <c r="A336" s="7"/>
      <c r="B336" s="7"/>
      <c r="C336" s="7"/>
      <c r="D336" s="7"/>
      <c r="E336" s="7"/>
      <c r="F336" s="7"/>
    </row>
    <row r="337" ht="15.75" customHeight="1">
      <c r="A337" s="7"/>
      <c r="B337" s="7"/>
      <c r="C337" s="7"/>
      <c r="D337" s="7"/>
      <c r="E337" s="7"/>
      <c r="F337" s="7"/>
    </row>
    <row r="338" ht="15.75" customHeight="1">
      <c r="A338" s="7"/>
      <c r="B338" s="7"/>
      <c r="C338" s="7"/>
      <c r="D338" s="7"/>
      <c r="E338" s="7"/>
      <c r="F338" s="7"/>
    </row>
    <row r="339" ht="15.75" customHeight="1">
      <c r="A339" s="7"/>
      <c r="B339" s="7"/>
      <c r="C339" s="7"/>
      <c r="D339" s="7"/>
      <c r="E339" s="7"/>
      <c r="F339" s="7"/>
    </row>
    <row r="340" ht="15.75" customHeight="1">
      <c r="A340" s="7"/>
      <c r="B340" s="7"/>
      <c r="C340" s="7"/>
      <c r="D340" s="7"/>
      <c r="E340" s="7"/>
      <c r="F340" s="7"/>
    </row>
    <row r="341" ht="15.75" customHeight="1">
      <c r="A341" s="7"/>
      <c r="B341" s="7"/>
      <c r="C341" s="7"/>
      <c r="D341" s="7"/>
      <c r="E341" s="7"/>
      <c r="F341" s="7"/>
    </row>
    <row r="342" ht="15.75" customHeight="1">
      <c r="A342" s="7"/>
      <c r="B342" s="7"/>
      <c r="C342" s="7"/>
      <c r="D342" s="7"/>
      <c r="E342" s="7"/>
      <c r="F342" s="7"/>
    </row>
    <row r="343" ht="15.75" customHeight="1">
      <c r="A343" s="7"/>
      <c r="B343" s="7"/>
      <c r="C343" s="7"/>
      <c r="D343" s="7"/>
      <c r="E343" s="7"/>
      <c r="F343" s="7"/>
    </row>
    <row r="344" ht="15.75" customHeight="1">
      <c r="A344" s="7"/>
      <c r="B344" s="7"/>
      <c r="C344" s="7"/>
      <c r="D344" s="7"/>
      <c r="E344" s="7"/>
      <c r="F344" s="7"/>
    </row>
    <row r="345" ht="15.75" customHeight="1">
      <c r="A345" s="7"/>
      <c r="B345" s="7"/>
      <c r="C345" s="7"/>
      <c r="D345" s="7"/>
      <c r="E345" s="7"/>
      <c r="F345" s="7"/>
    </row>
    <row r="346" ht="15.75" customHeight="1">
      <c r="A346" s="7"/>
      <c r="B346" s="7"/>
      <c r="C346" s="7"/>
      <c r="D346" s="7"/>
      <c r="E346" s="7"/>
      <c r="F346" s="7"/>
    </row>
    <row r="347" ht="15.75" customHeight="1">
      <c r="A347" s="7"/>
      <c r="B347" s="7"/>
      <c r="C347" s="7"/>
      <c r="D347" s="7"/>
      <c r="E347" s="7"/>
      <c r="F347" s="7"/>
    </row>
    <row r="348" ht="15.75" customHeight="1">
      <c r="A348" s="7"/>
      <c r="B348" s="7"/>
      <c r="C348" s="7"/>
      <c r="D348" s="7"/>
      <c r="E348" s="7"/>
      <c r="F348" s="7"/>
    </row>
    <row r="349" ht="15.75" customHeight="1">
      <c r="A349" s="7"/>
      <c r="B349" s="7"/>
      <c r="C349" s="7"/>
      <c r="D349" s="7"/>
      <c r="E349" s="7"/>
      <c r="F349" s="7"/>
    </row>
    <row r="350" ht="15.75" customHeight="1">
      <c r="A350" s="7"/>
      <c r="B350" s="7"/>
      <c r="C350" s="7"/>
      <c r="D350" s="7"/>
      <c r="E350" s="7"/>
      <c r="F350" s="7"/>
    </row>
    <row r="351" ht="15.75" customHeight="1">
      <c r="A351" s="7"/>
      <c r="B351" s="7"/>
      <c r="C351" s="7"/>
      <c r="D351" s="7"/>
      <c r="E351" s="7"/>
      <c r="F351" s="7"/>
    </row>
    <row r="352" ht="15.75" customHeight="1">
      <c r="A352" s="7"/>
      <c r="B352" s="7"/>
      <c r="C352" s="7"/>
      <c r="D352" s="7"/>
      <c r="E352" s="7"/>
      <c r="F352" s="7"/>
    </row>
    <row r="353" ht="15.75" customHeight="1">
      <c r="A353" s="7"/>
      <c r="B353" s="7"/>
      <c r="C353" s="7"/>
      <c r="D353" s="7"/>
      <c r="E353" s="7"/>
      <c r="F353" s="7"/>
    </row>
    <row r="354" ht="15.75" customHeight="1">
      <c r="A354" s="7"/>
      <c r="B354" s="7"/>
      <c r="C354" s="7"/>
      <c r="D354" s="7"/>
      <c r="E354" s="7"/>
      <c r="F354" s="7"/>
    </row>
    <row r="355" ht="15.75" customHeight="1">
      <c r="A355" s="7"/>
      <c r="B355" s="7"/>
      <c r="C355" s="7"/>
      <c r="D355" s="7"/>
      <c r="E355" s="7"/>
      <c r="F355" s="7"/>
    </row>
    <row r="356" ht="15.75" customHeight="1">
      <c r="A356" s="7"/>
      <c r="B356" s="7"/>
      <c r="C356" s="7"/>
      <c r="D356" s="7"/>
      <c r="E356" s="7"/>
      <c r="F356" s="7"/>
    </row>
    <row r="357" ht="15.75" customHeight="1">
      <c r="A357" s="7"/>
      <c r="B357" s="7"/>
      <c r="C357" s="7"/>
      <c r="D357" s="7"/>
      <c r="E357" s="7"/>
      <c r="F357" s="7"/>
    </row>
    <row r="358" ht="15.75" customHeight="1">
      <c r="A358" s="7"/>
      <c r="B358" s="7"/>
      <c r="C358" s="7"/>
      <c r="D358" s="7"/>
      <c r="E358" s="7"/>
      <c r="F358" s="7"/>
    </row>
    <row r="359" ht="15.75" customHeight="1">
      <c r="A359" s="7"/>
      <c r="B359" s="7"/>
      <c r="C359" s="7"/>
      <c r="D359" s="7"/>
      <c r="E359" s="7"/>
      <c r="F359" s="7"/>
    </row>
    <row r="360" ht="15.75" customHeight="1">
      <c r="A360" s="7"/>
      <c r="B360" s="7"/>
      <c r="C360" s="7"/>
      <c r="D360" s="7"/>
      <c r="E360" s="7"/>
      <c r="F360" s="7"/>
    </row>
    <row r="361" ht="15.75" customHeight="1">
      <c r="A361" s="7"/>
      <c r="B361" s="7"/>
      <c r="C361" s="7"/>
      <c r="D361" s="7"/>
      <c r="E361" s="7"/>
      <c r="F361" s="7"/>
    </row>
    <row r="362" ht="15.75" customHeight="1">
      <c r="A362" s="7"/>
      <c r="B362" s="7"/>
      <c r="C362" s="7"/>
      <c r="D362" s="7"/>
      <c r="E362" s="7"/>
      <c r="F362" s="7"/>
    </row>
    <row r="363" ht="15.75" customHeight="1">
      <c r="A363" s="7"/>
      <c r="B363" s="7"/>
      <c r="C363" s="7"/>
      <c r="D363" s="7"/>
      <c r="E363" s="7"/>
      <c r="F363" s="7"/>
    </row>
    <row r="364" ht="15.75" customHeight="1">
      <c r="A364" s="7"/>
      <c r="B364" s="7"/>
      <c r="C364" s="7"/>
      <c r="D364" s="7"/>
      <c r="E364" s="7"/>
      <c r="F364" s="7"/>
    </row>
    <row r="365" ht="15.75" customHeight="1">
      <c r="A365" s="7"/>
      <c r="B365" s="7"/>
      <c r="C365" s="7"/>
      <c r="D365" s="7"/>
      <c r="E365" s="7"/>
      <c r="F365" s="7"/>
    </row>
    <row r="366" ht="15.75" customHeight="1">
      <c r="A366" s="7"/>
      <c r="B366" s="7"/>
      <c r="C366" s="7"/>
      <c r="D366" s="7"/>
      <c r="E366" s="7"/>
      <c r="F366" s="7"/>
    </row>
    <row r="367" ht="15.75" customHeight="1">
      <c r="A367" s="7"/>
      <c r="B367" s="7"/>
      <c r="C367" s="7"/>
      <c r="D367" s="7"/>
      <c r="E367" s="7"/>
      <c r="F367" s="7"/>
    </row>
    <row r="368" ht="15.75" customHeight="1">
      <c r="A368" s="7"/>
      <c r="B368" s="7"/>
      <c r="C368" s="7"/>
      <c r="D368" s="7"/>
      <c r="E368" s="7"/>
      <c r="F368" s="7"/>
    </row>
    <row r="369" ht="15.75" customHeight="1">
      <c r="A369" s="7"/>
      <c r="B369" s="7"/>
      <c r="C369" s="7"/>
      <c r="D369" s="7"/>
      <c r="E369" s="7"/>
      <c r="F369" s="7"/>
    </row>
    <row r="370" ht="15.75" customHeight="1">
      <c r="A370" s="7"/>
      <c r="B370" s="7"/>
      <c r="C370" s="7"/>
      <c r="D370" s="7"/>
      <c r="E370" s="7"/>
      <c r="F370" s="7"/>
    </row>
    <row r="371" ht="15.75" customHeight="1">
      <c r="A371" s="7"/>
      <c r="B371" s="7"/>
      <c r="C371" s="7"/>
      <c r="D371" s="7"/>
      <c r="E371" s="7"/>
      <c r="F371" s="7"/>
    </row>
    <row r="372" ht="15.75" customHeight="1">
      <c r="A372" s="7"/>
      <c r="B372" s="7"/>
      <c r="C372" s="7"/>
      <c r="D372" s="7"/>
      <c r="E372" s="7"/>
      <c r="F372" s="7"/>
    </row>
    <row r="373" ht="15.75" customHeight="1">
      <c r="A373" s="7"/>
      <c r="B373" s="7"/>
      <c r="C373" s="7"/>
      <c r="D373" s="7"/>
      <c r="E373" s="7"/>
      <c r="F373" s="7"/>
    </row>
    <row r="374" ht="15.75" customHeight="1">
      <c r="A374" s="7"/>
      <c r="B374" s="7"/>
      <c r="C374" s="7"/>
      <c r="D374" s="7"/>
      <c r="E374" s="7"/>
      <c r="F374" s="7"/>
    </row>
    <row r="375" ht="15.75" customHeight="1">
      <c r="A375" s="7"/>
      <c r="B375" s="7"/>
      <c r="C375" s="7"/>
      <c r="D375" s="7"/>
      <c r="E375" s="7"/>
      <c r="F375" s="7"/>
    </row>
    <row r="376" ht="15.75" customHeight="1">
      <c r="A376" s="7"/>
      <c r="B376" s="7"/>
      <c r="C376" s="7"/>
      <c r="D376" s="7"/>
      <c r="E376" s="7"/>
      <c r="F376" s="7"/>
    </row>
    <row r="377" ht="15.75" customHeight="1">
      <c r="A377" s="7"/>
      <c r="B377" s="7"/>
      <c r="C377" s="7"/>
      <c r="D377" s="7"/>
      <c r="E377" s="7"/>
      <c r="F377" s="7"/>
    </row>
    <row r="378" ht="15.75" customHeight="1">
      <c r="A378" s="7"/>
      <c r="B378" s="7"/>
      <c r="C378" s="7"/>
      <c r="D378" s="7"/>
      <c r="E378" s="7"/>
      <c r="F378" s="7"/>
    </row>
    <row r="379" ht="15.75" customHeight="1">
      <c r="A379" s="7"/>
      <c r="B379" s="7"/>
      <c r="C379" s="7"/>
      <c r="D379" s="7"/>
      <c r="E379" s="7"/>
      <c r="F379" s="7"/>
    </row>
    <row r="380" ht="15.75" customHeight="1">
      <c r="A380" s="7"/>
      <c r="B380" s="7"/>
      <c r="C380" s="7"/>
      <c r="D380" s="7"/>
      <c r="E380" s="7"/>
      <c r="F380" s="7"/>
    </row>
    <row r="381" ht="15.75" customHeight="1">
      <c r="A381" s="7"/>
      <c r="B381" s="7"/>
      <c r="C381" s="7"/>
      <c r="D381" s="7"/>
      <c r="E381" s="7"/>
      <c r="F381" s="7"/>
    </row>
    <row r="382" ht="15.75" customHeight="1">
      <c r="A382" s="7"/>
      <c r="B382" s="7"/>
      <c r="C382" s="7"/>
      <c r="D382" s="7"/>
      <c r="E382" s="7"/>
      <c r="F382" s="7"/>
    </row>
    <row r="383" ht="15.75" customHeight="1">
      <c r="A383" s="7"/>
      <c r="B383" s="7"/>
      <c r="C383" s="7"/>
      <c r="D383" s="7"/>
      <c r="E383" s="7"/>
      <c r="F383" s="7"/>
    </row>
    <row r="384" ht="15.75" customHeight="1">
      <c r="A384" s="7"/>
      <c r="B384" s="7"/>
      <c r="C384" s="7"/>
      <c r="D384" s="7"/>
      <c r="E384" s="7"/>
      <c r="F384" s="7"/>
    </row>
    <row r="385" ht="15.75" customHeight="1">
      <c r="A385" s="7"/>
      <c r="B385" s="7"/>
      <c r="C385" s="7"/>
      <c r="D385" s="7"/>
      <c r="E385" s="7"/>
      <c r="F385" s="7"/>
    </row>
    <row r="386" ht="15.75" customHeight="1">
      <c r="A386" s="7"/>
      <c r="B386" s="7"/>
      <c r="C386" s="7"/>
      <c r="D386" s="7"/>
      <c r="E386" s="7"/>
      <c r="F386" s="7"/>
    </row>
    <row r="387" ht="15.75" customHeight="1">
      <c r="A387" s="7"/>
      <c r="B387" s="7"/>
      <c r="C387" s="7"/>
      <c r="D387" s="7"/>
      <c r="E387" s="7"/>
      <c r="F387" s="7"/>
    </row>
    <row r="388" ht="15.75" customHeight="1">
      <c r="A388" s="7"/>
      <c r="B388" s="7"/>
      <c r="C388" s="7"/>
      <c r="D388" s="7"/>
      <c r="E388" s="7"/>
      <c r="F388" s="7"/>
    </row>
    <row r="389" ht="15.75" customHeight="1">
      <c r="A389" s="7"/>
      <c r="B389" s="7"/>
      <c r="C389" s="7"/>
      <c r="D389" s="7"/>
      <c r="E389" s="7"/>
      <c r="F389" s="7"/>
    </row>
    <row r="390" ht="15.75" customHeight="1">
      <c r="A390" s="7"/>
      <c r="B390" s="7"/>
      <c r="C390" s="7"/>
      <c r="D390" s="7"/>
      <c r="E390" s="7"/>
      <c r="F390" s="7"/>
    </row>
    <row r="391" ht="15.75" customHeight="1">
      <c r="A391" s="7"/>
      <c r="B391" s="7"/>
      <c r="C391" s="7"/>
      <c r="D391" s="7"/>
      <c r="E391" s="7"/>
      <c r="F391" s="7"/>
    </row>
    <row r="392" ht="15.75" customHeight="1">
      <c r="A392" s="7"/>
      <c r="B392" s="7"/>
      <c r="C392" s="7"/>
      <c r="D392" s="7"/>
      <c r="E392" s="7"/>
      <c r="F392" s="7"/>
    </row>
    <row r="393" ht="15.75" customHeight="1">
      <c r="A393" s="7"/>
      <c r="B393" s="7"/>
      <c r="C393" s="7"/>
      <c r="D393" s="7"/>
      <c r="E393" s="7"/>
      <c r="F393" s="7"/>
    </row>
    <row r="394" ht="15.75" customHeight="1">
      <c r="A394" s="7"/>
      <c r="B394" s="7"/>
      <c r="C394" s="7"/>
      <c r="D394" s="7"/>
      <c r="E394" s="7"/>
      <c r="F394" s="7"/>
    </row>
    <row r="395" ht="15.75" customHeight="1">
      <c r="A395" s="7"/>
      <c r="B395" s="7"/>
      <c r="C395" s="7"/>
      <c r="D395" s="7"/>
      <c r="E395" s="7"/>
      <c r="F395" s="7"/>
    </row>
    <row r="396" ht="15.75" customHeight="1">
      <c r="A396" s="7"/>
      <c r="B396" s="7"/>
      <c r="C396" s="7"/>
      <c r="D396" s="7"/>
      <c r="E396" s="7"/>
      <c r="F396" s="7"/>
    </row>
    <row r="397" ht="15.75" customHeight="1">
      <c r="A397" s="7"/>
      <c r="B397" s="7"/>
      <c r="C397" s="7"/>
      <c r="D397" s="7"/>
      <c r="E397" s="7"/>
      <c r="F397" s="7"/>
    </row>
    <row r="398" ht="15.75" customHeight="1">
      <c r="A398" s="7"/>
      <c r="B398" s="7"/>
      <c r="C398" s="7"/>
      <c r="D398" s="7"/>
      <c r="E398" s="7"/>
      <c r="F398" s="7"/>
    </row>
    <row r="399" ht="15.75" customHeight="1">
      <c r="A399" s="7"/>
      <c r="B399" s="7"/>
      <c r="C399" s="7"/>
      <c r="D399" s="7"/>
      <c r="E399" s="7"/>
      <c r="F399" s="7"/>
    </row>
    <row r="400" ht="15.75" customHeight="1">
      <c r="A400" s="7"/>
      <c r="B400" s="7"/>
      <c r="C400" s="7"/>
      <c r="D400" s="7"/>
      <c r="E400" s="7"/>
      <c r="F400" s="7"/>
    </row>
    <row r="401" ht="15.75" customHeight="1">
      <c r="A401" s="7"/>
      <c r="B401" s="7"/>
      <c r="C401" s="7"/>
      <c r="D401" s="7"/>
      <c r="E401" s="7"/>
      <c r="F401" s="7"/>
    </row>
    <row r="402" ht="15.75" customHeight="1">
      <c r="A402" s="7"/>
      <c r="B402" s="7"/>
      <c r="C402" s="7"/>
      <c r="D402" s="7"/>
      <c r="E402" s="7"/>
      <c r="F402" s="7"/>
    </row>
    <row r="403" ht="15.75" customHeight="1">
      <c r="A403" s="7"/>
      <c r="B403" s="7"/>
      <c r="C403" s="7"/>
      <c r="D403" s="7"/>
      <c r="E403" s="7"/>
      <c r="F403" s="7"/>
    </row>
    <row r="404" ht="15.75" customHeight="1">
      <c r="A404" s="7"/>
      <c r="B404" s="7"/>
      <c r="C404" s="7"/>
      <c r="D404" s="7"/>
      <c r="E404" s="7"/>
      <c r="F404" s="7"/>
    </row>
    <row r="405" ht="15.75" customHeight="1">
      <c r="A405" s="7"/>
      <c r="B405" s="7"/>
      <c r="C405" s="7"/>
      <c r="D405" s="7"/>
      <c r="E405" s="7"/>
      <c r="F405" s="7"/>
    </row>
    <row r="406" ht="15.75" customHeight="1">
      <c r="A406" s="7"/>
      <c r="B406" s="7"/>
      <c r="C406" s="7"/>
      <c r="D406" s="7"/>
      <c r="E406" s="7"/>
      <c r="F406" s="7"/>
    </row>
    <row r="407" ht="15.75" customHeight="1">
      <c r="A407" s="7"/>
      <c r="B407" s="7"/>
      <c r="C407" s="7"/>
      <c r="D407" s="7"/>
      <c r="E407" s="7"/>
      <c r="F407" s="7"/>
    </row>
    <row r="408" ht="15.75" customHeight="1">
      <c r="A408" s="7"/>
      <c r="B408" s="7"/>
      <c r="C408" s="7"/>
      <c r="D408" s="7"/>
      <c r="E408" s="7"/>
      <c r="F408" s="7"/>
    </row>
    <row r="409" ht="15.75" customHeight="1">
      <c r="A409" s="7"/>
      <c r="B409" s="7"/>
      <c r="C409" s="7"/>
      <c r="D409" s="7"/>
      <c r="E409" s="7"/>
      <c r="F409" s="7"/>
    </row>
    <row r="410" ht="15.75" customHeight="1">
      <c r="A410" s="7"/>
      <c r="B410" s="7"/>
      <c r="C410" s="7"/>
      <c r="D410" s="7"/>
      <c r="E410" s="7"/>
      <c r="F410" s="7"/>
    </row>
    <row r="411" ht="15.75" customHeight="1">
      <c r="A411" s="7"/>
      <c r="B411" s="7"/>
      <c r="C411" s="7"/>
      <c r="D411" s="7"/>
      <c r="E411" s="7"/>
      <c r="F411" s="7"/>
    </row>
    <row r="412" ht="15.75" customHeight="1">
      <c r="A412" s="7"/>
      <c r="B412" s="7"/>
      <c r="C412" s="7"/>
      <c r="D412" s="7"/>
      <c r="E412" s="7"/>
      <c r="F412" s="7"/>
    </row>
    <row r="413" ht="15.75" customHeight="1">
      <c r="A413" s="7"/>
      <c r="B413" s="7"/>
      <c r="C413" s="7"/>
      <c r="D413" s="7"/>
      <c r="E413" s="7"/>
      <c r="F413" s="7"/>
    </row>
    <row r="414" ht="15.75" customHeight="1">
      <c r="A414" s="7"/>
      <c r="B414" s="7"/>
      <c r="C414" s="7"/>
      <c r="D414" s="7"/>
      <c r="E414" s="7"/>
      <c r="F414" s="7"/>
    </row>
    <row r="415" ht="15.75" customHeight="1">
      <c r="A415" s="7"/>
      <c r="B415" s="7"/>
      <c r="C415" s="7"/>
      <c r="D415" s="7"/>
      <c r="E415" s="7"/>
      <c r="F415" s="7"/>
    </row>
    <row r="416" ht="15.75" customHeight="1">
      <c r="A416" s="7"/>
      <c r="B416" s="7"/>
      <c r="C416" s="7"/>
      <c r="D416" s="7"/>
      <c r="E416" s="7"/>
      <c r="F416" s="7"/>
    </row>
    <row r="417" ht="15.75" customHeight="1">
      <c r="A417" s="7"/>
      <c r="B417" s="7"/>
      <c r="C417" s="7"/>
      <c r="D417" s="7"/>
      <c r="E417" s="7"/>
      <c r="F417" s="7"/>
    </row>
    <row r="418" ht="15.75" customHeight="1">
      <c r="A418" s="7"/>
      <c r="B418" s="7"/>
      <c r="C418" s="7"/>
      <c r="D418" s="7"/>
      <c r="E418" s="7"/>
      <c r="F418" s="7"/>
    </row>
    <row r="419" ht="15.75" customHeight="1">
      <c r="A419" s="7"/>
      <c r="B419" s="7"/>
      <c r="C419" s="7"/>
      <c r="D419" s="7"/>
      <c r="E419" s="7"/>
      <c r="F419" s="7"/>
    </row>
    <row r="420" ht="15.75" customHeight="1">
      <c r="A420" s="7"/>
      <c r="B420" s="7"/>
      <c r="C420" s="7"/>
      <c r="D420" s="7"/>
      <c r="E420" s="7"/>
      <c r="F420" s="7"/>
    </row>
    <row r="421" ht="15.75" customHeight="1">
      <c r="A421" s="7"/>
      <c r="B421" s="7"/>
      <c r="C421" s="7"/>
      <c r="D421" s="7"/>
      <c r="E421" s="7"/>
      <c r="F421" s="7"/>
    </row>
    <row r="422" ht="15.75" customHeight="1">
      <c r="A422" s="7"/>
      <c r="B422" s="7"/>
      <c r="C422" s="7"/>
      <c r="D422" s="7"/>
      <c r="E422" s="7"/>
      <c r="F422" s="7"/>
    </row>
    <row r="423" ht="15.75" customHeight="1">
      <c r="A423" s="7"/>
      <c r="B423" s="7"/>
      <c r="C423" s="7"/>
      <c r="D423" s="7"/>
      <c r="E423" s="7"/>
      <c r="F423" s="7"/>
    </row>
    <row r="424" ht="15.75" customHeight="1">
      <c r="A424" s="7"/>
      <c r="B424" s="7"/>
      <c r="C424" s="7"/>
      <c r="D424" s="7"/>
      <c r="E424" s="7"/>
      <c r="F424" s="7"/>
    </row>
    <row r="425" ht="15.75" customHeight="1">
      <c r="A425" s="7"/>
      <c r="B425" s="7"/>
      <c r="C425" s="7"/>
      <c r="D425" s="7"/>
      <c r="E425" s="7"/>
      <c r="F425" s="7"/>
    </row>
    <row r="426" ht="15.75" customHeight="1">
      <c r="A426" s="7"/>
      <c r="B426" s="7"/>
      <c r="C426" s="7"/>
      <c r="D426" s="7"/>
      <c r="E426" s="7"/>
      <c r="F426" s="7"/>
    </row>
    <row r="427" ht="15.75" customHeight="1">
      <c r="A427" s="7"/>
      <c r="B427" s="7"/>
      <c r="C427" s="7"/>
      <c r="D427" s="7"/>
      <c r="E427" s="7"/>
      <c r="F427" s="7"/>
    </row>
    <row r="428" ht="15.75" customHeight="1">
      <c r="A428" s="7"/>
      <c r="B428" s="7"/>
      <c r="C428" s="7"/>
      <c r="D428" s="7"/>
      <c r="E428" s="7"/>
      <c r="F428" s="7"/>
    </row>
    <row r="429" ht="15.75" customHeight="1">
      <c r="A429" s="7"/>
      <c r="B429" s="7"/>
      <c r="C429" s="7"/>
      <c r="D429" s="7"/>
      <c r="E429" s="7"/>
      <c r="F429" s="7"/>
    </row>
    <row r="430" ht="15.75" customHeight="1">
      <c r="A430" s="7"/>
      <c r="B430" s="7"/>
      <c r="C430" s="7"/>
      <c r="D430" s="7"/>
      <c r="E430" s="7"/>
      <c r="F430" s="7"/>
    </row>
    <row r="431" ht="15.75" customHeight="1">
      <c r="A431" s="7"/>
      <c r="B431" s="7"/>
      <c r="C431" s="7"/>
      <c r="D431" s="7"/>
      <c r="E431" s="7"/>
      <c r="F431" s="7"/>
    </row>
    <row r="432" ht="15.75" customHeight="1">
      <c r="A432" s="7"/>
      <c r="B432" s="7"/>
      <c r="C432" s="7"/>
      <c r="D432" s="7"/>
      <c r="E432" s="7"/>
      <c r="F432" s="7"/>
    </row>
    <row r="433" ht="15.75" customHeight="1">
      <c r="A433" s="7"/>
      <c r="B433" s="7"/>
      <c r="C433" s="7"/>
      <c r="D433" s="7"/>
      <c r="E433" s="7"/>
      <c r="F433" s="7"/>
    </row>
    <row r="434" ht="15.75" customHeight="1">
      <c r="A434" s="7"/>
      <c r="B434" s="7"/>
      <c r="C434" s="7"/>
      <c r="D434" s="7"/>
      <c r="E434" s="7"/>
      <c r="F434" s="7"/>
    </row>
    <row r="435" ht="15.75" customHeight="1">
      <c r="A435" s="7"/>
      <c r="B435" s="7"/>
      <c r="C435" s="7"/>
      <c r="D435" s="7"/>
      <c r="E435" s="7"/>
      <c r="F435" s="7"/>
    </row>
    <row r="436" ht="15.75" customHeight="1">
      <c r="A436" s="7"/>
      <c r="B436" s="7"/>
      <c r="C436" s="7"/>
      <c r="D436" s="7"/>
      <c r="E436" s="7"/>
      <c r="F436" s="7"/>
    </row>
    <row r="437" ht="15.75" customHeight="1">
      <c r="A437" s="7"/>
      <c r="B437" s="7"/>
      <c r="C437" s="7"/>
      <c r="D437" s="7"/>
      <c r="E437" s="7"/>
      <c r="F437" s="7"/>
    </row>
    <row r="438" ht="15.75" customHeight="1">
      <c r="A438" s="7"/>
      <c r="B438" s="7"/>
      <c r="C438" s="7"/>
      <c r="D438" s="7"/>
      <c r="E438" s="7"/>
      <c r="F438" s="7"/>
    </row>
    <row r="439" ht="15.75" customHeight="1">
      <c r="A439" s="7"/>
      <c r="B439" s="7"/>
      <c r="C439" s="7"/>
      <c r="D439" s="7"/>
      <c r="E439" s="7"/>
      <c r="F439" s="7"/>
    </row>
    <row r="440" ht="15.75" customHeight="1">
      <c r="A440" s="7"/>
      <c r="B440" s="7"/>
      <c r="C440" s="7"/>
      <c r="D440" s="7"/>
      <c r="E440" s="7"/>
      <c r="F440" s="7"/>
    </row>
    <row r="441" ht="15.75" customHeight="1">
      <c r="A441" s="7"/>
      <c r="B441" s="7"/>
      <c r="C441" s="7"/>
      <c r="D441" s="7"/>
      <c r="E441" s="7"/>
      <c r="F441" s="7"/>
    </row>
    <row r="442" ht="15.75" customHeight="1">
      <c r="A442" s="7"/>
      <c r="B442" s="7"/>
      <c r="C442" s="7"/>
      <c r="D442" s="7"/>
      <c r="E442" s="7"/>
      <c r="F442" s="7"/>
    </row>
    <row r="443" ht="15.75" customHeight="1">
      <c r="A443" s="7"/>
      <c r="B443" s="7"/>
      <c r="C443" s="7"/>
      <c r="D443" s="7"/>
      <c r="E443" s="7"/>
      <c r="F443" s="7"/>
    </row>
    <row r="444" ht="15.75" customHeight="1">
      <c r="A444" s="7"/>
      <c r="B444" s="7"/>
      <c r="C444" s="7"/>
      <c r="D444" s="7"/>
      <c r="E444" s="7"/>
      <c r="F444" s="7"/>
    </row>
    <row r="445" ht="15.75" customHeight="1">
      <c r="A445" s="7"/>
      <c r="B445" s="7"/>
      <c r="C445" s="7"/>
      <c r="D445" s="7"/>
      <c r="E445" s="7"/>
      <c r="F445" s="7"/>
    </row>
    <row r="446" ht="15.75" customHeight="1">
      <c r="A446" s="7"/>
      <c r="B446" s="7"/>
      <c r="C446" s="7"/>
      <c r="D446" s="7"/>
      <c r="E446" s="7"/>
      <c r="F446" s="7"/>
    </row>
    <row r="447" ht="15.75" customHeight="1">
      <c r="A447" s="7"/>
      <c r="B447" s="7"/>
      <c r="C447" s="7"/>
      <c r="D447" s="7"/>
      <c r="E447" s="7"/>
      <c r="F447" s="7"/>
    </row>
    <row r="448" ht="15.75" customHeight="1">
      <c r="A448" s="7"/>
      <c r="B448" s="7"/>
      <c r="C448" s="7"/>
      <c r="D448" s="7"/>
      <c r="E448" s="7"/>
      <c r="F448" s="7"/>
    </row>
    <row r="449" ht="15.75" customHeight="1">
      <c r="A449" s="7"/>
      <c r="B449" s="7"/>
      <c r="C449" s="7"/>
      <c r="D449" s="7"/>
      <c r="E449" s="7"/>
      <c r="F449" s="7"/>
    </row>
    <row r="450" ht="15.75" customHeight="1">
      <c r="A450" s="7"/>
      <c r="B450" s="7"/>
      <c r="C450" s="7"/>
      <c r="D450" s="7"/>
      <c r="E450" s="7"/>
      <c r="F450" s="7"/>
    </row>
    <row r="451" ht="15.75" customHeight="1">
      <c r="A451" s="7"/>
      <c r="B451" s="7"/>
      <c r="C451" s="7"/>
      <c r="D451" s="7"/>
      <c r="E451" s="7"/>
      <c r="F451" s="7"/>
    </row>
    <row r="452" ht="15.75" customHeight="1">
      <c r="A452" s="7"/>
      <c r="B452" s="7"/>
      <c r="C452" s="7"/>
      <c r="D452" s="7"/>
      <c r="E452" s="7"/>
      <c r="F452" s="7"/>
    </row>
    <row r="453" ht="15.75" customHeight="1">
      <c r="A453" s="7"/>
      <c r="B453" s="7"/>
      <c r="C453" s="7"/>
      <c r="D453" s="7"/>
      <c r="E453" s="7"/>
      <c r="F453" s="7"/>
    </row>
    <row r="454" ht="15.75" customHeight="1">
      <c r="A454" s="7"/>
      <c r="B454" s="7"/>
      <c r="C454" s="7"/>
      <c r="D454" s="7"/>
      <c r="E454" s="7"/>
      <c r="F454" s="7"/>
    </row>
    <row r="455" ht="15.75" customHeight="1">
      <c r="A455" s="7"/>
      <c r="B455" s="7"/>
      <c r="C455" s="7"/>
      <c r="D455" s="7"/>
      <c r="E455" s="7"/>
      <c r="F455" s="7"/>
    </row>
    <row r="456" ht="15.75" customHeight="1">
      <c r="A456" s="7"/>
      <c r="B456" s="7"/>
      <c r="C456" s="7"/>
      <c r="D456" s="7"/>
      <c r="E456" s="7"/>
      <c r="F456" s="7"/>
    </row>
    <row r="457" ht="15.75" customHeight="1">
      <c r="A457" s="7"/>
      <c r="B457" s="7"/>
      <c r="C457" s="7"/>
      <c r="D457" s="7"/>
      <c r="E457" s="7"/>
      <c r="F457" s="7"/>
    </row>
    <row r="458" ht="15.75" customHeight="1">
      <c r="A458" s="7"/>
      <c r="B458" s="7"/>
      <c r="C458" s="7"/>
      <c r="D458" s="7"/>
      <c r="E458" s="7"/>
      <c r="F458" s="7"/>
    </row>
    <row r="459" ht="15.75" customHeight="1">
      <c r="A459" s="7"/>
      <c r="B459" s="7"/>
      <c r="C459" s="7"/>
      <c r="D459" s="7"/>
      <c r="E459" s="7"/>
      <c r="F459" s="7"/>
    </row>
    <row r="460" ht="15.75" customHeight="1">
      <c r="A460" s="7"/>
      <c r="B460" s="7"/>
      <c r="C460" s="7"/>
      <c r="D460" s="7"/>
      <c r="E460" s="7"/>
      <c r="F460" s="7"/>
    </row>
    <row r="461" ht="15.75" customHeight="1">
      <c r="A461" s="7"/>
      <c r="B461" s="7"/>
      <c r="C461" s="7"/>
      <c r="D461" s="7"/>
      <c r="E461" s="7"/>
      <c r="F461" s="7"/>
    </row>
    <row r="462" ht="15.75" customHeight="1">
      <c r="A462" s="7"/>
      <c r="B462" s="7"/>
      <c r="C462" s="7"/>
      <c r="D462" s="7"/>
      <c r="E462" s="7"/>
      <c r="F462" s="7"/>
    </row>
    <row r="463" ht="15.75" customHeight="1">
      <c r="A463" s="7"/>
      <c r="B463" s="7"/>
      <c r="C463" s="7"/>
      <c r="D463" s="7"/>
      <c r="E463" s="7"/>
      <c r="F463" s="7"/>
    </row>
    <row r="464" ht="15.75" customHeight="1">
      <c r="A464" s="7"/>
      <c r="B464" s="7"/>
      <c r="C464" s="7"/>
      <c r="D464" s="7"/>
      <c r="E464" s="7"/>
      <c r="F464" s="7"/>
    </row>
    <row r="465" ht="15.75" customHeight="1">
      <c r="A465" s="7"/>
      <c r="B465" s="7"/>
      <c r="C465" s="7"/>
      <c r="D465" s="7"/>
      <c r="E465" s="7"/>
      <c r="F465" s="7"/>
    </row>
    <row r="466" ht="15.75" customHeight="1">
      <c r="A466" s="7"/>
      <c r="B466" s="7"/>
      <c r="C466" s="7"/>
      <c r="D466" s="7"/>
      <c r="E466" s="7"/>
      <c r="F466" s="7"/>
    </row>
    <row r="467" ht="15.75" customHeight="1">
      <c r="A467" s="7"/>
      <c r="B467" s="7"/>
      <c r="C467" s="7"/>
      <c r="D467" s="7"/>
      <c r="E467" s="7"/>
      <c r="F467" s="7"/>
    </row>
    <row r="468" ht="15.75" customHeight="1">
      <c r="A468" s="7"/>
      <c r="B468" s="7"/>
      <c r="C468" s="7"/>
      <c r="D468" s="7"/>
      <c r="E468" s="7"/>
      <c r="F468" s="7"/>
    </row>
    <row r="469" ht="15.75" customHeight="1">
      <c r="A469" s="7"/>
      <c r="B469" s="7"/>
      <c r="C469" s="7"/>
      <c r="D469" s="7"/>
      <c r="E469" s="7"/>
      <c r="F469" s="7"/>
    </row>
    <row r="470" ht="15.75" customHeight="1">
      <c r="A470" s="7"/>
      <c r="B470" s="7"/>
      <c r="C470" s="7"/>
      <c r="D470" s="7"/>
      <c r="E470" s="7"/>
      <c r="F470" s="7"/>
    </row>
    <row r="471" ht="15.75" customHeight="1">
      <c r="A471" s="7"/>
      <c r="B471" s="7"/>
      <c r="C471" s="7"/>
      <c r="D471" s="7"/>
      <c r="E471" s="7"/>
      <c r="F471" s="7"/>
    </row>
    <row r="472" ht="15.75" customHeight="1">
      <c r="A472" s="7"/>
      <c r="B472" s="7"/>
      <c r="C472" s="7"/>
      <c r="D472" s="7"/>
      <c r="E472" s="7"/>
      <c r="F472" s="7"/>
    </row>
    <row r="473" ht="15.75" customHeight="1">
      <c r="A473" s="7"/>
      <c r="B473" s="7"/>
      <c r="C473" s="7"/>
      <c r="D473" s="7"/>
      <c r="E473" s="7"/>
      <c r="F473" s="7"/>
    </row>
    <row r="474" ht="15.75" customHeight="1">
      <c r="A474" s="7"/>
      <c r="B474" s="7"/>
      <c r="C474" s="7"/>
      <c r="D474" s="7"/>
      <c r="E474" s="7"/>
      <c r="F474" s="7"/>
    </row>
    <row r="475" ht="15.75" customHeight="1">
      <c r="A475" s="7"/>
      <c r="B475" s="7"/>
      <c r="C475" s="7"/>
      <c r="D475" s="7"/>
      <c r="E475" s="7"/>
      <c r="F475" s="7"/>
    </row>
    <row r="476" ht="15.75" customHeight="1">
      <c r="A476" s="7"/>
      <c r="B476" s="7"/>
      <c r="C476" s="7"/>
      <c r="D476" s="7"/>
      <c r="E476" s="7"/>
      <c r="F476" s="7"/>
    </row>
    <row r="477" ht="15.75" customHeight="1">
      <c r="A477" s="7"/>
      <c r="B477" s="7"/>
      <c r="C477" s="7"/>
      <c r="D477" s="7"/>
      <c r="E477" s="7"/>
      <c r="F477" s="7"/>
    </row>
    <row r="478" ht="15.75" customHeight="1">
      <c r="A478" s="7"/>
      <c r="B478" s="7"/>
      <c r="C478" s="7"/>
      <c r="D478" s="7"/>
      <c r="E478" s="7"/>
      <c r="F478" s="7"/>
    </row>
    <row r="479" ht="15.75" customHeight="1">
      <c r="A479" s="7"/>
      <c r="B479" s="7"/>
      <c r="C479" s="7"/>
      <c r="D479" s="7"/>
      <c r="E479" s="7"/>
      <c r="F479" s="7"/>
    </row>
    <row r="480" ht="15.75" customHeight="1">
      <c r="A480" s="7"/>
      <c r="B480" s="7"/>
      <c r="C480" s="7"/>
      <c r="D480" s="7"/>
      <c r="E480" s="7"/>
      <c r="F480" s="7"/>
    </row>
    <row r="481" ht="15.75" customHeight="1">
      <c r="A481" s="7"/>
      <c r="B481" s="7"/>
      <c r="C481" s="7"/>
      <c r="D481" s="7"/>
      <c r="E481" s="7"/>
      <c r="F481" s="7"/>
    </row>
    <row r="482" ht="15.75" customHeight="1">
      <c r="A482" s="7"/>
      <c r="B482" s="7"/>
      <c r="C482" s="7"/>
      <c r="D482" s="7"/>
      <c r="E482" s="7"/>
      <c r="F482" s="7"/>
    </row>
    <row r="483" ht="15.75" customHeight="1">
      <c r="A483" s="7"/>
      <c r="B483" s="7"/>
      <c r="C483" s="7"/>
      <c r="D483" s="7"/>
      <c r="E483" s="7"/>
      <c r="F483" s="7"/>
    </row>
    <row r="484" ht="15.75" customHeight="1">
      <c r="A484" s="7"/>
      <c r="B484" s="7"/>
      <c r="C484" s="7"/>
      <c r="D484" s="7"/>
      <c r="E484" s="7"/>
      <c r="F484" s="7"/>
    </row>
    <row r="485" ht="15.75" customHeight="1">
      <c r="A485" s="7"/>
      <c r="B485" s="7"/>
      <c r="C485" s="7"/>
      <c r="D485" s="7"/>
      <c r="E485" s="7"/>
      <c r="F485" s="7"/>
    </row>
    <row r="486" ht="15.75" customHeight="1">
      <c r="A486" s="7"/>
      <c r="B486" s="7"/>
      <c r="C486" s="7"/>
      <c r="D486" s="7"/>
      <c r="E486" s="7"/>
      <c r="F486" s="7"/>
    </row>
    <row r="487" ht="15.75" customHeight="1">
      <c r="A487" s="7"/>
      <c r="B487" s="7"/>
      <c r="C487" s="7"/>
      <c r="D487" s="7"/>
      <c r="E487" s="7"/>
      <c r="F487" s="7"/>
    </row>
    <row r="488" ht="15.75" customHeight="1">
      <c r="A488" s="7"/>
      <c r="B488" s="7"/>
      <c r="C488" s="7"/>
      <c r="D488" s="7"/>
      <c r="E488" s="7"/>
      <c r="F488" s="7"/>
    </row>
    <row r="489" ht="15.75" customHeight="1">
      <c r="A489" s="7"/>
      <c r="B489" s="7"/>
      <c r="C489" s="7"/>
      <c r="D489" s="7"/>
      <c r="E489" s="7"/>
      <c r="F489" s="7"/>
    </row>
    <row r="490" ht="15.75" customHeight="1">
      <c r="A490" s="7"/>
      <c r="B490" s="7"/>
      <c r="C490" s="7"/>
      <c r="D490" s="7"/>
      <c r="E490" s="7"/>
      <c r="F490" s="7"/>
    </row>
    <row r="491" ht="15.75" customHeight="1">
      <c r="A491" s="7"/>
      <c r="B491" s="7"/>
      <c r="C491" s="7"/>
      <c r="D491" s="7"/>
      <c r="E491" s="7"/>
      <c r="F491" s="7"/>
    </row>
    <row r="492" ht="15.75" customHeight="1">
      <c r="A492" s="7"/>
      <c r="B492" s="7"/>
      <c r="C492" s="7"/>
      <c r="D492" s="7"/>
      <c r="E492" s="7"/>
      <c r="F492" s="7"/>
    </row>
    <row r="493" ht="15.75" customHeight="1">
      <c r="A493" s="7"/>
      <c r="B493" s="7"/>
      <c r="C493" s="7"/>
      <c r="D493" s="7"/>
      <c r="E493" s="7"/>
      <c r="F493" s="7"/>
    </row>
    <row r="494" ht="15.75" customHeight="1">
      <c r="A494" s="7"/>
      <c r="B494" s="7"/>
      <c r="C494" s="7"/>
      <c r="D494" s="7"/>
      <c r="E494" s="7"/>
      <c r="F494" s="7"/>
    </row>
    <row r="495" ht="15.75" customHeight="1">
      <c r="A495" s="7"/>
      <c r="B495" s="7"/>
      <c r="C495" s="7"/>
      <c r="D495" s="7"/>
      <c r="E495" s="7"/>
      <c r="F495" s="7"/>
    </row>
    <row r="496" ht="15.75" customHeight="1">
      <c r="A496" s="7"/>
      <c r="B496" s="7"/>
      <c r="C496" s="7"/>
      <c r="D496" s="7"/>
      <c r="E496" s="7"/>
      <c r="F496" s="7"/>
    </row>
    <row r="497" ht="15.75" customHeight="1">
      <c r="A497" s="7"/>
      <c r="B497" s="7"/>
      <c r="C497" s="7"/>
      <c r="D497" s="7"/>
      <c r="E497" s="7"/>
      <c r="F497" s="7"/>
    </row>
    <row r="498" ht="15.75" customHeight="1">
      <c r="A498" s="7"/>
      <c r="B498" s="7"/>
      <c r="C498" s="7"/>
      <c r="D498" s="7"/>
      <c r="E498" s="7"/>
      <c r="F498" s="7"/>
    </row>
    <row r="499" ht="15.75" customHeight="1">
      <c r="A499" s="7"/>
      <c r="B499" s="7"/>
      <c r="C499" s="7"/>
      <c r="D499" s="7"/>
      <c r="E499" s="7"/>
      <c r="F499" s="7"/>
    </row>
    <row r="500" ht="15.75" customHeight="1">
      <c r="A500" s="7"/>
      <c r="B500" s="7"/>
      <c r="C500" s="7"/>
      <c r="D500" s="7"/>
      <c r="E500" s="7"/>
      <c r="F500" s="7"/>
    </row>
    <row r="501" ht="15.75" customHeight="1">
      <c r="A501" s="7"/>
      <c r="B501" s="7"/>
      <c r="C501" s="7"/>
      <c r="D501" s="7"/>
      <c r="E501" s="7"/>
      <c r="F501" s="7"/>
    </row>
    <row r="502" ht="15.75" customHeight="1">
      <c r="A502" s="7"/>
      <c r="B502" s="7"/>
      <c r="C502" s="7"/>
      <c r="D502" s="7"/>
      <c r="E502" s="7"/>
      <c r="F502" s="7"/>
    </row>
    <row r="503" ht="15.75" customHeight="1">
      <c r="A503" s="7"/>
      <c r="B503" s="7"/>
      <c r="C503" s="7"/>
      <c r="D503" s="7"/>
      <c r="E503" s="7"/>
      <c r="F503" s="7"/>
    </row>
    <row r="504" ht="15.75" customHeight="1">
      <c r="A504" s="7"/>
      <c r="B504" s="7"/>
      <c r="C504" s="7"/>
      <c r="D504" s="7"/>
      <c r="E504" s="7"/>
      <c r="F504" s="7"/>
    </row>
    <row r="505" ht="15.75" customHeight="1">
      <c r="A505" s="7"/>
      <c r="B505" s="7"/>
      <c r="C505" s="7"/>
      <c r="D505" s="7"/>
      <c r="E505" s="7"/>
      <c r="F505" s="7"/>
    </row>
    <row r="506" ht="15.75" customHeight="1">
      <c r="A506" s="7"/>
      <c r="B506" s="7"/>
      <c r="C506" s="7"/>
      <c r="D506" s="7"/>
      <c r="E506" s="7"/>
      <c r="F506" s="7"/>
    </row>
    <row r="507" ht="15.75" customHeight="1">
      <c r="A507" s="7"/>
      <c r="B507" s="7"/>
      <c r="C507" s="7"/>
      <c r="D507" s="7"/>
      <c r="E507" s="7"/>
      <c r="F507" s="7"/>
    </row>
    <row r="508" ht="15.75" customHeight="1">
      <c r="A508" s="7"/>
      <c r="B508" s="7"/>
      <c r="C508" s="7"/>
      <c r="D508" s="7"/>
      <c r="E508" s="7"/>
      <c r="F508" s="7"/>
    </row>
    <row r="509" ht="15.75" customHeight="1">
      <c r="A509" s="7"/>
      <c r="B509" s="7"/>
      <c r="C509" s="7"/>
      <c r="D509" s="7"/>
      <c r="E509" s="7"/>
      <c r="F509" s="7"/>
    </row>
    <row r="510" ht="15.75" customHeight="1">
      <c r="A510" s="7"/>
      <c r="B510" s="7"/>
      <c r="C510" s="7"/>
      <c r="D510" s="7"/>
      <c r="E510" s="7"/>
      <c r="F510" s="7"/>
    </row>
    <row r="511" ht="15.75" customHeight="1">
      <c r="A511" s="7"/>
      <c r="B511" s="7"/>
      <c r="C511" s="7"/>
      <c r="D511" s="7"/>
      <c r="E511" s="7"/>
      <c r="F511" s="7"/>
    </row>
    <row r="512" ht="15.75" customHeight="1">
      <c r="A512" s="7"/>
      <c r="B512" s="7"/>
      <c r="C512" s="7"/>
      <c r="D512" s="7"/>
      <c r="E512" s="7"/>
      <c r="F512" s="7"/>
    </row>
    <row r="513" ht="15.75" customHeight="1">
      <c r="A513" s="7"/>
      <c r="B513" s="7"/>
      <c r="C513" s="7"/>
      <c r="D513" s="7"/>
      <c r="E513" s="7"/>
      <c r="F513" s="7"/>
    </row>
    <row r="514" ht="15.75" customHeight="1">
      <c r="A514" s="7"/>
      <c r="B514" s="7"/>
      <c r="C514" s="7"/>
      <c r="D514" s="7"/>
      <c r="E514" s="7"/>
      <c r="F514" s="7"/>
    </row>
    <row r="515" ht="15.75" customHeight="1">
      <c r="A515" s="7"/>
      <c r="B515" s="7"/>
      <c r="C515" s="7"/>
      <c r="D515" s="7"/>
      <c r="E515" s="7"/>
      <c r="F515" s="7"/>
    </row>
    <row r="516" ht="15.75" customHeight="1">
      <c r="A516" s="7"/>
      <c r="B516" s="7"/>
      <c r="C516" s="7"/>
      <c r="D516" s="7"/>
      <c r="E516" s="7"/>
      <c r="F516" s="7"/>
    </row>
    <row r="517" ht="15.75" customHeight="1">
      <c r="A517" s="7"/>
      <c r="B517" s="7"/>
      <c r="C517" s="7"/>
      <c r="D517" s="7"/>
      <c r="E517" s="7"/>
      <c r="F517" s="7"/>
    </row>
    <row r="518" ht="15.75" customHeight="1">
      <c r="A518" s="7"/>
      <c r="B518" s="7"/>
      <c r="C518" s="7"/>
      <c r="D518" s="7"/>
      <c r="E518" s="7"/>
      <c r="F518" s="7"/>
    </row>
    <row r="519" ht="15.75" customHeight="1">
      <c r="A519" s="7"/>
      <c r="B519" s="7"/>
      <c r="C519" s="7"/>
      <c r="D519" s="7"/>
      <c r="E519" s="7"/>
      <c r="F519" s="7"/>
    </row>
    <row r="520" ht="15.75" customHeight="1">
      <c r="A520" s="7"/>
      <c r="B520" s="7"/>
      <c r="C520" s="7"/>
      <c r="D520" s="7"/>
      <c r="E520" s="7"/>
      <c r="F520" s="7"/>
    </row>
    <row r="521" ht="15.75" customHeight="1">
      <c r="A521" s="7"/>
      <c r="B521" s="7"/>
      <c r="C521" s="7"/>
      <c r="D521" s="7"/>
      <c r="E521" s="7"/>
      <c r="F521" s="7"/>
    </row>
    <row r="522" ht="15.75" customHeight="1">
      <c r="A522" s="7"/>
      <c r="B522" s="7"/>
      <c r="C522" s="7"/>
      <c r="D522" s="7"/>
      <c r="E522" s="7"/>
      <c r="F522" s="7"/>
    </row>
    <row r="523" ht="15.75" customHeight="1">
      <c r="A523" s="7"/>
      <c r="B523" s="7"/>
      <c r="C523" s="7"/>
      <c r="D523" s="7"/>
      <c r="E523" s="7"/>
      <c r="F523" s="7"/>
    </row>
    <row r="524" ht="15.75" customHeight="1">
      <c r="A524" s="7"/>
      <c r="B524" s="7"/>
      <c r="C524" s="7"/>
      <c r="D524" s="7"/>
      <c r="E524" s="7"/>
      <c r="F524" s="7"/>
    </row>
    <row r="525" ht="15.75" customHeight="1">
      <c r="A525" s="7"/>
      <c r="B525" s="7"/>
      <c r="C525" s="7"/>
      <c r="D525" s="7"/>
      <c r="E525" s="7"/>
      <c r="F525" s="7"/>
    </row>
    <row r="526" ht="15.75" customHeight="1">
      <c r="A526" s="7"/>
      <c r="B526" s="7"/>
      <c r="C526" s="7"/>
      <c r="D526" s="7"/>
      <c r="E526" s="7"/>
      <c r="F526" s="7"/>
    </row>
    <row r="527" ht="15.75" customHeight="1">
      <c r="A527" s="7"/>
      <c r="B527" s="7"/>
      <c r="C527" s="7"/>
      <c r="D527" s="7"/>
      <c r="E527" s="7"/>
      <c r="F527" s="7"/>
    </row>
    <row r="528" ht="15.75" customHeight="1">
      <c r="A528" s="7"/>
      <c r="B528" s="7"/>
      <c r="C528" s="7"/>
      <c r="D528" s="7"/>
      <c r="E528" s="7"/>
      <c r="F528" s="7"/>
    </row>
    <row r="529" ht="15.75" customHeight="1">
      <c r="A529" s="7"/>
      <c r="B529" s="7"/>
      <c r="C529" s="7"/>
      <c r="D529" s="7"/>
      <c r="E529" s="7"/>
      <c r="F529" s="7"/>
    </row>
    <row r="530" ht="15.75" customHeight="1">
      <c r="A530" s="7"/>
      <c r="B530" s="7"/>
      <c r="C530" s="7"/>
      <c r="D530" s="7"/>
      <c r="E530" s="7"/>
      <c r="F530" s="7"/>
    </row>
    <row r="531" ht="15.75" customHeight="1">
      <c r="A531" s="7"/>
      <c r="B531" s="7"/>
      <c r="C531" s="7"/>
      <c r="D531" s="7"/>
      <c r="E531" s="7"/>
      <c r="F531" s="7"/>
    </row>
    <row r="532" ht="15.75" customHeight="1">
      <c r="A532" s="7"/>
      <c r="B532" s="7"/>
      <c r="C532" s="7"/>
      <c r="D532" s="7"/>
      <c r="E532" s="7"/>
      <c r="F532" s="7"/>
    </row>
    <row r="533" ht="15.75" customHeight="1">
      <c r="A533" s="7"/>
      <c r="B533" s="7"/>
      <c r="C533" s="7"/>
      <c r="D533" s="7"/>
      <c r="E533" s="7"/>
      <c r="F533" s="7"/>
    </row>
    <row r="534" ht="15.75" customHeight="1">
      <c r="A534" s="7"/>
      <c r="B534" s="7"/>
      <c r="C534" s="7"/>
      <c r="D534" s="7"/>
      <c r="E534" s="7"/>
      <c r="F534" s="7"/>
    </row>
    <row r="535" ht="15.75" customHeight="1">
      <c r="A535" s="7"/>
      <c r="B535" s="7"/>
      <c r="C535" s="7"/>
      <c r="D535" s="7"/>
      <c r="E535" s="7"/>
      <c r="F535" s="7"/>
    </row>
    <row r="536" ht="15.75" customHeight="1">
      <c r="A536" s="7"/>
      <c r="B536" s="7"/>
      <c r="C536" s="7"/>
      <c r="D536" s="7"/>
      <c r="E536" s="7"/>
      <c r="F536" s="7"/>
    </row>
    <row r="537" ht="15.75" customHeight="1">
      <c r="A537" s="7"/>
      <c r="B537" s="7"/>
      <c r="C537" s="7"/>
      <c r="D537" s="7"/>
      <c r="E537" s="7"/>
      <c r="F537" s="7"/>
    </row>
    <row r="538" ht="15.75" customHeight="1">
      <c r="A538" s="7"/>
      <c r="B538" s="7"/>
      <c r="C538" s="7"/>
      <c r="D538" s="7"/>
      <c r="E538" s="7"/>
      <c r="F538" s="7"/>
    </row>
    <row r="539" ht="15.75" customHeight="1">
      <c r="A539" s="7"/>
      <c r="B539" s="7"/>
      <c r="C539" s="7"/>
      <c r="D539" s="7"/>
      <c r="E539" s="7"/>
      <c r="F539" s="7"/>
    </row>
    <row r="540" ht="15.75" customHeight="1">
      <c r="A540" s="7"/>
      <c r="B540" s="7"/>
      <c r="C540" s="7"/>
      <c r="D540" s="7"/>
      <c r="E540" s="7"/>
      <c r="F540" s="7"/>
    </row>
    <row r="541" ht="15.75" customHeight="1">
      <c r="A541" s="7"/>
      <c r="B541" s="7"/>
      <c r="C541" s="7"/>
      <c r="D541" s="7"/>
      <c r="E541" s="7"/>
      <c r="F541" s="7"/>
    </row>
    <row r="542" ht="15.75" customHeight="1">
      <c r="A542" s="7"/>
      <c r="B542" s="7"/>
      <c r="C542" s="7"/>
      <c r="D542" s="7"/>
      <c r="E542" s="7"/>
      <c r="F542" s="7"/>
    </row>
    <row r="543" ht="15.75" customHeight="1">
      <c r="A543" s="7"/>
      <c r="B543" s="7"/>
      <c r="C543" s="7"/>
      <c r="D543" s="7"/>
      <c r="E543" s="7"/>
      <c r="F543" s="7"/>
    </row>
    <row r="544" ht="15.75" customHeight="1">
      <c r="A544" s="7"/>
      <c r="B544" s="7"/>
      <c r="C544" s="7"/>
      <c r="D544" s="7"/>
      <c r="E544" s="7"/>
      <c r="F544" s="7"/>
    </row>
    <row r="545" ht="15.75" customHeight="1">
      <c r="A545" s="7"/>
      <c r="B545" s="7"/>
      <c r="C545" s="7"/>
      <c r="D545" s="7"/>
      <c r="E545" s="7"/>
      <c r="F545" s="7"/>
    </row>
    <row r="546" ht="15.75" customHeight="1">
      <c r="A546" s="7"/>
      <c r="B546" s="7"/>
      <c r="C546" s="7"/>
      <c r="D546" s="7"/>
      <c r="E546" s="7"/>
      <c r="F546" s="7"/>
    </row>
    <row r="547" ht="15.75" customHeight="1">
      <c r="A547" s="7"/>
      <c r="B547" s="7"/>
      <c r="C547" s="7"/>
      <c r="D547" s="7"/>
      <c r="E547" s="7"/>
      <c r="F547" s="7"/>
    </row>
    <row r="548" ht="15.75" customHeight="1">
      <c r="A548" s="7"/>
      <c r="B548" s="7"/>
      <c r="C548" s="7"/>
      <c r="D548" s="7"/>
      <c r="E548" s="7"/>
      <c r="F548" s="7"/>
    </row>
    <row r="549" ht="15.75" customHeight="1">
      <c r="A549" s="7"/>
      <c r="B549" s="7"/>
      <c r="C549" s="7"/>
      <c r="D549" s="7"/>
      <c r="E549" s="7"/>
      <c r="F549" s="7"/>
    </row>
    <row r="550" ht="15.75" customHeight="1">
      <c r="A550" s="7"/>
      <c r="B550" s="7"/>
      <c r="C550" s="7"/>
      <c r="D550" s="7"/>
      <c r="E550" s="7"/>
      <c r="F550" s="7"/>
    </row>
    <row r="551" ht="15.75" customHeight="1">
      <c r="A551" s="7"/>
      <c r="B551" s="7"/>
      <c r="C551" s="7"/>
      <c r="D551" s="7"/>
      <c r="E551" s="7"/>
      <c r="F551" s="7"/>
    </row>
    <row r="552" ht="15.75" customHeight="1">
      <c r="A552" s="7"/>
      <c r="B552" s="7"/>
      <c r="C552" s="7"/>
      <c r="D552" s="7"/>
      <c r="E552" s="7"/>
      <c r="F552" s="7"/>
    </row>
    <row r="553" ht="15.75" customHeight="1">
      <c r="A553" s="7"/>
      <c r="B553" s="7"/>
      <c r="C553" s="7"/>
      <c r="D553" s="7"/>
      <c r="E553" s="7"/>
      <c r="F553" s="7"/>
    </row>
    <row r="554" ht="15.75" customHeight="1">
      <c r="A554" s="7"/>
      <c r="B554" s="7"/>
      <c r="C554" s="7"/>
      <c r="D554" s="7"/>
      <c r="E554" s="7"/>
      <c r="F554" s="7"/>
    </row>
    <row r="555" ht="15.75" customHeight="1">
      <c r="A555" s="7"/>
      <c r="B555" s="7"/>
      <c r="C555" s="7"/>
      <c r="D555" s="7"/>
      <c r="E555" s="7"/>
      <c r="F555" s="7"/>
    </row>
    <row r="556" ht="15.75" customHeight="1">
      <c r="A556" s="7"/>
      <c r="B556" s="7"/>
      <c r="C556" s="7"/>
      <c r="D556" s="7"/>
      <c r="E556" s="7"/>
      <c r="F556" s="7"/>
    </row>
    <row r="557" ht="15.75" customHeight="1">
      <c r="A557" s="7"/>
      <c r="B557" s="7"/>
      <c r="C557" s="7"/>
      <c r="D557" s="7"/>
      <c r="E557" s="7"/>
      <c r="F557" s="7"/>
    </row>
    <row r="558" ht="15.75" customHeight="1">
      <c r="A558" s="7"/>
      <c r="B558" s="7"/>
      <c r="C558" s="7"/>
      <c r="D558" s="7"/>
      <c r="E558" s="7"/>
      <c r="F558" s="7"/>
    </row>
    <row r="559" ht="15.75" customHeight="1">
      <c r="A559" s="7"/>
      <c r="B559" s="7"/>
      <c r="C559" s="7"/>
      <c r="D559" s="7"/>
      <c r="E559" s="7"/>
      <c r="F559" s="7"/>
    </row>
    <row r="560" ht="15.75" customHeight="1">
      <c r="A560" s="7"/>
      <c r="B560" s="7"/>
      <c r="C560" s="7"/>
      <c r="D560" s="7"/>
      <c r="E560" s="7"/>
      <c r="F560" s="7"/>
    </row>
    <row r="561" ht="15.75" customHeight="1">
      <c r="A561" s="7"/>
      <c r="B561" s="7"/>
      <c r="C561" s="7"/>
      <c r="D561" s="7"/>
      <c r="E561" s="7"/>
      <c r="F561" s="7"/>
    </row>
    <row r="562" ht="15.75" customHeight="1">
      <c r="A562" s="7"/>
      <c r="B562" s="7"/>
      <c r="C562" s="7"/>
      <c r="D562" s="7"/>
      <c r="E562" s="7"/>
      <c r="F562" s="7"/>
    </row>
    <row r="563" ht="15.75" customHeight="1">
      <c r="A563" s="7"/>
      <c r="B563" s="7"/>
      <c r="C563" s="7"/>
      <c r="D563" s="7"/>
      <c r="E563" s="7"/>
      <c r="F563" s="7"/>
    </row>
    <row r="564" ht="15.75" customHeight="1">
      <c r="A564" s="7"/>
      <c r="B564" s="7"/>
      <c r="C564" s="7"/>
      <c r="D564" s="7"/>
      <c r="E564" s="7"/>
      <c r="F564" s="7"/>
    </row>
    <row r="565" ht="15.75" customHeight="1">
      <c r="A565" s="7"/>
      <c r="B565" s="7"/>
      <c r="C565" s="7"/>
      <c r="D565" s="7"/>
      <c r="E565" s="7"/>
      <c r="F565" s="7"/>
    </row>
    <row r="566" ht="15.75" customHeight="1">
      <c r="A566" s="7"/>
      <c r="B566" s="7"/>
      <c r="C566" s="7"/>
      <c r="D566" s="7"/>
      <c r="E566" s="7"/>
      <c r="F566" s="7"/>
    </row>
    <row r="567" ht="15.75" customHeight="1">
      <c r="A567" s="7"/>
      <c r="B567" s="7"/>
      <c r="C567" s="7"/>
      <c r="D567" s="7"/>
      <c r="E567" s="7"/>
      <c r="F567" s="7"/>
    </row>
    <row r="568" ht="15.75" customHeight="1">
      <c r="A568" s="7"/>
      <c r="B568" s="7"/>
      <c r="C568" s="7"/>
      <c r="D568" s="7"/>
      <c r="E568" s="7"/>
      <c r="F568" s="7"/>
    </row>
    <row r="569" ht="15.75" customHeight="1">
      <c r="A569" s="7"/>
      <c r="B569" s="7"/>
      <c r="C569" s="7"/>
      <c r="D569" s="7"/>
      <c r="E569" s="7"/>
      <c r="F569" s="7"/>
    </row>
    <row r="570" ht="15.75" customHeight="1">
      <c r="A570" s="7"/>
      <c r="B570" s="7"/>
      <c r="C570" s="7"/>
      <c r="D570" s="7"/>
      <c r="E570" s="7"/>
      <c r="F570" s="7"/>
    </row>
    <row r="571" ht="15.75" customHeight="1">
      <c r="A571" s="7"/>
      <c r="B571" s="7"/>
      <c r="C571" s="7"/>
      <c r="D571" s="7"/>
      <c r="E571" s="7"/>
      <c r="F571" s="7"/>
    </row>
    <row r="572" ht="15.75" customHeight="1">
      <c r="A572" s="7"/>
      <c r="B572" s="7"/>
      <c r="C572" s="7"/>
      <c r="D572" s="7"/>
      <c r="E572" s="7"/>
      <c r="F572" s="7"/>
    </row>
    <row r="573" ht="15.75" customHeight="1">
      <c r="A573" s="7"/>
      <c r="B573" s="7"/>
      <c r="C573" s="7"/>
      <c r="D573" s="7"/>
      <c r="E573" s="7"/>
      <c r="F573" s="7"/>
    </row>
    <row r="574" ht="15.75" customHeight="1">
      <c r="A574" s="7"/>
      <c r="B574" s="7"/>
      <c r="C574" s="7"/>
      <c r="D574" s="7"/>
      <c r="E574" s="7"/>
      <c r="F574" s="7"/>
    </row>
    <row r="575" ht="15.75" customHeight="1">
      <c r="A575" s="7"/>
      <c r="B575" s="7"/>
      <c r="C575" s="7"/>
      <c r="D575" s="7"/>
      <c r="E575" s="7"/>
      <c r="F575" s="7"/>
    </row>
    <row r="576" ht="15.75" customHeight="1">
      <c r="A576" s="7"/>
      <c r="B576" s="7"/>
      <c r="C576" s="7"/>
      <c r="D576" s="7"/>
      <c r="E576" s="7"/>
      <c r="F576" s="7"/>
    </row>
    <row r="577" ht="15.75" customHeight="1">
      <c r="A577" s="7"/>
      <c r="B577" s="7"/>
      <c r="C577" s="7"/>
      <c r="D577" s="7"/>
      <c r="E577" s="7"/>
      <c r="F577" s="7"/>
    </row>
    <row r="578" ht="15.75" customHeight="1">
      <c r="A578" s="7"/>
      <c r="B578" s="7"/>
      <c r="C578" s="7"/>
      <c r="D578" s="7"/>
      <c r="E578" s="7"/>
      <c r="F578" s="7"/>
    </row>
    <row r="579" ht="15.75" customHeight="1">
      <c r="A579" s="7"/>
      <c r="B579" s="7"/>
      <c r="C579" s="7"/>
      <c r="D579" s="7"/>
      <c r="E579" s="7"/>
      <c r="F579" s="7"/>
    </row>
    <row r="580" ht="15.75" customHeight="1">
      <c r="A580" s="7"/>
      <c r="B580" s="7"/>
      <c r="C580" s="7"/>
      <c r="D580" s="7"/>
      <c r="E580" s="7"/>
      <c r="F580" s="7"/>
    </row>
    <row r="581" ht="15.75" customHeight="1">
      <c r="A581" s="7"/>
      <c r="B581" s="7"/>
      <c r="C581" s="7"/>
      <c r="D581" s="7"/>
      <c r="E581" s="7"/>
      <c r="F581" s="7"/>
    </row>
    <row r="582" ht="15.75" customHeight="1">
      <c r="A582" s="7"/>
      <c r="B582" s="7"/>
      <c r="C582" s="7"/>
      <c r="D582" s="7"/>
      <c r="E582" s="7"/>
      <c r="F582" s="7"/>
    </row>
    <row r="583" ht="15.75" customHeight="1">
      <c r="A583" s="7"/>
      <c r="B583" s="7"/>
      <c r="C583" s="7"/>
      <c r="D583" s="7"/>
      <c r="E583" s="7"/>
      <c r="F583" s="7"/>
    </row>
    <row r="584" ht="15.75" customHeight="1">
      <c r="A584" s="7"/>
      <c r="B584" s="7"/>
      <c r="C584" s="7"/>
      <c r="D584" s="7"/>
      <c r="E584" s="7"/>
      <c r="F584" s="7"/>
    </row>
    <row r="585" ht="15.75" customHeight="1">
      <c r="A585" s="7"/>
      <c r="B585" s="7"/>
      <c r="C585" s="7"/>
      <c r="D585" s="7"/>
      <c r="E585" s="7"/>
      <c r="F585" s="7"/>
    </row>
    <row r="586" ht="15.75" customHeight="1">
      <c r="A586" s="7"/>
      <c r="B586" s="7"/>
      <c r="C586" s="7"/>
      <c r="D586" s="7"/>
      <c r="E586" s="7"/>
      <c r="F586" s="7"/>
    </row>
    <row r="587" ht="15.75" customHeight="1">
      <c r="A587" s="7"/>
      <c r="B587" s="7"/>
      <c r="C587" s="7"/>
      <c r="D587" s="7"/>
      <c r="E587" s="7"/>
      <c r="F587" s="7"/>
    </row>
    <row r="588" ht="15.75" customHeight="1">
      <c r="A588" s="7"/>
      <c r="B588" s="7"/>
      <c r="C588" s="7"/>
      <c r="D588" s="7"/>
      <c r="E588" s="7"/>
      <c r="F588" s="7"/>
    </row>
    <row r="589" ht="15.75" customHeight="1">
      <c r="A589" s="7"/>
      <c r="B589" s="7"/>
      <c r="C589" s="7"/>
      <c r="D589" s="7"/>
      <c r="E589" s="7"/>
      <c r="F589" s="7"/>
    </row>
    <row r="590" ht="15.75" customHeight="1">
      <c r="A590" s="7"/>
      <c r="B590" s="7"/>
      <c r="C590" s="7"/>
      <c r="D590" s="7"/>
      <c r="E590" s="7"/>
      <c r="F590" s="7"/>
    </row>
    <row r="591" ht="15.75" customHeight="1">
      <c r="A591" s="7"/>
      <c r="B591" s="7"/>
      <c r="C591" s="7"/>
      <c r="D591" s="7"/>
      <c r="E591" s="7"/>
      <c r="F591" s="7"/>
    </row>
    <row r="592" ht="15.75" customHeight="1">
      <c r="A592" s="7"/>
      <c r="B592" s="7"/>
      <c r="C592" s="7"/>
      <c r="D592" s="7"/>
      <c r="E592" s="7"/>
      <c r="F592" s="7"/>
    </row>
    <row r="593" ht="15.75" customHeight="1">
      <c r="A593" s="7"/>
      <c r="B593" s="7"/>
      <c r="C593" s="7"/>
      <c r="D593" s="7"/>
      <c r="E593" s="7"/>
      <c r="F593" s="7"/>
    </row>
    <row r="594" ht="15.75" customHeight="1">
      <c r="A594" s="7"/>
      <c r="B594" s="7"/>
      <c r="C594" s="7"/>
      <c r="D594" s="7"/>
      <c r="E594" s="7"/>
      <c r="F594" s="7"/>
    </row>
    <row r="595" ht="15.75" customHeight="1">
      <c r="A595" s="7"/>
      <c r="B595" s="7"/>
      <c r="C595" s="7"/>
      <c r="D595" s="7"/>
      <c r="E595" s="7"/>
      <c r="F595" s="7"/>
    </row>
    <row r="596" ht="15.75" customHeight="1">
      <c r="A596" s="7"/>
      <c r="B596" s="7"/>
      <c r="C596" s="7"/>
      <c r="D596" s="7"/>
      <c r="E596" s="7"/>
      <c r="F596" s="7"/>
    </row>
    <row r="597" ht="15.75" customHeight="1">
      <c r="A597" s="7"/>
      <c r="B597" s="7"/>
      <c r="C597" s="7"/>
      <c r="D597" s="7"/>
      <c r="E597" s="7"/>
      <c r="F597" s="7"/>
    </row>
    <row r="598" ht="15.75" customHeight="1">
      <c r="A598" s="7"/>
      <c r="B598" s="7"/>
      <c r="C598" s="7"/>
      <c r="D598" s="7"/>
      <c r="E598" s="7"/>
      <c r="F598" s="7"/>
    </row>
    <row r="599" ht="15.75" customHeight="1">
      <c r="A599" s="7"/>
      <c r="B599" s="7"/>
      <c r="C599" s="7"/>
      <c r="D599" s="7"/>
      <c r="E599" s="7"/>
      <c r="F599" s="7"/>
    </row>
    <row r="600" ht="15.75" customHeight="1">
      <c r="A600" s="7"/>
      <c r="B600" s="7"/>
      <c r="C600" s="7"/>
      <c r="D600" s="7"/>
      <c r="E600" s="7"/>
      <c r="F600" s="7"/>
    </row>
    <row r="601" ht="15.75" customHeight="1">
      <c r="A601" s="7"/>
      <c r="B601" s="7"/>
      <c r="C601" s="7"/>
      <c r="D601" s="7"/>
      <c r="E601" s="7"/>
      <c r="F601" s="7"/>
    </row>
    <row r="602" ht="15.75" customHeight="1">
      <c r="A602" s="7"/>
      <c r="B602" s="7"/>
      <c r="C602" s="7"/>
      <c r="D602" s="7"/>
      <c r="E602" s="7"/>
      <c r="F602" s="7"/>
    </row>
    <row r="603" ht="15.75" customHeight="1">
      <c r="A603" s="7"/>
      <c r="B603" s="7"/>
      <c r="C603" s="7"/>
      <c r="D603" s="7"/>
      <c r="E603" s="7"/>
      <c r="F603" s="7"/>
    </row>
    <row r="604" ht="15.75" customHeight="1">
      <c r="A604" s="7"/>
      <c r="B604" s="7"/>
      <c r="C604" s="7"/>
      <c r="D604" s="7"/>
      <c r="E604" s="7"/>
      <c r="F604" s="7"/>
    </row>
    <row r="605" ht="15.75" customHeight="1">
      <c r="A605" s="7"/>
      <c r="B605" s="7"/>
      <c r="C605" s="7"/>
      <c r="D605" s="7"/>
      <c r="E605" s="7"/>
      <c r="F605" s="7"/>
    </row>
    <row r="606" ht="15.75" customHeight="1">
      <c r="A606" s="7"/>
      <c r="B606" s="7"/>
      <c r="C606" s="7"/>
      <c r="D606" s="7"/>
      <c r="E606" s="7"/>
      <c r="F606" s="7"/>
    </row>
    <row r="607" ht="15.75" customHeight="1">
      <c r="A607" s="7"/>
      <c r="B607" s="7"/>
      <c r="C607" s="7"/>
      <c r="D607" s="7"/>
      <c r="E607" s="7"/>
      <c r="F607" s="7"/>
    </row>
    <row r="608" ht="15.75" customHeight="1">
      <c r="A608" s="7"/>
      <c r="B608" s="7"/>
      <c r="C608" s="7"/>
      <c r="D608" s="7"/>
      <c r="E608" s="7"/>
      <c r="F608" s="7"/>
    </row>
    <row r="609" ht="15.75" customHeight="1">
      <c r="A609" s="7"/>
      <c r="B609" s="7"/>
      <c r="C609" s="7"/>
      <c r="D609" s="7"/>
      <c r="E609" s="7"/>
      <c r="F609" s="7"/>
    </row>
    <row r="610" ht="15.75" customHeight="1">
      <c r="A610" s="7"/>
      <c r="B610" s="7"/>
      <c r="C610" s="7"/>
      <c r="D610" s="7"/>
      <c r="E610" s="7"/>
      <c r="F610" s="7"/>
    </row>
    <row r="611" ht="15.75" customHeight="1">
      <c r="A611" s="7"/>
      <c r="B611" s="7"/>
      <c r="C611" s="7"/>
      <c r="D611" s="7"/>
      <c r="E611" s="7"/>
      <c r="F611" s="7"/>
    </row>
    <row r="612" ht="15.75" customHeight="1">
      <c r="A612" s="7"/>
      <c r="B612" s="7"/>
      <c r="C612" s="7"/>
      <c r="D612" s="7"/>
      <c r="E612" s="7"/>
      <c r="F612" s="7"/>
    </row>
    <row r="613" ht="15.75" customHeight="1">
      <c r="A613" s="7"/>
      <c r="B613" s="7"/>
      <c r="C613" s="7"/>
      <c r="D613" s="7"/>
      <c r="E613" s="7"/>
      <c r="F613" s="7"/>
    </row>
    <row r="614" ht="15.75" customHeight="1">
      <c r="A614" s="7"/>
      <c r="B614" s="7"/>
      <c r="C614" s="7"/>
      <c r="D614" s="7"/>
      <c r="E614" s="7"/>
      <c r="F614" s="7"/>
    </row>
    <row r="615" ht="15.75" customHeight="1">
      <c r="A615" s="7"/>
      <c r="B615" s="7"/>
      <c r="C615" s="7"/>
      <c r="D615" s="7"/>
      <c r="E615" s="7"/>
      <c r="F615" s="7"/>
    </row>
    <row r="616" ht="15.75" customHeight="1">
      <c r="A616" s="7"/>
      <c r="B616" s="7"/>
      <c r="C616" s="7"/>
      <c r="D616" s="7"/>
      <c r="E616" s="7"/>
      <c r="F616" s="7"/>
    </row>
    <row r="617" ht="15.75" customHeight="1">
      <c r="A617" s="7"/>
      <c r="B617" s="7"/>
      <c r="C617" s="7"/>
      <c r="D617" s="7"/>
      <c r="E617" s="7"/>
      <c r="F617" s="7"/>
    </row>
    <row r="618" ht="15.75" customHeight="1">
      <c r="A618" s="7"/>
      <c r="B618" s="7"/>
      <c r="C618" s="7"/>
      <c r="D618" s="7"/>
      <c r="E618" s="7"/>
      <c r="F618" s="7"/>
    </row>
    <row r="619" ht="15.75" customHeight="1">
      <c r="A619" s="7"/>
      <c r="B619" s="7"/>
      <c r="C619" s="7"/>
      <c r="D619" s="7"/>
      <c r="E619" s="7"/>
      <c r="F619" s="7"/>
    </row>
    <row r="620" ht="15.75" customHeight="1">
      <c r="A620" s="7"/>
      <c r="B620" s="7"/>
      <c r="C620" s="7"/>
      <c r="D620" s="7"/>
      <c r="E620" s="7"/>
      <c r="F620" s="7"/>
    </row>
    <row r="621" ht="15.75" customHeight="1">
      <c r="A621" s="7"/>
      <c r="B621" s="7"/>
      <c r="C621" s="7"/>
      <c r="D621" s="7"/>
      <c r="E621" s="7"/>
      <c r="F621" s="7"/>
    </row>
    <row r="622" ht="15.75" customHeight="1">
      <c r="A622" s="7"/>
      <c r="B622" s="7"/>
      <c r="C622" s="7"/>
      <c r="D622" s="7"/>
      <c r="E622" s="7"/>
      <c r="F622" s="7"/>
    </row>
    <row r="623" ht="15.75" customHeight="1">
      <c r="A623" s="7"/>
      <c r="B623" s="7"/>
      <c r="C623" s="7"/>
      <c r="D623" s="7"/>
      <c r="E623" s="7"/>
      <c r="F623" s="7"/>
    </row>
    <row r="624" ht="15.75" customHeight="1">
      <c r="A624" s="7"/>
      <c r="B624" s="7"/>
      <c r="C624" s="7"/>
      <c r="D624" s="7"/>
      <c r="E624" s="7"/>
      <c r="F624" s="7"/>
    </row>
    <row r="625" ht="15.75" customHeight="1">
      <c r="A625" s="7"/>
      <c r="B625" s="7"/>
      <c r="C625" s="7"/>
      <c r="D625" s="7"/>
      <c r="E625" s="7"/>
      <c r="F625" s="7"/>
    </row>
    <row r="626" ht="15.75" customHeight="1">
      <c r="A626" s="7"/>
      <c r="B626" s="7"/>
      <c r="C626" s="7"/>
      <c r="D626" s="7"/>
      <c r="E626" s="7"/>
      <c r="F626" s="7"/>
    </row>
    <row r="627" ht="15.75" customHeight="1">
      <c r="A627" s="7"/>
      <c r="B627" s="7"/>
      <c r="C627" s="7"/>
      <c r="D627" s="7"/>
      <c r="E627" s="7"/>
      <c r="F627" s="7"/>
    </row>
    <row r="628" ht="15.75" customHeight="1">
      <c r="A628" s="7"/>
      <c r="B628" s="7"/>
      <c r="C628" s="7"/>
      <c r="D628" s="7"/>
      <c r="E628" s="7"/>
      <c r="F628" s="7"/>
    </row>
    <row r="629" ht="15.75" customHeight="1">
      <c r="A629" s="7"/>
      <c r="B629" s="7"/>
      <c r="C629" s="7"/>
      <c r="D629" s="7"/>
      <c r="E629" s="7"/>
      <c r="F629" s="7"/>
    </row>
    <row r="630" ht="15.75" customHeight="1">
      <c r="A630" s="7"/>
      <c r="B630" s="7"/>
      <c r="C630" s="7"/>
      <c r="D630" s="7"/>
      <c r="E630" s="7"/>
      <c r="F630" s="7"/>
    </row>
    <row r="631" ht="15.75" customHeight="1">
      <c r="A631" s="7"/>
      <c r="B631" s="7"/>
      <c r="C631" s="7"/>
      <c r="D631" s="7"/>
      <c r="E631" s="7"/>
      <c r="F631" s="7"/>
    </row>
    <row r="632" ht="15.75" customHeight="1">
      <c r="A632" s="7"/>
      <c r="B632" s="7"/>
      <c r="C632" s="7"/>
      <c r="D632" s="7"/>
      <c r="E632" s="7"/>
      <c r="F632" s="7"/>
    </row>
    <row r="633" ht="15.75" customHeight="1">
      <c r="A633" s="7"/>
      <c r="B633" s="7"/>
      <c r="C633" s="7"/>
      <c r="D633" s="7"/>
      <c r="E633" s="7"/>
      <c r="F633" s="7"/>
    </row>
    <row r="634" ht="15.75" customHeight="1">
      <c r="A634" s="7"/>
      <c r="B634" s="7"/>
      <c r="C634" s="7"/>
      <c r="D634" s="7"/>
      <c r="E634" s="7"/>
      <c r="F634" s="7"/>
    </row>
    <row r="635" ht="15.75" customHeight="1">
      <c r="A635" s="7"/>
      <c r="B635" s="7"/>
      <c r="C635" s="7"/>
      <c r="D635" s="7"/>
      <c r="E635" s="7"/>
      <c r="F635" s="7"/>
    </row>
    <row r="636" ht="15.75" customHeight="1">
      <c r="A636" s="7"/>
      <c r="B636" s="7"/>
      <c r="C636" s="7"/>
      <c r="D636" s="7"/>
      <c r="E636" s="7"/>
      <c r="F636" s="7"/>
    </row>
    <row r="637" ht="15.75" customHeight="1">
      <c r="A637" s="7"/>
      <c r="B637" s="7"/>
      <c r="C637" s="7"/>
      <c r="D637" s="7"/>
      <c r="E637" s="7"/>
      <c r="F637" s="7"/>
    </row>
    <row r="638" ht="15.75" customHeight="1">
      <c r="A638" s="7"/>
      <c r="B638" s="7"/>
      <c r="C638" s="7"/>
      <c r="D638" s="7"/>
      <c r="E638" s="7"/>
      <c r="F638" s="7"/>
    </row>
    <row r="639" ht="15.75" customHeight="1">
      <c r="A639" s="7"/>
      <c r="B639" s="7"/>
      <c r="C639" s="7"/>
      <c r="D639" s="7"/>
      <c r="E639" s="7"/>
      <c r="F639" s="7"/>
    </row>
    <row r="640" ht="15.75" customHeight="1">
      <c r="A640" s="7"/>
      <c r="B640" s="7"/>
      <c r="C640" s="7"/>
      <c r="D640" s="7"/>
      <c r="E640" s="7"/>
      <c r="F640" s="7"/>
    </row>
    <row r="641" ht="15.75" customHeight="1">
      <c r="A641" s="7"/>
      <c r="B641" s="7"/>
      <c r="C641" s="7"/>
      <c r="D641" s="7"/>
      <c r="E641" s="7"/>
      <c r="F641" s="7"/>
    </row>
    <row r="642" ht="15.75" customHeight="1">
      <c r="A642" s="7"/>
      <c r="B642" s="7"/>
      <c r="C642" s="7"/>
      <c r="D642" s="7"/>
      <c r="E642" s="7"/>
      <c r="F642" s="7"/>
    </row>
    <row r="643" ht="15.75" customHeight="1">
      <c r="A643" s="7"/>
      <c r="B643" s="7"/>
      <c r="C643" s="7"/>
      <c r="D643" s="7"/>
      <c r="E643" s="7"/>
      <c r="F643" s="7"/>
    </row>
    <row r="644" ht="15.75" customHeight="1">
      <c r="A644" s="7"/>
      <c r="B644" s="7"/>
      <c r="C644" s="7"/>
      <c r="D644" s="7"/>
      <c r="E644" s="7"/>
      <c r="F644" s="7"/>
    </row>
    <row r="645" ht="15.75" customHeight="1">
      <c r="A645" s="7"/>
      <c r="B645" s="7"/>
      <c r="C645" s="7"/>
      <c r="D645" s="7"/>
      <c r="E645" s="7"/>
      <c r="F645" s="7"/>
    </row>
    <row r="646" ht="15.75" customHeight="1">
      <c r="A646" s="7"/>
      <c r="B646" s="7"/>
      <c r="C646" s="7"/>
      <c r="D646" s="7"/>
      <c r="E646" s="7"/>
      <c r="F646" s="7"/>
    </row>
    <row r="647" ht="15.75" customHeight="1">
      <c r="A647" s="7"/>
      <c r="B647" s="7"/>
      <c r="C647" s="7"/>
      <c r="D647" s="7"/>
      <c r="E647" s="7"/>
      <c r="F647" s="7"/>
    </row>
    <row r="648" ht="15.75" customHeight="1">
      <c r="A648" s="7"/>
      <c r="B648" s="7"/>
      <c r="C648" s="7"/>
      <c r="D648" s="7"/>
      <c r="E648" s="7"/>
      <c r="F648" s="7"/>
    </row>
    <row r="649" ht="15.75" customHeight="1">
      <c r="A649" s="7"/>
      <c r="B649" s="7"/>
      <c r="C649" s="7"/>
      <c r="D649" s="7"/>
      <c r="E649" s="7"/>
      <c r="F649" s="7"/>
    </row>
    <row r="650" ht="15.75" customHeight="1">
      <c r="A650" s="7"/>
      <c r="B650" s="7"/>
      <c r="C650" s="7"/>
      <c r="D650" s="7"/>
      <c r="E650" s="7"/>
      <c r="F650" s="7"/>
    </row>
    <row r="651" ht="15.75" customHeight="1">
      <c r="A651" s="7"/>
      <c r="B651" s="7"/>
      <c r="C651" s="7"/>
      <c r="D651" s="7"/>
      <c r="E651" s="7"/>
      <c r="F651" s="7"/>
    </row>
    <row r="652" ht="15.75" customHeight="1">
      <c r="A652" s="7"/>
      <c r="B652" s="7"/>
      <c r="C652" s="7"/>
      <c r="D652" s="7"/>
      <c r="E652" s="7"/>
      <c r="F652" s="7"/>
    </row>
    <row r="653" ht="15.75" customHeight="1">
      <c r="A653" s="7"/>
      <c r="B653" s="7"/>
      <c r="C653" s="7"/>
      <c r="D653" s="7"/>
      <c r="E653" s="7"/>
      <c r="F653" s="7"/>
    </row>
    <row r="654" ht="15.75" customHeight="1">
      <c r="A654" s="7"/>
      <c r="B654" s="7"/>
      <c r="C654" s="7"/>
      <c r="D654" s="7"/>
      <c r="E654" s="7"/>
      <c r="F654" s="7"/>
    </row>
    <row r="655" ht="15.75" customHeight="1">
      <c r="A655" s="7"/>
      <c r="B655" s="7"/>
      <c r="C655" s="7"/>
      <c r="D655" s="7"/>
      <c r="E655" s="7"/>
      <c r="F655" s="7"/>
    </row>
    <row r="656" ht="15.75" customHeight="1">
      <c r="A656" s="7"/>
      <c r="B656" s="7"/>
      <c r="C656" s="7"/>
      <c r="D656" s="7"/>
      <c r="E656" s="7"/>
      <c r="F656" s="7"/>
    </row>
    <row r="657" ht="15.75" customHeight="1">
      <c r="A657" s="7"/>
      <c r="B657" s="7"/>
      <c r="C657" s="7"/>
      <c r="D657" s="7"/>
      <c r="E657" s="7"/>
      <c r="F657" s="7"/>
    </row>
    <row r="658" ht="15.75" customHeight="1">
      <c r="A658" s="7"/>
      <c r="B658" s="7"/>
      <c r="C658" s="7"/>
      <c r="D658" s="7"/>
      <c r="E658" s="7"/>
      <c r="F658" s="7"/>
    </row>
    <row r="659" ht="15.75" customHeight="1">
      <c r="A659" s="7"/>
      <c r="B659" s="7"/>
      <c r="C659" s="7"/>
      <c r="D659" s="7"/>
      <c r="E659" s="7"/>
      <c r="F659" s="7"/>
    </row>
    <row r="660" ht="15.75" customHeight="1">
      <c r="A660" s="7"/>
      <c r="B660" s="7"/>
      <c r="C660" s="7"/>
      <c r="D660" s="7"/>
      <c r="E660" s="7"/>
      <c r="F660" s="7"/>
    </row>
    <row r="661" ht="15.75" customHeight="1">
      <c r="A661" s="7"/>
      <c r="B661" s="7"/>
      <c r="C661" s="7"/>
      <c r="D661" s="7"/>
      <c r="E661" s="7"/>
      <c r="F661" s="7"/>
    </row>
    <row r="662" ht="15.75" customHeight="1">
      <c r="A662" s="7"/>
      <c r="B662" s="7"/>
      <c r="C662" s="7"/>
      <c r="D662" s="7"/>
      <c r="E662" s="7"/>
      <c r="F662" s="7"/>
    </row>
    <row r="663" ht="15.75" customHeight="1">
      <c r="A663" s="7"/>
      <c r="B663" s="7"/>
      <c r="C663" s="7"/>
      <c r="D663" s="7"/>
      <c r="E663" s="7"/>
      <c r="F663" s="7"/>
    </row>
    <row r="664" ht="15.75" customHeight="1">
      <c r="A664" s="7"/>
      <c r="B664" s="7"/>
      <c r="C664" s="7"/>
      <c r="D664" s="7"/>
      <c r="E664" s="7"/>
      <c r="F664" s="7"/>
    </row>
    <row r="665" ht="15.75" customHeight="1">
      <c r="A665" s="7"/>
      <c r="B665" s="7"/>
      <c r="C665" s="7"/>
      <c r="D665" s="7"/>
      <c r="E665" s="7"/>
      <c r="F665" s="7"/>
    </row>
    <row r="666" ht="15.75" customHeight="1">
      <c r="A666" s="7"/>
      <c r="B666" s="7"/>
      <c r="C666" s="7"/>
      <c r="D666" s="7"/>
      <c r="E666" s="7"/>
      <c r="F666" s="7"/>
    </row>
    <row r="667" ht="15.75" customHeight="1">
      <c r="A667" s="7"/>
      <c r="B667" s="7"/>
      <c r="C667" s="7"/>
      <c r="D667" s="7"/>
      <c r="E667" s="7"/>
      <c r="F667" s="7"/>
    </row>
    <row r="668" ht="15.75" customHeight="1">
      <c r="A668" s="7"/>
      <c r="B668" s="7"/>
      <c r="C668" s="7"/>
      <c r="D668" s="7"/>
      <c r="E668" s="7"/>
      <c r="F668" s="7"/>
    </row>
    <row r="669" ht="15.75" customHeight="1">
      <c r="A669" s="7"/>
      <c r="B669" s="7"/>
      <c r="C669" s="7"/>
      <c r="D669" s="7"/>
      <c r="E669" s="7"/>
      <c r="F669" s="7"/>
    </row>
    <row r="670" ht="15.75" customHeight="1">
      <c r="A670" s="7"/>
      <c r="B670" s="7"/>
      <c r="C670" s="7"/>
      <c r="D670" s="7"/>
      <c r="E670" s="7"/>
      <c r="F670" s="7"/>
    </row>
    <row r="671" ht="15.75" customHeight="1">
      <c r="A671" s="7"/>
      <c r="B671" s="7"/>
      <c r="C671" s="7"/>
      <c r="D671" s="7"/>
      <c r="E671" s="7"/>
      <c r="F671" s="7"/>
    </row>
    <row r="672" ht="15.75" customHeight="1">
      <c r="A672" s="7"/>
      <c r="B672" s="7"/>
      <c r="C672" s="7"/>
      <c r="D672" s="7"/>
      <c r="E672" s="7"/>
      <c r="F672" s="7"/>
    </row>
    <row r="673" ht="15.75" customHeight="1">
      <c r="A673" s="7"/>
      <c r="B673" s="7"/>
      <c r="C673" s="7"/>
      <c r="D673" s="7"/>
      <c r="E673" s="7"/>
      <c r="F673" s="7"/>
    </row>
    <row r="674" ht="15.75" customHeight="1">
      <c r="A674" s="7"/>
      <c r="B674" s="7"/>
      <c r="C674" s="7"/>
      <c r="D674" s="7"/>
      <c r="E674" s="7"/>
      <c r="F674" s="7"/>
    </row>
    <row r="675" ht="15.75" customHeight="1">
      <c r="A675" s="7"/>
      <c r="B675" s="7"/>
      <c r="C675" s="7"/>
      <c r="D675" s="7"/>
      <c r="E675" s="7"/>
      <c r="F675" s="7"/>
    </row>
    <row r="676" ht="15.75" customHeight="1">
      <c r="A676" s="7"/>
      <c r="B676" s="7"/>
      <c r="C676" s="7"/>
      <c r="D676" s="7"/>
      <c r="E676" s="7"/>
      <c r="F676" s="7"/>
    </row>
    <row r="677" ht="15.75" customHeight="1">
      <c r="A677" s="7"/>
      <c r="B677" s="7"/>
      <c r="C677" s="7"/>
      <c r="D677" s="7"/>
      <c r="E677" s="7"/>
      <c r="F677" s="7"/>
    </row>
    <row r="678" ht="15.75" customHeight="1">
      <c r="A678" s="7"/>
      <c r="B678" s="7"/>
      <c r="C678" s="7"/>
      <c r="D678" s="7"/>
      <c r="E678" s="7"/>
      <c r="F678" s="7"/>
    </row>
    <row r="679" ht="15.75" customHeight="1">
      <c r="A679" s="7"/>
      <c r="B679" s="7"/>
      <c r="C679" s="7"/>
      <c r="D679" s="7"/>
      <c r="E679" s="7"/>
      <c r="F679" s="7"/>
    </row>
    <row r="680" ht="15.75" customHeight="1">
      <c r="A680" s="7"/>
      <c r="B680" s="7"/>
      <c r="C680" s="7"/>
      <c r="D680" s="7"/>
      <c r="E680" s="7"/>
      <c r="F680" s="7"/>
    </row>
    <row r="681" ht="15.75" customHeight="1">
      <c r="A681" s="7"/>
      <c r="B681" s="7"/>
      <c r="C681" s="7"/>
      <c r="D681" s="7"/>
      <c r="E681" s="7"/>
      <c r="F681" s="7"/>
    </row>
    <row r="682" ht="15.75" customHeight="1">
      <c r="A682" s="7"/>
      <c r="B682" s="7"/>
      <c r="C682" s="7"/>
      <c r="D682" s="7"/>
      <c r="E682" s="7"/>
      <c r="F682" s="7"/>
    </row>
    <row r="683" ht="15.75" customHeight="1">
      <c r="A683" s="7"/>
      <c r="B683" s="7"/>
      <c r="C683" s="7"/>
      <c r="D683" s="7"/>
      <c r="E683" s="7"/>
      <c r="F683" s="7"/>
    </row>
    <row r="684" ht="15.75" customHeight="1">
      <c r="A684" s="7"/>
      <c r="B684" s="7"/>
      <c r="C684" s="7"/>
      <c r="D684" s="7"/>
      <c r="E684" s="7"/>
      <c r="F684" s="7"/>
    </row>
    <row r="685" ht="15.75" customHeight="1">
      <c r="A685" s="7"/>
      <c r="B685" s="7"/>
      <c r="C685" s="7"/>
      <c r="D685" s="7"/>
      <c r="E685" s="7"/>
      <c r="F685" s="7"/>
    </row>
    <row r="686" ht="15.75" customHeight="1">
      <c r="A686" s="7"/>
      <c r="B686" s="7"/>
      <c r="C686" s="7"/>
      <c r="D686" s="7"/>
      <c r="E686" s="7"/>
      <c r="F686" s="7"/>
    </row>
    <row r="687" ht="15.75" customHeight="1">
      <c r="A687" s="7"/>
      <c r="B687" s="7"/>
      <c r="C687" s="7"/>
      <c r="D687" s="7"/>
      <c r="E687" s="7"/>
      <c r="F687" s="7"/>
    </row>
    <row r="688" ht="15.75" customHeight="1">
      <c r="A688" s="7"/>
      <c r="B688" s="7"/>
      <c r="C688" s="7"/>
      <c r="D688" s="7"/>
      <c r="E688" s="7"/>
      <c r="F688" s="7"/>
    </row>
    <row r="689" ht="15.75" customHeight="1">
      <c r="A689" s="7"/>
      <c r="B689" s="7"/>
      <c r="C689" s="7"/>
      <c r="D689" s="7"/>
      <c r="E689" s="7"/>
      <c r="F689" s="7"/>
    </row>
    <row r="690" ht="15.75" customHeight="1">
      <c r="A690" s="7"/>
      <c r="B690" s="7"/>
      <c r="C690" s="7"/>
      <c r="D690" s="7"/>
      <c r="E690" s="7"/>
      <c r="F690" s="7"/>
    </row>
    <row r="691" ht="15.75" customHeight="1">
      <c r="A691" s="7"/>
      <c r="B691" s="7"/>
      <c r="C691" s="7"/>
      <c r="D691" s="7"/>
      <c r="E691" s="7"/>
      <c r="F691" s="7"/>
    </row>
    <row r="692" ht="15.75" customHeight="1">
      <c r="A692" s="7"/>
      <c r="B692" s="7"/>
      <c r="C692" s="7"/>
      <c r="D692" s="7"/>
      <c r="E692" s="7"/>
      <c r="F692" s="7"/>
    </row>
    <row r="693" ht="15.75" customHeight="1">
      <c r="A693" s="7"/>
      <c r="B693" s="7"/>
      <c r="C693" s="7"/>
      <c r="D693" s="7"/>
      <c r="E693" s="7"/>
      <c r="F693" s="7"/>
    </row>
    <row r="694" ht="15.75" customHeight="1">
      <c r="A694" s="7"/>
      <c r="B694" s="7"/>
      <c r="C694" s="7"/>
      <c r="D694" s="7"/>
      <c r="E694" s="7"/>
      <c r="F694" s="7"/>
    </row>
    <row r="695" ht="15.75" customHeight="1">
      <c r="A695" s="7"/>
      <c r="B695" s="7"/>
      <c r="C695" s="7"/>
      <c r="D695" s="7"/>
      <c r="E695" s="7"/>
      <c r="F695" s="7"/>
    </row>
    <row r="696" ht="15.75" customHeight="1">
      <c r="A696" s="7"/>
      <c r="B696" s="7"/>
      <c r="C696" s="7"/>
      <c r="D696" s="7"/>
      <c r="E696" s="7"/>
      <c r="F696" s="7"/>
    </row>
    <row r="697" ht="15.75" customHeight="1">
      <c r="A697" s="7"/>
      <c r="B697" s="7"/>
      <c r="C697" s="7"/>
      <c r="D697" s="7"/>
      <c r="E697" s="7"/>
      <c r="F697" s="7"/>
    </row>
    <row r="698" ht="15.75" customHeight="1">
      <c r="A698" s="7"/>
      <c r="B698" s="7"/>
      <c r="C698" s="7"/>
      <c r="D698" s="7"/>
      <c r="E698" s="7"/>
      <c r="F698" s="7"/>
    </row>
    <row r="699" ht="15.75" customHeight="1">
      <c r="A699" s="7"/>
      <c r="B699" s="7"/>
      <c r="C699" s="7"/>
      <c r="D699" s="7"/>
      <c r="E699" s="7"/>
      <c r="F699" s="7"/>
    </row>
    <row r="700" ht="15.75" customHeight="1">
      <c r="A700" s="7"/>
      <c r="B700" s="7"/>
      <c r="C700" s="7"/>
      <c r="D700" s="7"/>
      <c r="E700" s="7"/>
      <c r="F700" s="7"/>
    </row>
    <row r="701" ht="15.75" customHeight="1">
      <c r="A701" s="7"/>
      <c r="B701" s="7"/>
      <c r="C701" s="7"/>
      <c r="D701" s="7"/>
      <c r="E701" s="7"/>
      <c r="F701" s="7"/>
    </row>
    <row r="702" ht="15.75" customHeight="1">
      <c r="A702" s="7"/>
      <c r="B702" s="7"/>
      <c r="C702" s="7"/>
      <c r="D702" s="7"/>
      <c r="E702" s="7"/>
      <c r="F702" s="7"/>
    </row>
    <row r="703" ht="15.75" customHeight="1">
      <c r="A703" s="7"/>
      <c r="B703" s="7"/>
      <c r="C703" s="7"/>
      <c r="D703" s="7"/>
      <c r="E703" s="7"/>
      <c r="F703" s="7"/>
    </row>
    <row r="704" ht="15.75" customHeight="1">
      <c r="A704" s="7"/>
      <c r="B704" s="7"/>
      <c r="C704" s="7"/>
      <c r="D704" s="7"/>
      <c r="E704" s="7"/>
      <c r="F704" s="7"/>
    </row>
    <row r="705" ht="15.75" customHeight="1">
      <c r="A705" s="7"/>
      <c r="B705" s="7"/>
      <c r="C705" s="7"/>
      <c r="D705" s="7"/>
      <c r="E705" s="7"/>
      <c r="F705" s="7"/>
    </row>
    <row r="706" ht="15.75" customHeight="1">
      <c r="A706" s="7"/>
      <c r="B706" s="7"/>
      <c r="C706" s="7"/>
      <c r="D706" s="7"/>
      <c r="E706" s="7"/>
      <c r="F706" s="7"/>
    </row>
    <row r="707" ht="15.75" customHeight="1">
      <c r="A707" s="7"/>
      <c r="B707" s="7"/>
      <c r="C707" s="7"/>
      <c r="D707" s="7"/>
      <c r="E707" s="7"/>
      <c r="F707" s="7"/>
    </row>
    <row r="708" ht="15.75" customHeight="1">
      <c r="A708" s="7"/>
      <c r="B708" s="7"/>
      <c r="C708" s="7"/>
      <c r="D708" s="7"/>
      <c r="E708" s="7"/>
      <c r="F708" s="7"/>
    </row>
    <row r="709" ht="15.75" customHeight="1">
      <c r="A709" s="7"/>
      <c r="B709" s="7"/>
      <c r="C709" s="7"/>
      <c r="D709" s="7"/>
      <c r="E709" s="7"/>
      <c r="F709" s="7"/>
    </row>
    <row r="710" ht="15.75" customHeight="1">
      <c r="A710" s="7"/>
      <c r="B710" s="7"/>
      <c r="C710" s="7"/>
      <c r="D710" s="7"/>
      <c r="E710" s="7"/>
      <c r="F710" s="7"/>
    </row>
    <row r="711" ht="15.75" customHeight="1">
      <c r="A711" s="7"/>
      <c r="B711" s="7"/>
      <c r="C711" s="7"/>
      <c r="D711" s="7"/>
      <c r="E711" s="7"/>
      <c r="F711" s="7"/>
    </row>
    <row r="712" ht="15.75" customHeight="1">
      <c r="A712" s="7"/>
      <c r="B712" s="7"/>
      <c r="C712" s="7"/>
      <c r="D712" s="7"/>
      <c r="E712" s="7"/>
      <c r="F712" s="7"/>
    </row>
    <row r="713" ht="15.75" customHeight="1">
      <c r="A713" s="7"/>
      <c r="B713" s="7"/>
      <c r="C713" s="7"/>
      <c r="D713" s="7"/>
      <c r="E713" s="7"/>
      <c r="F713" s="7"/>
    </row>
    <row r="714" ht="15.75" customHeight="1">
      <c r="A714" s="7"/>
      <c r="B714" s="7"/>
      <c r="C714" s="7"/>
      <c r="D714" s="7"/>
      <c r="E714" s="7"/>
      <c r="F714" s="7"/>
    </row>
    <row r="715" ht="15.75" customHeight="1">
      <c r="A715" s="7"/>
      <c r="B715" s="7"/>
      <c r="C715" s="7"/>
      <c r="D715" s="7"/>
      <c r="E715" s="7"/>
      <c r="F715" s="7"/>
    </row>
    <row r="716" ht="15.75" customHeight="1">
      <c r="A716" s="7"/>
      <c r="B716" s="7"/>
      <c r="C716" s="7"/>
      <c r="D716" s="7"/>
      <c r="E716" s="7"/>
      <c r="F716" s="7"/>
    </row>
    <row r="717" ht="15.75" customHeight="1">
      <c r="A717" s="7"/>
      <c r="B717" s="7"/>
      <c r="C717" s="7"/>
      <c r="D717" s="7"/>
      <c r="E717" s="7"/>
      <c r="F717" s="7"/>
    </row>
    <row r="718" ht="15.75" customHeight="1">
      <c r="A718" s="7"/>
      <c r="B718" s="7"/>
      <c r="C718" s="7"/>
      <c r="D718" s="7"/>
      <c r="E718" s="7"/>
      <c r="F718" s="7"/>
    </row>
    <row r="719" ht="15.75" customHeight="1">
      <c r="A719" s="7"/>
      <c r="B719" s="7"/>
      <c r="C719" s="7"/>
      <c r="D719" s="7"/>
      <c r="E719" s="7"/>
      <c r="F719" s="7"/>
    </row>
    <row r="720" ht="15.75" customHeight="1">
      <c r="A720" s="7"/>
      <c r="B720" s="7"/>
      <c r="C720" s="7"/>
      <c r="D720" s="7"/>
      <c r="E720" s="7"/>
      <c r="F720" s="7"/>
    </row>
    <row r="721" ht="15.75" customHeight="1">
      <c r="A721" s="7"/>
      <c r="B721" s="7"/>
      <c r="C721" s="7"/>
      <c r="D721" s="7"/>
      <c r="E721" s="7"/>
      <c r="F721" s="7"/>
    </row>
    <row r="722" ht="15.75" customHeight="1">
      <c r="A722" s="7"/>
      <c r="B722" s="7"/>
      <c r="C722" s="7"/>
      <c r="D722" s="7"/>
      <c r="E722" s="7"/>
      <c r="F722" s="7"/>
    </row>
    <row r="723" ht="15.75" customHeight="1">
      <c r="A723" s="7"/>
      <c r="B723" s="7"/>
      <c r="C723" s="7"/>
      <c r="D723" s="7"/>
      <c r="E723" s="7"/>
      <c r="F723" s="7"/>
    </row>
    <row r="724" ht="15.75" customHeight="1">
      <c r="A724" s="7"/>
      <c r="B724" s="7"/>
      <c r="C724" s="7"/>
      <c r="D724" s="7"/>
      <c r="E724" s="7"/>
      <c r="F724" s="7"/>
    </row>
    <row r="725" ht="15.75" customHeight="1">
      <c r="A725" s="7"/>
      <c r="B725" s="7"/>
      <c r="C725" s="7"/>
      <c r="D725" s="7"/>
      <c r="E725" s="7"/>
      <c r="F725" s="7"/>
    </row>
    <row r="726" ht="15.75" customHeight="1">
      <c r="A726" s="7"/>
      <c r="B726" s="7"/>
      <c r="C726" s="7"/>
      <c r="D726" s="7"/>
      <c r="E726" s="7"/>
      <c r="F726" s="7"/>
    </row>
    <row r="727" ht="15.75" customHeight="1">
      <c r="A727" s="7"/>
      <c r="B727" s="7"/>
      <c r="C727" s="7"/>
      <c r="D727" s="7"/>
      <c r="E727" s="7"/>
      <c r="F727" s="7"/>
    </row>
    <row r="728" ht="15.75" customHeight="1">
      <c r="A728" s="7"/>
      <c r="B728" s="7"/>
      <c r="C728" s="7"/>
      <c r="D728" s="7"/>
      <c r="E728" s="7"/>
      <c r="F728" s="7"/>
    </row>
    <row r="729" ht="15.75" customHeight="1">
      <c r="A729" s="7"/>
      <c r="B729" s="7"/>
      <c r="C729" s="7"/>
      <c r="D729" s="7"/>
      <c r="E729" s="7"/>
      <c r="F729" s="7"/>
    </row>
    <row r="730" ht="15.75" customHeight="1">
      <c r="A730" s="7"/>
      <c r="B730" s="7"/>
      <c r="C730" s="7"/>
      <c r="D730" s="7"/>
      <c r="E730" s="7"/>
      <c r="F730" s="7"/>
    </row>
    <row r="731" ht="15.75" customHeight="1">
      <c r="A731" s="7"/>
      <c r="B731" s="7"/>
      <c r="C731" s="7"/>
      <c r="D731" s="7"/>
      <c r="E731" s="7"/>
      <c r="F731" s="7"/>
    </row>
    <row r="732" ht="15.75" customHeight="1">
      <c r="A732" s="7"/>
      <c r="B732" s="7"/>
      <c r="C732" s="7"/>
      <c r="D732" s="7"/>
      <c r="E732" s="7"/>
      <c r="F732" s="7"/>
    </row>
    <row r="733" ht="15.75" customHeight="1">
      <c r="A733" s="7"/>
      <c r="B733" s="7"/>
      <c r="C733" s="7"/>
      <c r="D733" s="7"/>
      <c r="E733" s="7"/>
      <c r="F733" s="7"/>
    </row>
    <row r="734" ht="15.75" customHeight="1">
      <c r="A734" s="7"/>
      <c r="B734" s="7"/>
      <c r="C734" s="7"/>
      <c r="D734" s="7"/>
      <c r="E734" s="7"/>
      <c r="F734" s="7"/>
    </row>
    <row r="735" ht="15.75" customHeight="1">
      <c r="A735" s="7"/>
      <c r="B735" s="7"/>
      <c r="C735" s="7"/>
      <c r="D735" s="7"/>
      <c r="E735" s="7"/>
      <c r="F735" s="7"/>
    </row>
    <row r="736" ht="15.75" customHeight="1">
      <c r="A736" s="7"/>
      <c r="B736" s="7"/>
      <c r="C736" s="7"/>
      <c r="D736" s="7"/>
      <c r="E736" s="7"/>
      <c r="F736" s="7"/>
    </row>
    <row r="737" ht="15.75" customHeight="1">
      <c r="A737" s="7"/>
      <c r="B737" s="7"/>
      <c r="C737" s="7"/>
      <c r="D737" s="7"/>
      <c r="E737" s="7"/>
      <c r="F737" s="7"/>
    </row>
    <row r="738" ht="15.75" customHeight="1">
      <c r="A738" s="7"/>
      <c r="B738" s="7"/>
      <c r="C738" s="7"/>
      <c r="D738" s="7"/>
      <c r="E738" s="7"/>
      <c r="F738" s="7"/>
    </row>
    <row r="739" ht="15.75" customHeight="1">
      <c r="A739" s="7"/>
      <c r="B739" s="7"/>
      <c r="C739" s="7"/>
      <c r="D739" s="7"/>
      <c r="E739" s="7"/>
      <c r="F739" s="7"/>
    </row>
    <row r="740" ht="15.75" customHeight="1">
      <c r="A740" s="7"/>
      <c r="B740" s="7"/>
      <c r="C740" s="7"/>
      <c r="D740" s="7"/>
      <c r="E740" s="7"/>
      <c r="F740" s="7"/>
    </row>
    <row r="741" ht="15.75" customHeight="1">
      <c r="A741" s="7"/>
      <c r="B741" s="7"/>
      <c r="C741" s="7"/>
      <c r="D741" s="7"/>
      <c r="E741" s="7"/>
      <c r="F741" s="7"/>
    </row>
    <row r="742" ht="15.75" customHeight="1">
      <c r="A742" s="7"/>
      <c r="B742" s="7"/>
      <c r="C742" s="7"/>
      <c r="D742" s="7"/>
      <c r="E742" s="7"/>
      <c r="F742" s="7"/>
    </row>
    <row r="743" ht="15.75" customHeight="1">
      <c r="A743" s="7"/>
      <c r="B743" s="7"/>
      <c r="C743" s="7"/>
      <c r="D743" s="7"/>
      <c r="E743" s="7"/>
      <c r="F743" s="7"/>
    </row>
    <row r="744" ht="15.75" customHeight="1">
      <c r="A744" s="7"/>
      <c r="B744" s="7"/>
      <c r="C744" s="7"/>
      <c r="D744" s="7"/>
      <c r="E744" s="7"/>
      <c r="F744" s="7"/>
    </row>
    <row r="745" ht="15.75" customHeight="1">
      <c r="A745" s="7"/>
      <c r="B745" s="7"/>
      <c r="C745" s="7"/>
      <c r="D745" s="7"/>
      <c r="E745" s="7"/>
      <c r="F745" s="7"/>
    </row>
    <row r="746" ht="15.75" customHeight="1">
      <c r="A746" s="7"/>
      <c r="B746" s="7"/>
      <c r="C746" s="7"/>
      <c r="D746" s="7"/>
      <c r="E746" s="7"/>
      <c r="F746" s="7"/>
    </row>
    <row r="747" ht="15.75" customHeight="1">
      <c r="A747" s="7"/>
      <c r="B747" s="7"/>
      <c r="C747" s="7"/>
      <c r="D747" s="7"/>
      <c r="E747" s="7"/>
      <c r="F747" s="7"/>
    </row>
    <row r="748" ht="15.75" customHeight="1">
      <c r="A748" s="7"/>
      <c r="B748" s="7"/>
      <c r="C748" s="7"/>
      <c r="D748" s="7"/>
      <c r="E748" s="7"/>
      <c r="F748" s="7"/>
    </row>
    <row r="749" ht="15.75" customHeight="1">
      <c r="A749" s="7"/>
      <c r="B749" s="7"/>
      <c r="C749" s="7"/>
      <c r="D749" s="7"/>
      <c r="E749" s="7"/>
      <c r="F749" s="7"/>
    </row>
    <row r="750" ht="15.75" customHeight="1">
      <c r="A750" s="7"/>
      <c r="B750" s="7"/>
      <c r="C750" s="7"/>
      <c r="D750" s="7"/>
      <c r="E750" s="7"/>
      <c r="F750" s="7"/>
    </row>
    <row r="751" ht="15.75" customHeight="1">
      <c r="A751" s="7"/>
      <c r="B751" s="7"/>
      <c r="C751" s="7"/>
      <c r="D751" s="7"/>
      <c r="E751" s="7"/>
      <c r="F751" s="7"/>
    </row>
    <row r="752" ht="15.75" customHeight="1">
      <c r="A752" s="7"/>
      <c r="B752" s="7"/>
      <c r="C752" s="7"/>
      <c r="D752" s="7"/>
      <c r="E752" s="7"/>
      <c r="F752" s="7"/>
    </row>
    <row r="753" ht="15.75" customHeight="1">
      <c r="A753" s="7"/>
      <c r="B753" s="7"/>
      <c r="C753" s="7"/>
      <c r="D753" s="7"/>
      <c r="E753" s="7"/>
      <c r="F753" s="7"/>
    </row>
    <row r="754" ht="15.75" customHeight="1">
      <c r="A754" s="7"/>
      <c r="B754" s="7"/>
      <c r="C754" s="7"/>
      <c r="D754" s="7"/>
      <c r="E754" s="7"/>
      <c r="F754" s="7"/>
    </row>
    <row r="755" ht="15.75" customHeight="1">
      <c r="A755" s="7"/>
      <c r="B755" s="7"/>
      <c r="C755" s="7"/>
      <c r="D755" s="7"/>
      <c r="E755" s="7"/>
      <c r="F755" s="7"/>
    </row>
    <row r="756" ht="15.75" customHeight="1">
      <c r="A756" s="7"/>
      <c r="B756" s="7"/>
      <c r="C756" s="7"/>
      <c r="D756" s="7"/>
      <c r="E756" s="7"/>
      <c r="F756" s="7"/>
    </row>
    <row r="757" ht="15.75" customHeight="1">
      <c r="A757" s="7"/>
      <c r="B757" s="7"/>
      <c r="C757" s="7"/>
      <c r="D757" s="7"/>
      <c r="E757" s="7"/>
      <c r="F757" s="7"/>
    </row>
    <row r="758" ht="15.75" customHeight="1">
      <c r="A758" s="7"/>
      <c r="B758" s="7"/>
      <c r="C758" s="7"/>
      <c r="D758" s="7"/>
      <c r="E758" s="7"/>
      <c r="F758" s="7"/>
    </row>
    <row r="759" ht="15.75" customHeight="1">
      <c r="A759" s="7"/>
      <c r="B759" s="7"/>
      <c r="C759" s="7"/>
      <c r="D759" s="7"/>
      <c r="E759" s="7"/>
      <c r="F759" s="7"/>
    </row>
    <row r="760" ht="15.75" customHeight="1">
      <c r="A760" s="7"/>
      <c r="B760" s="7"/>
      <c r="C760" s="7"/>
      <c r="D760" s="7"/>
      <c r="E760" s="7"/>
      <c r="F760" s="7"/>
    </row>
    <row r="761" ht="15.75" customHeight="1">
      <c r="A761" s="7"/>
      <c r="B761" s="7"/>
      <c r="C761" s="7"/>
      <c r="D761" s="7"/>
      <c r="E761" s="7"/>
      <c r="F761" s="7"/>
    </row>
    <row r="762" ht="15.75" customHeight="1">
      <c r="A762" s="7"/>
      <c r="B762" s="7"/>
      <c r="C762" s="7"/>
      <c r="D762" s="7"/>
      <c r="E762" s="7"/>
      <c r="F762" s="7"/>
    </row>
    <row r="763" ht="15.75" customHeight="1">
      <c r="A763" s="7"/>
      <c r="B763" s="7"/>
      <c r="C763" s="7"/>
      <c r="D763" s="7"/>
      <c r="E763" s="7"/>
      <c r="F763" s="7"/>
    </row>
    <row r="764" ht="15.75" customHeight="1">
      <c r="A764" s="7"/>
      <c r="B764" s="7"/>
      <c r="C764" s="7"/>
      <c r="D764" s="7"/>
      <c r="E764" s="7"/>
      <c r="F764" s="7"/>
    </row>
    <row r="765" ht="15.75" customHeight="1">
      <c r="A765" s="7"/>
      <c r="B765" s="7"/>
      <c r="C765" s="7"/>
      <c r="D765" s="7"/>
      <c r="E765" s="7"/>
      <c r="F765" s="7"/>
    </row>
    <row r="766" ht="15.75" customHeight="1">
      <c r="A766" s="7"/>
      <c r="B766" s="7"/>
      <c r="C766" s="7"/>
      <c r="D766" s="7"/>
      <c r="E766" s="7"/>
      <c r="F766" s="7"/>
    </row>
    <row r="767" ht="15.75" customHeight="1">
      <c r="A767" s="7"/>
      <c r="B767" s="7"/>
      <c r="C767" s="7"/>
      <c r="D767" s="7"/>
      <c r="E767" s="7"/>
      <c r="F767" s="7"/>
    </row>
    <row r="768" ht="15.75" customHeight="1">
      <c r="A768" s="7"/>
      <c r="B768" s="7"/>
      <c r="C768" s="7"/>
      <c r="D768" s="7"/>
      <c r="E768" s="7"/>
      <c r="F768" s="7"/>
    </row>
    <row r="769" ht="15.75" customHeight="1">
      <c r="A769" s="7"/>
      <c r="B769" s="7"/>
      <c r="C769" s="7"/>
      <c r="D769" s="7"/>
      <c r="E769" s="7"/>
      <c r="F769" s="7"/>
    </row>
    <row r="770" ht="15.75" customHeight="1">
      <c r="A770" s="7"/>
      <c r="B770" s="7"/>
      <c r="C770" s="7"/>
      <c r="D770" s="7"/>
      <c r="E770" s="7"/>
      <c r="F770" s="7"/>
    </row>
    <row r="771" ht="15.75" customHeight="1">
      <c r="A771" s="7"/>
      <c r="B771" s="7"/>
      <c r="C771" s="7"/>
      <c r="D771" s="7"/>
      <c r="E771" s="7"/>
      <c r="F771" s="7"/>
    </row>
    <row r="772" ht="15.75" customHeight="1">
      <c r="A772" s="7"/>
      <c r="B772" s="7"/>
      <c r="C772" s="7"/>
      <c r="D772" s="7"/>
      <c r="E772" s="7"/>
      <c r="F772" s="7"/>
    </row>
    <row r="773" ht="15.75" customHeight="1">
      <c r="A773" s="7"/>
      <c r="B773" s="7"/>
      <c r="C773" s="7"/>
      <c r="D773" s="7"/>
      <c r="E773" s="7"/>
      <c r="F773" s="7"/>
    </row>
    <row r="774" ht="15.75" customHeight="1">
      <c r="A774" s="7"/>
      <c r="B774" s="7"/>
      <c r="C774" s="7"/>
      <c r="D774" s="7"/>
      <c r="E774" s="7"/>
      <c r="F774" s="7"/>
    </row>
    <row r="775" ht="15.75" customHeight="1">
      <c r="A775" s="7"/>
      <c r="B775" s="7"/>
      <c r="C775" s="7"/>
      <c r="D775" s="7"/>
      <c r="E775" s="7"/>
      <c r="F775" s="7"/>
    </row>
    <row r="776" ht="15.75" customHeight="1">
      <c r="A776" s="7"/>
      <c r="B776" s="7"/>
      <c r="C776" s="7"/>
      <c r="D776" s="7"/>
      <c r="E776" s="7"/>
      <c r="F776" s="7"/>
    </row>
    <row r="777" ht="15.75" customHeight="1">
      <c r="A777" s="7"/>
      <c r="B777" s="7"/>
      <c r="C777" s="7"/>
      <c r="D777" s="7"/>
      <c r="E777" s="7"/>
      <c r="F777" s="7"/>
    </row>
    <row r="778" ht="15.75" customHeight="1">
      <c r="A778" s="7"/>
      <c r="B778" s="7"/>
      <c r="C778" s="7"/>
      <c r="D778" s="7"/>
      <c r="E778" s="7"/>
      <c r="F778" s="7"/>
    </row>
    <row r="779" ht="15.75" customHeight="1">
      <c r="A779" s="7"/>
      <c r="B779" s="7"/>
      <c r="C779" s="7"/>
      <c r="D779" s="7"/>
      <c r="E779" s="7"/>
      <c r="F779" s="7"/>
    </row>
    <row r="780" ht="15.75" customHeight="1">
      <c r="A780" s="7"/>
      <c r="B780" s="7"/>
      <c r="C780" s="7"/>
      <c r="D780" s="7"/>
      <c r="E780" s="7"/>
      <c r="F780" s="7"/>
    </row>
    <row r="781" ht="15.75" customHeight="1">
      <c r="A781" s="7"/>
      <c r="B781" s="7"/>
      <c r="C781" s="7"/>
      <c r="D781" s="7"/>
      <c r="E781" s="7"/>
      <c r="F781" s="7"/>
    </row>
    <row r="782" ht="15.75" customHeight="1">
      <c r="A782" s="7"/>
      <c r="B782" s="7"/>
      <c r="C782" s="7"/>
      <c r="D782" s="7"/>
      <c r="E782" s="7"/>
      <c r="F782" s="7"/>
    </row>
    <row r="783" ht="15.75" customHeight="1">
      <c r="A783" s="7"/>
      <c r="B783" s="7"/>
      <c r="C783" s="7"/>
      <c r="D783" s="7"/>
      <c r="E783" s="7"/>
      <c r="F783" s="7"/>
    </row>
    <row r="784" ht="15.75" customHeight="1">
      <c r="A784" s="7"/>
      <c r="B784" s="7"/>
      <c r="C784" s="7"/>
      <c r="D784" s="7"/>
      <c r="E784" s="7"/>
      <c r="F784" s="7"/>
    </row>
    <row r="785" ht="15.75" customHeight="1">
      <c r="A785" s="7"/>
      <c r="B785" s="7"/>
      <c r="C785" s="7"/>
      <c r="D785" s="7"/>
      <c r="E785" s="7"/>
      <c r="F785" s="7"/>
    </row>
    <row r="786" ht="15.75" customHeight="1">
      <c r="A786" s="7"/>
      <c r="B786" s="7"/>
      <c r="C786" s="7"/>
      <c r="D786" s="7"/>
      <c r="E786" s="7"/>
      <c r="F786" s="7"/>
    </row>
    <row r="787" ht="15.75" customHeight="1">
      <c r="A787" s="7"/>
      <c r="B787" s="7"/>
      <c r="C787" s="7"/>
      <c r="D787" s="7"/>
      <c r="E787" s="7"/>
      <c r="F787" s="7"/>
    </row>
    <row r="788" ht="15.75" customHeight="1">
      <c r="A788" s="7"/>
      <c r="B788" s="7"/>
      <c r="C788" s="7"/>
      <c r="D788" s="7"/>
      <c r="E788" s="7"/>
      <c r="F788" s="7"/>
    </row>
    <row r="789" ht="15.75" customHeight="1">
      <c r="A789" s="7"/>
      <c r="B789" s="7"/>
      <c r="C789" s="7"/>
      <c r="D789" s="7"/>
      <c r="E789" s="7"/>
      <c r="F789" s="7"/>
    </row>
    <row r="790" ht="15.75" customHeight="1">
      <c r="A790" s="7"/>
      <c r="B790" s="7"/>
      <c r="C790" s="7"/>
      <c r="D790" s="7"/>
      <c r="E790" s="7"/>
      <c r="F790" s="7"/>
    </row>
    <row r="791" ht="15.75" customHeight="1">
      <c r="A791" s="7"/>
      <c r="B791" s="7"/>
      <c r="C791" s="7"/>
      <c r="D791" s="7"/>
      <c r="E791" s="7"/>
      <c r="F791" s="7"/>
    </row>
    <row r="792" ht="15.75" customHeight="1">
      <c r="A792" s="7"/>
      <c r="B792" s="7"/>
      <c r="C792" s="7"/>
      <c r="D792" s="7"/>
      <c r="E792" s="7"/>
      <c r="F792" s="7"/>
    </row>
    <row r="793" ht="15.75" customHeight="1">
      <c r="A793" s="7"/>
      <c r="B793" s="7"/>
      <c r="C793" s="7"/>
      <c r="D793" s="7"/>
      <c r="E793" s="7"/>
      <c r="F793" s="7"/>
    </row>
    <row r="794" ht="15.75" customHeight="1">
      <c r="A794" s="7"/>
      <c r="B794" s="7"/>
      <c r="C794" s="7"/>
      <c r="D794" s="7"/>
      <c r="E794" s="7"/>
      <c r="F794" s="7"/>
    </row>
    <row r="795" ht="15.75" customHeight="1">
      <c r="A795" s="7"/>
      <c r="B795" s="7"/>
      <c r="C795" s="7"/>
      <c r="D795" s="7"/>
      <c r="E795" s="7"/>
      <c r="F795" s="7"/>
    </row>
    <row r="796" ht="15.75" customHeight="1">
      <c r="A796" s="7"/>
      <c r="B796" s="7"/>
      <c r="C796" s="7"/>
      <c r="D796" s="7"/>
      <c r="E796" s="7"/>
      <c r="F796" s="7"/>
    </row>
    <row r="797" ht="15.75" customHeight="1">
      <c r="A797" s="7"/>
      <c r="B797" s="7"/>
      <c r="C797" s="7"/>
      <c r="D797" s="7"/>
      <c r="E797" s="7"/>
      <c r="F797" s="7"/>
    </row>
    <row r="798" ht="15.75" customHeight="1">
      <c r="A798" s="7"/>
      <c r="B798" s="7"/>
      <c r="C798" s="7"/>
      <c r="D798" s="7"/>
      <c r="E798" s="7"/>
      <c r="F798" s="7"/>
    </row>
    <row r="799" ht="15.75" customHeight="1">
      <c r="A799" s="7"/>
      <c r="B799" s="7"/>
      <c r="C799" s="7"/>
      <c r="D799" s="7"/>
      <c r="E799" s="7"/>
      <c r="F799" s="7"/>
    </row>
    <row r="800" ht="15.75" customHeight="1">
      <c r="A800" s="7"/>
      <c r="B800" s="7"/>
      <c r="C800" s="7"/>
      <c r="D800" s="7"/>
      <c r="E800" s="7"/>
      <c r="F800" s="7"/>
    </row>
    <row r="801" ht="15.75" customHeight="1">
      <c r="A801" s="7"/>
      <c r="B801" s="7"/>
      <c r="C801" s="7"/>
      <c r="D801" s="7"/>
      <c r="E801" s="7"/>
      <c r="F801" s="7"/>
    </row>
    <row r="802" ht="15.75" customHeight="1">
      <c r="A802" s="7"/>
      <c r="B802" s="7"/>
      <c r="C802" s="7"/>
      <c r="D802" s="7"/>
      <c r="E802" s="7"/>
      <c r="F802" s="7"/>
    </row>
    <row r="803" ht="15.75" customHeight="1">
      <c r="A803" s="7"/>
      <c r="B803" s="7"/>
      <c r="C803" s="7"/>
      <c r="D803" s="7"/>
      <c r="E803" s="7"/>
      <c r="F803" s="7"/>
    </row>
    <row r="804" ht="15.75" customHeight="1">
      <c r="A804" s="7"/>
      <c r="B804" s="7"/>
      <c r="C804" s="7"/>
      <c r="D804" s="7"/>
      <c r="E804" s="7"/>
      <c r="F804" s="7"/>
    </row>
    <row r="805" ht="15.75" customHeight="1">
      <c r="A805" s="7"/>
      <c r="B805" s="7"/>
      <c r="C805" s="7"/>
      <c r="D805" s="7"/>
      <c r="E805" s="7"/>
      <c r="F805" s="7"/>
    </row>
    <row r="806" ht="15.75" customHeight="1">
      <c r="A806" s="7"/>
      <c r="B806" s="7"/>
      <c r="C806" s="7"/>
      <c r="D806" s="7"/>
      <c r="E806" s="7"/>
      <c r="F806" s="7"/>
    </row>
    <row r="807" ht="15.75" customHeight="1">
      <c r="A807" s="7"/>
      <c r="B807" s="7"/>
      <c r="C807" s="7"/>
      <c r="D807" s="7"/>
      <c r="E807" s="7"/>
      <c r="F807" s="7"/>
    </row>
    <row r="808" ht="15.75" customHeight="1">
      <c r="A808" s="7"/>
      <c r="B808" s="7"/>
      <c r="C808" s="7"/>
      <c r="D808" s="7"/>
      <c r="E808" s="7"/>
      <c r="F808" s="7"/>
    </row>
    <row r="809" ht="15.75" customHeight="1">
      <c r="A809" s="7"/>
      <c r="B809" s="7"/>
      <c r="C809" s="7"/>
      <c r="D809" s="7"/>
      <c r="E809" s="7"/>
      <c r="F809" s="7"/>
    </row>
    <row r="810" ht="15.75" customHeight="1">
      <c r="A810" s="7"/>
      <c r="B810" s="7"/>
      <c r="C810" s="7"/>
      <c r="D810" s="7"/>
      <c r="E810" s="7"/>
      <c r="F810" s="7"/>
    </row>
    <row r="811" ht="15.75" customHeight="1">
      <c r="A811" s="7"/>
      <c r="B811" s="7"/>
      <c r="C811" s="7"/>
      <c r="D811" s="7"/>
      <c r="E811" s="7"/>
      <c r="F811" s="7"/>
    </row>
    <row r="812" ht="15.75" customHeight="1">
      <c r="A812" s="7"/>
      <c r="B812" s="7"/>
      <c r="C812" s="7"/>
      <c r="D812" s="7"/>
      <c r="E812" s="7"/>
      <c r="F812" s="7"/>
    </row>
    <row r="813" ht="15.75" customHeight="1">
      <c r="A813" s="7"/>
      <c r="B813" s="7"/>
      <c r="C813" s="7"/>
      <c r="D813" s="7"/>
      <c r="E813" s="7"/>
      <c r="F813" s="7"/>
    </row>
    <row r="814" ht="15.75" customHeight="1">
      <c r="A814" s="7"/>
      <c r="B814" s="7"/>
      <c r="C814" s="7"/>
      <c r="D814" s="7"/>
      <c r="E814" s="7"/>
      <c r="F814" s="7"/>
    </row>
    <row r="815" ht="15.75" customHeight="1">
      <c r="A815" s="7"/>
      <c r="B815" s="7"/>
      <c r="C815" s="7"/>
      <c r="D815" s="7"/>
      <c r="E815" s="7"/>
      <c r="F815" s="7"/>
    </row>
    <row r="816" ht="15.75" customHeight="1">
      <c r="A816" s="7"/>
      <c r="B816" s="7"/>
      <c r="C816" s="7"/>
      <c r="D816" s="7"/>
      <c r="E816" s="7"/>
      <c r="F816" s="7"/>
    </row>
    <row r="817" ht="15.75" customHeight="1">
      <c r="A817" s="7"/>
      <c r="B817" s="7"/>
      <c r="C817" s="7"/>
      <c r="D817" s="7"/>
      <c r="E817" s="7"/>
      <c r="F817" s="7"/>
    </row>
    <row r="818" ht="15.75" customHeight="1">
      <c r="A818" s="7"/>
      <c r="B818" s="7"/>
      <c r="C818" s="7"/>
      <c r="D818" s="7"/>
      <c r="E818" s="7"/>
      <c r="F818" s="7"/>
    </row>
    <row r="819" ht="15.75" customHeight="1">
      <c r="A819" s="7"/>
      <c r="B819" s="7"/>
      <c r="C819" s="7"/>
      <c r="D819" s="7"/>
      <c r="E819" s="7"/>
      <c r="F819" s="7"/>
    </row>
    <row r="820" ht="15.75" customHeight="1">
      <c r="A820" s="7"/>
      <c r="B820" s="7"/>
      <c r="C820" s="7"/>
      <c r="D820" s="7"/>
      <c r="E820" s="7"/>
      <c r="F820" s="7"/>
    </row>
    <row r="821" ht="15.75" customHeight="1">
      <c r="A821" s="7"/>
      <c r="B821" s="7"/>
      <c r="C821" s="7"/>
      <c r="D821" s="7"/>
      <c r="E821" s="7"/>
      <c r="F821" s="7"/>
    </row>
    <row r="822" ht="15.75" customHeight="1">
      <c r="A822" s="7"/>
      <c r="B822" s="7"/>
      <c r="C822" s="7"/>
      <c r="D822" s="7"/>
      <c r="E822" s="7"/>
      <c r="F822" s="7"/>
    </row>
    <row r="823" ht="15.75" customHeight="1">
      <c r="A823" s="7"/>
      <c r="B823" s="7"/>
      <c r="C823" s="7"/>
      <c r="D823" s="7"/>
      <c r="E823" s="7"/>
      <c r="F823" s="7"/>
    </row>
    <row r="824" ht="15.75" customHeight="1">
      <c r="A824" s="7"/>
      <c r="B824" s="7"/>
      <c r="C824" s="7"/>
      <c r="D824" s="7"/>
      <c r="E824" s="7"/>
      <c r="F824" s="7"/>
    </row>
    <row r="825" ht="15.75" customHeight="1">
      <c r="A825" s="7"/>
      <c r="B825" s="7"/>
      <c r="C825" s="7"/>
      <c r="D825" s="7"/>
      <c r="E825" s="7"/>
      <c r="F825" s="7"/>
    </row>
    <row r="826" ht="15.75" customHeight="1">
      <c r="A826" s="7"/>
      <c r="B826" s="7"/>
      <c r="C826" s="7"/>
      <c r="D826" s="7"/>
      <c r="E826" s="7"/>
      <c r="F826" s="7"/>
    </row>
    <row r="827" ht="15.75" customHeight="1">
      <c r="A827" s="7"/>
      <c r="B827" s="7"/>
      <c r="C827" s="7"/>
      <c r="D827" s="7"/>
      <c r="E827" s="7"/>
      <c r="F827" s="7"/>
    </row>
    <row r="828" ht="15.75" customHeight="1">
      <c r="A828" s="7"/>
      <c r="B828" s="7"/>
      <c r="C828" s="7"/>
      <c r="D828" s="7"/>
      <c r="E828" s="7"/>
      <c r="F828" s="7"/>
    </row>
    <row r="829" ht="15.75" customHeight="1">
      <c r="A829" s="7"/>
      <c r="B829" s="7"/>
      <c r="C829" s="7"/>
      <c r="D829" s="7"/>
      <c r="E829" s="7"/>
      <c r="F829" s="7"/>
    </row>
    <row r="830" ht="15.75" customHeight="1">
      <c r="A830" s="7"/>
      <c r="B830" s="7"/>
      <c r="C830" s="7"/>
      <c r="D830" s="7"/>
      <c r="E830" s="7"/>
      <c r="F830" s="7"/>
    </row>
    <row r="831" ht="15.75" customHeight="1">
      <c r="A831" s="7"/>
      <c r="B831" s="7"/>
      <c r="C831" s="7"/>
      <c r="D831" s="7"/>
      <c r="E831" s="7"/>
      <c r="F831" s="7"/>
    </row>
    <row r="832" ht="15.75" customHeight="1">
      <c r="A832" s="7"/>
      <c r="B832" s="7"/>
      <c r="C832" s="7"/>
      <c r="D832" s="7"/>
      <c r="E832" s="7"/>
      <c r="F832" s="7"/>
    </row>
    <row r="833" ht="15.75" customHeight="1">
      <c r="A833" s="7"/>
      <c r="B833" s="7"/>
      <c r="C833" s="7"/>
      <c r="D833" s="7"/>
      <c r="E833" s="7"/>
      <c r="F833" s="7"/>
    </row>
    <row r="834" ht="15.75" customHeight="1">
      <c r="A834" s="7"/>
      <c r="B834" s="7"/>
      <c r="C834" s="7"/>
      <c r="D834" s="7"/>
      <c r="E834" s="7"/>
      <c r="F834" s="7"/>
    </row>
    <row r="835" ht="15.75" customHeight="1">
      <c r="A835" s="7"/>
      <c r="B835" s="7"/>
      <c r="C835" s="7"/>
      <c r="D835" s="7"/>
      <c r="E835" s="7"/>
      <c r="F835" s="7"/>
    </row>
    <row r="836" ht="15.75" customHeight="1">
      <c r="A836" s="7"/>
      <c r="B836" s="7"/>
      <c r="C836" s="7"/>
      <c r="D836" s="7"/>
      <c r="E836" s="7"/>
      <c r="F836" s="7"/>
    </row>
    <row r="837" ht="15.75" customHeight="1">
      <c r="A837" s="7"/>
      <c r="B837" s="7"/>
      <c r="C837" s="7"/>
      <c r="D837" s="7"/>
      <c r="E837" s="7"/>
      <c r="F837" s="7"/>
    </row>
    <row r="838" ht="15.75" customHeight="1">
      <c r="A838" s="7"/>
      <c r="B838" s="7"/>
      <c r="C838" s="7"/>
      <c r="D838" s="7"/>
      <c r="E838" s="7"/>
      <c r="F838" s="7"/>
    </row>
    <row r="839" ht="15.75" customHeight="1">
      <c r="A839" s="7"/>
      <c r="B839" s="7"/>
      <c r="C839" s="7"/>
      <c r="D839" s="7"/>
      <c r="E839" s="7"/>
      <c r="F839" s="7"/>
    </row>
    <row r="840" ht="15.75" customHeight="1">
      <c r="A840" s="7"/>
      <c r="B840" s="7"/>
      <c r="C840" s="7"/>
      <c r="D840" s="7"/>
      <c r="E840" s="7"/>
      <c r="F840" s="7"/>
    </row>
    <row r="841" ht="15.75" customHeight="1">
      <c r="A841" s="7"/>
      <c r="B841" s="7"/>
      <c r="C841" s="7"/>
      <c r="D841" s="7"/>
      <c r="E841" s="7"/>
      <c r="F841" s="7"/>
    </row>
    <row r="842" ht="15.75" customHeight="1">
      <c r="A842" s="7"/>
      <c r="B842" s="7"/>
      <c r="C842" s="7"/>
      <c r="D842" s="7"/>
      <c r="E842" s="7"/>
      <c r="F842" s="7"/>
    </row>
    <row r="843" ht="15.75" customHeight="1">
      <c r="A843" s="7"/>
      <c r="B843" s="7"/>
      <c r="C843" s="7"/>
      <c r="D843" s="7"/>
      <c r="E843" s="7"/>
      <c r="F843" s="7"/>
    </row>
    <row r="844" ht="15.75" customHeight="1">
      <c r="A844" s="7"/>
      <c r="B844" s="7"/>
      <c r="C844" s="7"/>
      <c r="D844" s="7"/>
      <c r="E844" s="7"/>
      <c r="F844" s="7"/>
    </row>
    <row r="845" ht="15.75" customHeight="1">
      <c r="A845" s="7"/>
      <c r="B845" s="7"/>
      <c r="C845" s="7"/>
      <c r="D845" s="7"/>
      <c r="E845" s="7"/>
      <c r="F845" s="7"/>
    </row>
    <row r="846" ht="15.75" customHeight="1">
      <c r="A846" s="7"/>
      <c r="B846" s="7"/>
      <c r="C846" s="7"/>
      <c r="D846" s="7"/>
      <c r="E846" s="7"/>
      <c r="F846" s="7"/>
    </row>
    <row r="847" ht="15.75" customHeight="1">
      <c r="A847" s="7"/>
      <c r="B847" s="7"/>
      <c r="C847" s="7"/>
      <c r="D847" s="7"/>
      <c r="E847" s="7"/>
      <c r="F847" s="7"/>
    </row>
    <row r="848" ht="15.75" customHeight="1">
      <c r="A848" s="7"/>
      <c r="B848" s="7"/>
      <c r="C848" s="7"/>
      <c r="D848" s="7"/>
      <c r="E848" s="7"/>
      <c r="F848" s="7"/>
    </row>
    <row r="849" ht="15.75" customHeight="1">
      <c r="A849" s="7"/>
      <c r="B849" s="7"/>
      <c r="C849" s="7"/>
      <c r="D849" s="7"/>
      <c r="E849" s="7"/>
      <c r="F849" s="7"/>
    </row>
    <row r="850" ht="15.75" customHeight="1">
      <c r="A850" s="7"/>
      <c r="B850" s="7"/>
      <c r="C850" s="7"/>
      <c r="D850" s="7"/>
      <c r="E850" s="7"/>
      <c r="F850" s="7"/>
    </row>
    <row r="851" ht="15.75" customHeight="1">
      <c r="A851" s="7"/>
      <c r="B851" s="7"/>
      <c r="C851" s="7"/>
      <c r="D851" s="7"/>
      <c r="E851" s="7"/>
      <c r="F851" s="7"/>
    </row>
    <row r="852" ht="15.75" customHeight="1">
      <c r="A852" s="7"/>
      <c r="B852" s="7"/>
      <c r="C852" s="7"/>
      <c r="D852" s="7"/>
      <c r="E852" s="7"/>
      <c r="F852" s="7"/>
    </row>
    <row r="853" ht="15.75" customHeight="1">
      <c r="A853" s="7"/>
      <c r="B853" s="7"/>
      <c r="C853" s="7"/>
      <c r="D853" s="7"/>
      <c r="E853" s="7"/>
      <c r="F853" s="7"/>
    </row>
    <row r="854" ht="15.75" customHeight="1">
      <c r="A854" s="7"/>
      <c r="B854" s="7"/>
      <c r="C854" s="7"/>
      <c r="D854" s="7"/>
      <c r="E854" s="7"/>
      <c r="F854" s="7"/>
    </row>
    <row r="855" ht="15.75" customHeight="1">
      <c r="A855" s="7"/>
      <c r="B855" s="7"/>
      <c r="C855" s="7"/>
      <c r="D855" s="7"/>
      <c r="E855" s="7"/>
      <c r="F855" s="7"/>
    </row>
    <row r="856" ht="15.75" customHeight="1">
      <c r="A856" s="7"/>
      <c r="B856" s="7"/>
      <c r="C856" s="7"/>
      <c r="D856" s="7"/>
      <c r="E856" s="7"/>
      <c r="F856" s="7"/>
    </row>
    <row r="857" ht="15.75" customHeight="1">
      <c r="A857" s="7"/>
      <c r="B857" s="7"/>
      <c r="C857" s="7"/>
      <c r="D857" s="7"/>
      <c r="E857" s="7"/>
      <c r="F857" s="7"/>
    </row>
    <row r="858" ht="15.75" customHeight="1">
      <c r="A858" s="7"/>
      <c r="B858" s="7"/>
      <c r="C858" s="7"/>
      <c r="D858" s="7"/>
      <c r="E858" s="7"/>
      <c r="F858" s="7"/>
    </row>
    <row r="859" ht="15.75" customHeight="1">
      <c r="A859" s="7"/>
      <c r="B859" s="7"/>
      <c r="C859" s="7"/>
      <c r="D859" s="7"/>
      <c r="E859" s="7"/>
      <c r="F859" s="7"/>
    </row>
    <row r="860" ht="15.75" customHeight="1">
      <c r="A860" s="7"/>
      <c r="B860" s="7"/>
      <c r="C860" s="7"/>
      <c r="D860" s="7"/>
      <c r="E860" s="7"/>
      <c r="F860" s="7"/>
    </row>
    <row r="861" ht="15.75" customHeight="1">
      <c r="A861" s="7"/>
      <c r="B861" s="7"/>
      <c r="C861" s="7"/>
      <c r="D861" s="7"/>
      <c r="E861" s="7"/>
      <c r="F861" s="7"/>
    </row>
    <row r="862" ht="15.75" customHeight="1">
      <c r="A862" s="7"/>
      <c r="B862" s="7"/>
      <c r="C862" s="7"/>
      <c r="D862" s="7"/>
      <c r="E862" s="7"/>
      <c r="F862" s="7"/>
    </row>
    <row r="863" ht="15.75" customHeight="1">
      <c r="A863" s="7"/>
      <c r="B863" s="7"/>
      <c r="C863" s="7"/>
      <c r="D863" s="7"/>
      <c r="E863" s="7"/>
      <c r="F863" s="7"/>
    </row>
    <row r="864" ht="15.75" customHeight="1">
      <c r="A864" s="7"/>
      <c r="B864" s="7"/>
      <c r="C864" s="7"/>
      <c r="D864" s="7"/>
      <c r="E864" s="7"/>
      <c r="F864" s="7"/>
    </row>
    <row r="865" ht="15.75" customHeight="1">
      <c r="A865" s="7"/>
      <c r="B865" s="7"/>
      <c r="C865" s="7"/>
      <c r="D865" s="7"/>
      <c r="E865" s="7"/>
      <c r="F865" s="7"/>
    </row>
    <row r="866" ht="15.75" customHeight="1">
      <c r="A866" s="7"/>
      <c r="B866" s="7"/>
      <c r="C866" s="7"/>
      <c r="D866" s="7"/>
      <c r="E866" s="7"/>
      <c r="F866" s="7"/>
    </row>
    <row r="867" ht="15.75" customHeight="1">
      <c r="A867" s="7"/>
      <c r="B867" s="7"/>
      <c r="C867" s="7"/>
      <c r="D867" s="7"/>
      <c r="E867" s="7"/>
      <c r="F867" s="7"/>
    </row>
    <row r="868" ht="15.75" customHeight="1">
      <c r="A868" s="7"/>
      <c r="B868" s="7"/>
      <c r="C868" s="7"/>
      <c r="D868" s="7"/>
      <c r="E868" s="7"/>
      <c r="F868" s="7"/>
    </row>
    <row r="869" ht="15.75" customHeight="1">
      <c r="A869" s="7"/>
      <c r="B869" s="7"/>
      <c r="C869" s="7"/>
      <c r="D869" s="7"/>
      <c r="E869" s="7"/>
      <c r="F869" s="7"/>
    </row>
    <row r="870" ht="15.75" customHeight="1">
      <c r="A870" s="7"/>
      <c r="B870" s="7"/>
      <c r="C870" s="7"/>
      <c r="D870" s="7"/>
      <c r="E870" s="7"/>
      <c r="F870" s="7"/>
    </row>
    <row r="871" ht="15.75" customHeight="1">
      <c r="A871" s="7"/>
      <c r="B871" s="7"/>
      <c r="C871" s="7"/>
      <c r="D871" s="7"/>
      <c r="E871" s="7"/>
      <c r="F871" s="7"/>
    </row>
    <row r="872" ht="15.75" customHeight="1">
      <c r="A872" s="7"/>
      <c r="B872" s="7"/>
      <c r="C872" s="7"/>
      <c r="D872" s="7"/>
      <c r="E872" s="7"/>
      <c r="F872" s="7"/>
    </row>
    <row r="873" ht="15.75" customHeight="1">
      <c r="A873" s="7"/>
      <c r="B873" s="7"/>
      <c r="C873" s="7"/>
      <c r="D873" s="7"/>
      <c r="E873" s="7"/>
      <c r="F873" s="7"/>
    </row>
    <row r="874" ht="15.75" customHeight="1">
      <c r="A874" s="7"/>
      <c r="B874" s="7"/>
      <c r="C874" s="7"/>
      <c r="D874" s="7"/>
      <c r="E874" s="7"/>
      <c r="F874" s="7"/>
    </row>
    <row r="875" ht="15.75" customHeight="1">
      <c r="A875" s="7"/>
      <c r="B875" s="7"/>
      <c r="C875" s="7"/>
      <c r="D875" s="7"/>
      <c r="E875" s="7"/>
      <c r="F875" s="7"/>
    </row>
    <row r="876" ht="15.75" customHeight="1">
      <c r="A876" s="7"/>
      <c r="B876" s="7"/>
      <c r="C876" s="7"/>
      <c r="D876" s="7"/>
      <c r="E876" s="7"/>
      <c r="F876" s="7"/>
    </row>
    <row r="877" ht="15.75" customHeight="1">
      <c r="A877" s="7"/>
      <c r="B877" s="7"/>
      <c r="C877" s="7"/>
      <c r="D877" s="7"/>
      <c r="E877" s="7"/>
      <c r="F877" s="7"/>
    </row>
    <row r="878" ht="15.75" customHeight="1">
      <c r="A878" s="7"/>
      <c r="B878" s="7"/>
      <c r="C878" s="7"/>
      <c r="D878" s="7"/>
      <c r="E878" s="7"/>
      <c r="F878" s="7"/>
    </row>
    <row r="879" ht="15.75" customHeight="1">
      <c r="A879" s="7"/>
      <c r="B879" s="7"/>
      <c r="C879" s="7"/>
      <c r="D879" s="7"/>
      <c r="E879" s="7"/>
      <c r="F879" s="7"/>
    </row>
    <row r="880" ht="15.75" customHeight="1">
      <c r="A880" s="7"/>
      <c r="B880" s="7"/>
      <c r="C880" s="7"/>
      <c r="D880" s="7"/>
      <c r="E880" s="7"/>
      <c r="F880" s="7"/>
    </row>
    <row r="881" ht="15.75" customHeight="1">
      <c r="A881" s="7"/>
      <c r="B881" s="7"/>
      <c r="C881" s="7"/>
      <c r="D881" s="7"/>
      <c r="E881" s="7"/>
      <c r="F881" s="7"/>
    </row>
    <row r="882" ht="15.75" customHeight="1">
      <c r="A882" s="7"/>
      <c r="B882" s="7"/>
      <c r="C882" s="7"/>
      <c r="D882" s="7"/>
      <c r="E882" s="7"/>
      <c r="F882" s="7"/>
    </row>
    <row r="883" ht="15.75" customHeight="1">
      <c r="A883" s="7"/>
      <c r="B883" s="7"/>
      <c r="C883" s="7"/>
      <c r="D883" s="7"/>
      <c r="E883" s="7"/>
      <c r="F883" s="7"/>
    </row>
    <row r="884" ht="15.75" customHeight="1">
      <c r="A884" s="7"/>
      <c r="B884" s="7"/>
      <c r="C884" s="7"/>
      <c r="D884" s="7"/>
      <c r="E884" s="7"/>
      <c r="F884" s="7"/>
    </row>
    <row r="885" ht="15.75" customHeight="1">
      <c r="A885" s="7"/>
      <c r="B885" s="7"/>
      <c r="C885" s="7"/>
      <c r="D885" s="7"/>
      <c r="E885" s="7"/>
      <c r="F885" s="7"/>
    </row>
    <row r="886" ht="15.75" customHeight="1">
      <c r="A886" s="7"/>
      <c r="B886" s="7"/>
      <c r="C886" s="7"/>
      <c r="D886" s="7"/>
      <c r="E886" s="7"/>
      <c r="F886" s="7"/>
    </row>
    <row r="887" ht="15.75" customHeight="1">
      <c r="A887" s="7"/>
      <c r="B887" s="7"/>
      <c r="C887" s="7"/>
      <c r="D887" s="7"/>
      <c r="E887" s="7"/>
      <c r="F887" s="7"/>
    </row>
    <row r="888" ht="15.75" customHeight="1">
      <c r="A888" s="7"/>
      <c r="B888" s="7"/>
      <c r="C888" s="7"/>
      <c r="D888" s="7"/>
      <c r="E888" s="7"/>
      <c r="F888" s="7"/>
    </row>
    <row r="889" ht="15.75" customHeight="1">
      <c r="A889" s="7"/>
      <c r="B889" s="7"/>
      <c r="C889" s="7"/>
      <c r="D889" s="7"/>
      <c r="E889" s="7"/>
      <c r="F889" s="7"/>
    </row>
    <row r="890" ht="15.75" customHeight="1">
      <c r="A890" s="7"/>
      <c r="B890" s="7"/>
      <c r="C890" s="7"/>
      <c r="D890" s="7"/>
      <c r="E890" s="7"/>
      <c r="F890" s="7"/>
    </row>
    <row r="891" ht="15.75" customHeight="1">
      <c r="A891" s="7"/>
      <c r="B891" s="7"/>
      <c r="C891" s="7"/>
      <c r="D891" s="7"/>
      <c r="E891" s="7"/>
      <c r="F891" s="7"/>
    </row>
    <row r="892" ht="15.75" customHeight="1">
      <c r="A892" s="7"/>
      <c r="B892" s="7"/>
      <c r="C892" s="7"/>
      <c r="D892" s="7"/>
      <c r="E892" s="7"/>
      <c r="F892" s="7"/>
    </row>
    <row r="893" ht="15.75" customHeight="1">
      <c r="A893" s="7"/>
      <c r="B893" s="7"/>
      <c r="C893" s="7"/>
      <c r="D893" s="7"/>
      <c r="E893" s="7"/>
      <c r="F893" s="7"/>
    </row>
    <row r="894" ht="15.75" customHeight="1">
      <c r="A894" s="7"/>
      <c r="B894" s="7"/>
      <c r="C894" s="7"/>
      <c r="D894" s="7"/>
      <c r="E894" s="7"/>
      <c r="F894" s="7"/>
    </row>
    <row r="895" ht="15.75" customHeight="1">
      <c r="A895" s="7"/>
      <c r="B895" s="7"/>
      <c r="C895" s="7"/>
      <c r="D895" s="7"/>
      <c r="E895" s="7"/>
      <c r="F895" s="7"/>
    </row>
    <row r="896" ht="15.75" customHeight="1">
      <c r="A896" s="7"/>
      <c r="B896" s="7"/>
      <c r="C896" s="7"/>
      <c r="D896" s="7"/>
      <c r="E896" s="7"/>
      <c r="F896" s="7"/>
    </row>
    <row r="897" ht="15.75" customHeight="1">
      <c r="A897" s="7"/>
      <c r="B897" s="7"/>
      <c r="C897" s="7"/>
      <c r="D897" s="7"/>
      <c r="E897" s="7"/>
      <c r="F897" s="7"/>
    </row>
    <row r="898" ht="15.75" customHeight="1">
      <c r="A898" s="7"/>
      <c r="B898" s="7"/>
      <c r="C898" s="7"/>
      <c r="D898" s="7"/>
      <c r="E898" s="7"/>
      <c r="F898" s="7"/>
    </row>
    <row r="899" ht="15.75" customHeight="1">
      <c r="A899" s="7"/>
      <c r="B899" s="7"/>
      <c r="C899" s="7"/>
      <c r="D899" s="7"/>
      <c r="E899" s="7"/>
      <c r="F899" s="7"/>
    </row>
    <row r="900" ht="15.75" customHeight="1">
      <c r="A900" s="7"/>
      <c r="B900" s="7"/>
      <c r="C900" s="7"/>
      <c r="D900" s="7"/>
      <c r="E900" s="7"/>
      <c r="F900" s="7"/>
    </row>
    <row r="901" ht="15.75" customHeight="1">
      <c r="A901" s="7"/>
      <c r="B901" s="7"/>
      <c r="C901" s="7"/>
      <c r="D901" s="7"/>
      <c r="E901" s="7"/>
      <c r="F901" s="7"/>
    </row>
    <row r="902" ht="15.75" customHeight="1">
      <c r="A902" s="7"/>
      <c r="B902" s="7"/>
      <c r="C902" s="7"/>
      <c r="D902" s="7"/>
      <c r="E902" s="7"/>
      <c r="F902" s="7"/>
    </row>
    <row r="903" ht="15.75" customHeight="1">
      <c r="A903" s="7"/>
      <c r="B903" s="7"/>
      <c r="C903" s="7"/>
      <c r="D903" s="7"/>
      <c r="E903" s="7"/>
      <c r="F903" s="7"/>
    </row>
    <row r="904" ht="15.75" customHeight="1">
      <c r="A904" s="7"/>
      <c r="B904" s="7"/>
      <c r="C904" s="7"/>
      <c r="D904" s="7"/>
      <c r="E904" s="7"/>
      <c r="F904" s="7"/>
    </row>
    <row r="905" ht="15.75" customHeight="1">
      <c r="A905" s="7"/>
      <c r="B905" s="7"/>
      <c r="C905" s="7"/>
      <c r="D905" s="7"/>
      <c r="E905" s="7"/>
      <c r="F905" s="7"/>
    </row>
    <row r="906" ht="15.75" customHeight="1">
      <c r="A906" s="7"/>
      <c r="B906" s="7"/>
      <c r="C906" s="7"/>
      <c r="D906" s="7"/>
      <c r="E906" s="7"/>
      <c r="F906" s="7"/>
    </row>
    <row r="907" ht="15.75" customHeight="1">
      <c r="A907" s="7"/>
      <c r="B907" s="7"/>
      <c r="C907" s="7"/>
      <c r="D907" s="7"/>
      <c r="E907" s="7"/>
      <c r="F907" s="7"/>
    </row>
    <row r="908" ht="15.75" customHeight="1">
      <c r="A908" s="7"/>
      <c r="B908" s="7"/>
      <c r="C908" s="7"/>
      <c r="D908" s="7"/>
      <c r="E908" s="7"/>
      <c r="F908" s="7"/>
    </row>
    <row r="909" ht="15.75" customHeight="1">
      <c r="A909" s="7"/>
      <c r="B909" s="7"/>
      <c r="C909" s="7"/>
      <c r="D909" s="7"/>
      <c r="E909" s="7"/>
      <c r="F909" s="7"/>
    </row>
    <row r="910" ht="15.75" customHeight="1">
      <c r="A910" s="7"/>
      <c r="B910" s="7"/>
      <c r="C910" s="7"/>
      <c r="D910" s="7"/>
      <c r="E910" s="7"/>
      <c r="F910" s="7"/>
    </row>
    <row r="911" ht="15.75" customHeight="1">
      <c r="A911" s="7"/>
      <c r="B911" s="7"/>
      <c r="C911" s="7"/>
      <c r="D911" s="7"/>
      <c r="E911" s="7"/>
      <c r="F911" s="7"/>
    </row>
    <row r="912" ht="15.75" customHeight="1">
      <c r="A912" s="7"/>
      <c r="B912" s="7"/>
      <c r="C912" s="7"/>
      <c r="D912" s="7"/>
      <c r="E912" s="7"/>
      <c r="F912" s="7"/>
    </row>
    <row r="913" ht="15.75" customHeight="1">
      <c r="A913" s="7"/>
      <c r="B913" s="7"/>
      <c r="C913" s="7"/>
      <c r="D913" s="7"/>
      <c r="E913" s="7"/>
      <c r="F913" s="7"/>
    </row>
    <row r="914" ht="15.75" customHeight="1">
      <c r="A914" s="7"/>
      <c r="B914" s="7"/>
      <c r="C914" s="7"/>
      <c r="D914" s="7"/>
      <c r="E914" s="7"/>
      <c r="F914" s="7"/>
    </row>
    <row r="915" ht="15.75" customHeight="1">
      <c r="A915" s="7"/>
      <c r="B915" s="7"/>
      <c r="C915" s="7"/>
      <c r="D915" s="7"/>
      <c r="E915" s="7"/>
      <c r="F915" s="7"/>
    </row>
    <row r="916" ht="15.75" customHeight="1">
      <c r="A916" s="7"/>
      <c r="B916" s="7"/>
      <c r="C916" s="7"/>
      <c r="D916" s="7"/>
      <c r="E916" s="7"/>
      <c r="F916" s="7"/>
    </row>
    <row r="917" ht="15.75" customHeight="1">
      <c r="A917" s="7"/>
      <c r="B917" s="7"/>
      <c r="C917" s="7"/>
      <c r="D917" s="7"/>
      <c r="E917" s="7"/>
      <c r="F917" s="7"/>
    </row>
    <row r="918" ht="15.75" customHeight="1">
      <c r="A918" s="7"/>
      <c r="B918" s="7"/>
      <c r="C918" s="7"/>
      <c r="D918" s="7"/>
      <c r="E918" s="7"/>
      <c r="F918" s="7"/>
    </row>
    <row r="919" ht="15.75" customHeight="1">
      <c r="A919" s="7"/>
      <c r="B919" s="7"/>
      <c r="C919" s="7"/>
      <c r="D919" s="7"/>
      <c r="E919" s="7"/>
      <c r="F919" s="7"/>
    </row>
    <row r="920" ht="15.75" customHeight="1">
      <c r="A920" s="7"/>
      <c r="B920" s="7"/>
      <c r="C920" s="7"/>
      <c r="D920" s="7"/>
      <c r="E920" s="7"/>
      <c r="F920" s="7"/>
    </row>
    <row r="921" ht="15.75" customHeight="1">
      <c r="A921" s="7"/>
      <c r="B921" s="7"/>
      <c r="C921" s="7"/>
      <c r="D921" s="7"/>
      <c r="E921" s="7"/>
      <c r="F921" s="7"/>
    </row>
    <row r="922" ht="15.75" customHeight="1">
      <c r="A922" s="7"/>
      <c r="B922" s="7"/>
      <c r="C922" s="7"/>
      <c r="D922" s="7"/>
      <c r="E922" s="7"/>
      <c r="F922" s="7"/>
    </row>
    <row r="923" ht="15.75" customHeight="1">
      <c r="A923" s="7"/>
      <c r="B923" s="7"/>
      <c r="C923" s="7"/>
      <c r="D923" s="7"/>
      <c r="E923" s="7"/>
      <c r="F923" s="7"/>
    </row>
    <row r="924" ht="15.75" customHeight="1">
      <c r="A924" s="7"/>
      <c r="B924" s="7"/>
      <c r="C924" s="7"/>
      <c r="D924" s="7"/>
      <c r="E924" s="7"/>
      <c r="F924" s="7"/>
    </row>
    <row r="925" ht="15.75" customHeight="1">
      <c r="A925" s="7"/>
      <c r="B925" s="7"/>
      <c r="C925" s="7"/>
      <c r="D925" s="7"/>
      <c r="E925" s="7"/>
      <c r="F925" s="7"/>
    </row>
    <row r="926" ht="15.75" customHeight="1">
      <c r="A926" s="7"/>
      <c r="B926" s="7"/>
      <c r="C926" s="7"/>
      <c r="D926" s="7"/>
      <c r="E926" s="7"/>
      <c r="F926" s="7"/>
    </row>
    <row r="927" ht="15.75" customHeight="1">
      <c r="A927" s="7"/>
      <c r="B927" s="7"/>
      <c r="C927" s="7"/>
      <c r="D927" s="7"/>
      <c r="E927" s="7"/>
      <c r="F927" s="7"/>
    </row>
    <row r="928" ht="15.75" customHeight="1">
      <c r="A928" s="7"/>
      <c r="B928" s="7"/>
      <c r="C928" s="7"/>
      <c r="D928" s="7"/>
      <c r="E928" s="7"/>
      <c r="F928" s="7"/>
    </row>
    <row r="929" ht="15.75" customHeight="1">
      <c r="A929" s="7"/>
      <c r="B929" s="7"/>
      <c r="C929" s="7"/>
      <c r="D929" s="7"/>
      <c r="E929" s="7"/>
      <c r="F929" s="7"/>
    </row>
    <row r="930" ht="15.75" customHeight="1">
      <c r="A930" s="7"/>
      <c r="B930" s="7"/>
      <c r="C930" s="7"/>
      <c r="D930" s="7"/>
      <c r="E930" s="7"/>
      <c r="F930" s="7"/>
    </row>
    <row r="931" ht="15.75" customHeight="1">
      <c r="A931" s="7"/>
      <c r="B931" s="7"/>
      <c r="C931" s="7"/>
      <c r="D931" s="7"/>
      <c r="E931" s="7"/>
      <c r="F931" s="7"/>
    </row>
    <row r="932" ht="15.75" customHeight="1">
      <c r="A932" s="7"/>
      <c r="B932" s="7"/>
      <c r="C932" s="7"/>
      <c r="D932" s="7"/>
      <c r="E932" s="7"/>
      <c r="F932" s="7"/>
    </row>
    <row r="933" ht="15.75" customHeight="1">
      <c r="A933" s="7"/>
      <c r="B933" s="7"/>
      <c r="C933" s="7"/>
      <c r="D933" s="7"/>
      <c r="E933" s="7"/>
      <c r="F933" s="7"/>
    </row>
    <row r="934" ht="15.75" customHeight="1">
      <c r="A934" s="7"/>
      <c r="B934" s="7"/>
      <c r="C934" s="7"/>
      <c r="D934" s="7"/>
      <c r="E934" s="7"/>
      <c r="F934" s="7"/>
    </row>
    <row r="935" ht="15.75" customHeight="1">
      <c r="A935" s="7"/>
      <c r="B935" s="7"/>
      <c r="C935" s="7"/>
      <c r="D935" s="7"/>
      <c r="E935" s="7"/>
      <c r="F935" s="7"/>
    </row>
    <row r="936" ht="15.75" customHeight="1">
      <c r="A936" s="7"/>
      <c r="B936" s="7"/>
      <c r="C936" s="7"/>
      <c r="D936" s="7"/>
      <c r="E936" s="7"/>
      <c r="F936" s="7"/>
    </row>
    <row r="937" ht="15.75" customHeight="1">
      <c r="A937" s="7"/>
      <c r="B937" s="7"/>
      <c r="C937" s="7"/>
      <c r="D937" s="7"/>
      <c r="E937" s="7"/>
      <c r="F937" s="7"/>
    </row>
    <row r="938" ht="15.75" customHeight="1">
      <c r="A938" s="7"/>
      <c r="B938" s="7"/>
      <c r="C938" s="7"/>
      <c r="D938" s="7"/>
      <c r="E938" s="7"/>
      <c r="F938" s="7"/>
    </row>
    <row r="939" ht="15.75" customHeight="1">
      <c r="A939" s="7"/>
      <c r="B939" s="7"/>
      <c r="C939" s="7"/>
      <c r="D939" s="7"/>
      <c r="E939" s="7"/>
      <c r="F939" s="7"/>
    </row>
    <row r="940" ht="15.75" customHeight="1">
      <c r="A940" s="7"/>
      <c r="B940" s="7"/>
      <c r="C940" s="7"/>
      <c r="D940" s="7"/>
      <c r="E940" s="7"/>
      <c r="F940" s="7"/>
    </row>
    <row r="941" ht="15.75" customHeight="1">
      <c r="A941" s="7"/>
      <c r="B941" s="7"/>
      <c r="C941" s="7"/>
      <c r="D941" s="7"/>
      <c r="E941" s="7"/>
      <c r="F941" s="7"/>
    </row>
    <row r="942" ht="15.75" customHeight="1">
      <c r="A942" s="7"/>
      <c r="B942" s="7"/>
      <c r="C942" s="7"/>
      <c r="D942" s="7"/>
      <c r="E942" s="7"/>
      <c r="F942" s="7"/>
    </row>
    <row r="943" ht="15.75" customHeight="1">
      <c r="A943" s="7"/>
      <c r="B943" s="7"/>
      <c r="C943" s="7"/>
      <c r="D943" s="7"/>
      <c r="E943" s="7"/>
      <c r="F943" s="7"/>
    </row>
    <row r="944" ht="15.75" customHeight="1">
      <c r="A944" s="7"/>
      <c r="B944" s="7"/>
      <c r="C944" s="7"/>
      <c r="D944" s="7"/>
      <c r="E944" s="7"/>
      <c r="F944" s="7"/>
    </row>
    <row r="945" ht="15.75" customHeight="1">
      <c r="A945" s="7"/>
      <c r="B945" s="7"/>
      <c r="C945" s="7"/>
      <c r="D945" s="7"/>
      <c r="E945" s="7"/>
      <c r="F945" s="7"/>
    </row>
    <row r="946" ht="15.75" customHeight="1">
      <c r="A946" s="7"/>
      <c r="B946" s="7"/>
      <c r="C946" s="7"/>
      <c r="D946" s="7"/>
      <c r="E946" s="7"/>
      <c r="F946" s="7"/>
    </row>
    <row r="947" ht="15.75" customHeight="1">
      <c r="A947" s="7"/>
      <c r="B947" s="7"/>
      <c r="C947" s="7"/>
      <c r="D947" s="7"/>
      <c r="E947" s="7"/>
      <c r="F947" s="7"/>
    </row>
    <row r="948" ht="15.75" customHeight="1">
      <c r="A948" s="7"/>
      <c r="B948" s="7"/>
      <c r="C948" s="7"/>
      <c r="D948" s="7"/>
      <c r="E948" s="7"/>
      <c r="F948" s="7"/>
    </row>
    <row r="949" ht="15.75" customHeight="1">
      <c r="A949" s="7"/>
      <c r="B949" s="7"/>
      <c r="C949" s="7"/>
      <c r="D949" s="7"/>
      <c r="E949" s="7"/>
      <c r="F949" s="7"/>
    </row>
    <row r="950" ht="15.75" customHeight="1">
      <c r="A950" s="7"/>
      <c r="B950" s="7"/>
      <c r="C950" s="7"/>
      <c r="D950" s="7"/>
      <c r="E950" s="7"/>
      <c r="F950" s="7"/>
    </row>
    <row r="951" ht="15.75" customHeight="1">
      <c r="A951" s="7"/>
      <c r="B951" s="7"/>
      <c r="C951" s="7"/>
      <c r="D951" s="7"/>
      <c r="E951" s="7"/>
      <c r="F951" s="7"/>
    </row>
    <row r="952" ht="15.75" customHeight="1">
      <c r="A952" s="7"/>
      <c r="B952" s="7"/>
      <c r="C952" s="7"/>
      <c r="D952" s="7"/>
      <c r="E952" s="7"/>
      <c r="F952" s="7"/>
    </row>
    <row r="953" ht="15.75" customHeight="1">
      <c r="A953" s="7"/>
      <c r="B953" s="7"/>
      <c r="C953" s="7"/>
      <c r="D953" s="7"/>
      <c r="E953" s="7"/>
      <c r="F953" s="7"/>
    </row>
    <row r="954" ht="15.75" customHeight="1">
      <c r="A954" s="7"/>
      <c r="B954" s="7"/>
      <c r="C954" s="7"/>
      <c r="D954" s="7"/>
      <c r="E954" s="7"/>
      <c r="F954" s="7"/>
    </row>
    <row r="955" ht="15.75" customHeight="1">
      <c r="A955" s="7"/>
      <c r="B955" s="7"/>
      <c r="C955" s="7"/>
      <c r="D955" s="7"/>
      <c r="E955" s="7"/>
      <c r="F955" s="7"/>
    </row>
    <row r="956" ht="15.75" customHeight="1">
      <c r="A956" s="7"/>
      <c r="B956" s="7"/>
      <c r="C956" s="7"/>
      <c r="D956" s="7"/>
      <c r="E956" s="7"/>
      <c r="F956" s="7"/>
    </row>
    <row r="957" ht="15.75" customHeight="1">
      <c r="A957" s="7"/>
      <c r="B957" s="7"/>
      <c r="C957" s="7"/>
      <c r="D957" s="7"/>
      <c r="E957" s="7"/>
      <c r="F957" s="7"/>
    </row>
    <row r="958" ht="15.75" customHeight="1">
      <c r="A958" s="7"/>
      <c r="B958" s="7"/>
      <c r="C958" s="7"/>
      <c r="D958" s="7"/>
      <c r="E958" s="7"/>
      <c r="F958" s="7"/>
    </row>
    <row r="959" ht="15.75" customHeight="1">
      <c r="A959" s="7"/>
      <c r="B959" s="7"/>
      <c r="C959" s="7"/>
      <c r="D959" s="7"/>
      <c r="E959" s="7"/>
      <c r="F959" s="7"/>
    </row>
    <row r="960" ht="15.75" customHeight="1">
      <c r="A960" s="7"/>
      <c r="B960" s="7"/>
      <c r="C960" s="7"/>
      <c r="D960" s="7"/>
      <c r="E960" s="7"/>
      <c r="F960" s="7"/>
    </row>
    <row r="961" ht="15.75" customHeight="1">
      <c r="A961" s="7"/>
      <c r="B961" s="7"/>
      <c r="C961" s="7"/>
      <c r="D961" s="7"/>
      <c r="E961" s="7"/>
      <c r="F961" s="7"/>
    </row>
    <row r="962" ht="15.75" customHeight="1">
      <c r="A962" s="7"/>
      <c r="B962" s="7"/>
      <c r="C962" s="7"/>
      <c r="D962" s="7"/>
      <c r="E962" s="7"/>
      <c r="F962" s="7"/>
    </row>
    <row r="963" ht="15.75" customHeight="1">
      <c r="A963" s="7"/>
      <c r="B963" s="7"/>
      <c r="C963" s="7"/>
      <c r="D963" s="7"/>
      <c r="E963" s="7"/>
      <c r="F963" s="7"/>
    </row>
    <row r="964" ht="15.75" customHeight="1">
      <c r="A964" s="7"/>
      <c r="B964" s="7"/>
      <c r="C964" s="7"/>
      <c r="D964" s="7"/>
      <c r="E964" s="7"/>
      <c r="F964" s="7"/>
    </row>
    <row r="965" ht="15.75" customHeight="1">
      <c r="A965" s="7"/>
      <c r="B965" s="7"/>
      <c r="C965" s="7"/>
      <c r="D965" s="7"/>
      <c r="E965" s="7"/>
      <c r="F965" s="7"/>
    </row>
    <row r="966" ht="15.75" customHeight="1">
      <c r="A966" s="7"/>
      <c r="B966" s="7"/>
      <c r="C966" s="7"/>
      <c r="D966" s="7"/>
      <c r="E966" s="7"/>
      <c r="F966" s="7"/>
    </row>
    <row r="967" ht="15.75" customHeight="1">
      <c r="A967" s="7"/>
      <c r="B967" s="7"/>
      <c r="C967" s="7"/>
      <c r="D967" s="7"/>
      <c r="E967" s="7"/>
      <c r="F967" s="7"/>
    </row>
    <row r="968" ht="15.75" customHeight="1">
      <c r="A968" s="7"/>
      <c r="B968" s="7"/>
      <c r="C968" s="7"/>
      <c r="D968" s="7"/>
      <c r="E968" s="7"/>
      <c r="F968" s="7"/>
    </row>
    <row r="969" ht="15.75" customHeight="1">
      <c r="A969" s="7"/>
      <c r="B969" s="7"/>
      <c r="C969" s="7"/>
      <c r="D969" s="7"/>
      <c r="E969" s="7"/>
      <c r="F969" s="7"/>
    </row>
    <row r="970" ht="15.75" customHeight="1">
      <c r="A970" s="7"/>
      <c r="B970" s="7"/>
      <c r="C970" s="7"/>
      <c r="D970" s="7"/>
      <c r="E970" s="7"/>
      <c r="F970" s="7"/>
    </row>
    <row r="971" ht="15.75" customHeight="1">
      <c r="A971" s="7"/>
      <c r="B971" s="7"/>
      <c r="C971" s="7"/>
      <c r="D971" s="7"/>
      <c r="E971" s="7"/>
      <c r="F971" s="7"/>
    </row>
    <row r="972" ht="15.75" customHeight="1">
      <c r="A972" s="7"/>
      <c r="B972" s="7"/>
      <c r="C972" s="7"/>
      <c r="D972" s="7"/>
      <c r="E972" s="7"/>
      <c r="F972" s="7"/>
    </row>
    <row r="973" ht="15.75" customHeight="1">
      <c r="A973" s="7"/>
      <c r="B973" s="7"/>
      <c r="C973" s="7"/>
      <c r="D973" s="7"/>
      <c r="E973" s="7"/>
      <c r="F973" s="7"/>
    </row>
    <row r="974" ht="15.75" customHeight="1">
      <c r="A974" s="7"/>
      <c r="B974" s="7"/>
      <c r="C974" s="7"/>
      <c r="D974" s="7"/>
      <c r="E974" s="7"/>
      <c r="F974" s="7"/>
    </row>
    <row r="975" ht="15.75" customHeight="1">
      <c r="A975" s="7"/>
      <c r="B975" s="7"/>
      <c r="C975" s="7"/>
      <c r="D975" s="7"/>
      <c r="E975" s="7"/>
      <c r="F975" s="7"/>
    </row>
    <row r="976" ht="15.75" customHeight="1">
      <c r="A976" s="7"/>
      <c r="B976" s="7"/>
      <c r="C976" s="7"/>
      <c r="D976" s="7"/>
      <c r="E976" s="7"/>
      <c r="F976" s="7"/>
    </row>
    <row r="977" ht="15.75" customHeight="1">
      <c r="A977" s="7"/>
      <c r="B977" s="7"/>
      <c r="C977" s="7"/>
      <c r="D977" s="7"/>
      <c r="E977" s="7"/>
      <c r="F977" s="7"/>
    </row>
    <row r="978" ht="15.75" customHeight="1">
      <c r="A978" s="7"/>
      <c r="B978" s="7"/>
      <c r="C978" s="7"/>
      <c r="D978" s="7"/>
      <c r="E978" s="7"/>
      <c r="F978" s="7"/>
    </row>
    <row r="979" ht="15.75" customHeight="1">
      <c r="A979" s="7"/>
      <c r="B979" s="7"/>
      <c r="C979" s="7"/>
      <c r="D979" s="7"/>
      <c r="E979" s="7"/>
      <c r="F979" s="7"/>
    </row>
    <row r="980" ht="15.75" customHeight="1">
      <c r="A980" s="7"/>
      <c r="B980" s="7"/>
      <c r="C980" s="7"/>
      <c r="D980" s="7"/>
      <c r="E980" s="7"/>
      <c r="F980" s="7"/>
    </row>
    <row r="981" ht="15.75" customHeight="1">
      <c r="A981" s="7"/>
      <c r="B981" s="7"/>
      <c r="C981" s="7"/>
      <c r="D981" s="7"/>
      <c r="E981" s="7"/>
      <c r="F981" s="7"/>
    </row>
    <row r="982" ht="15.75" customHeight="1">
      <c r="A982" s="7"/>
      <c r="B982" s="7"/>
      <c r="C982" s="7"/>
      <c r="D982" s="7"/>
      <c r="E982" s="7"/>
      <c r="F982" s="7"/>
    </row>
    <row r="983" ht="15.75" customHeight="1">
      <c r="A983" s="7"/>
      <c r="B983" s="7"/>
      <c r="C983" s="7"/>
      <c r="D983" s="7"/>
      <c r="E983" s="7"/>
      <c r="F983" s="7"/>
    </row>
    <row r="984" ht="15.75" customHeight="1">
      <c r="A984" s="7"/>
      <c r="B984" s="7"/>
      <c r="C984" s="7"/>
      <c r="D984" s="7"/>
      <c r="E984" s="7"/>
      <c r="F984" s="7"/>
    </row>
    <row r="985" ht="15.75" customHeight="1">
      <c r="A985" s="7"/>
      <c r="B985" s="7"/>
      <c r="C985" s="7"/>
      <c r="D985" s="7"/>
      <c r="E985" s="7"/>
      <c r="F985" s="7"/>
    </row>
    <row r="986" ht="15.75" customHeight="1">
      <c r="A986" s="7"/>
      <c r="B986" s="7"/>
      <c r="C986" s="7"/>
      <c r="D986" s="7"/>
      <c r="E986" s="7"/>
      <c r="F986" s="7"/>
    </row>
    <row r="987" ht="15.75" customHeight="1">
      <c r="A987" s="7"/>
      <c r="B987" s="7"/>
      <c r="C987" s="7"/>
      <c r="D987" s="7"/>
      <c r="E987" s="7"/>
      <c r="F987" s="7"/>
    </row>
    <row r="988" ht="15.75" customHeight="1">
      <c r="A988" s="7"/>
      <c r="B988" s="7"/>
      <c r="C988" s="7"/>
      <c r="D988" s="7"/>
      <c r="E988" s="7"/>
      <c r="F988" s="7"/>
    </row>
    <row r="989" ht="15.75" customHeight="1">
      <c r="A989" s="7"/>
      <c r="B989" s="7"/>
      <c r="C989" s="7"/>
      <c r="D989" s="7"/>
      <c r="E989" s="7"/>
      <c r="F989" s="7"/>
    </row>
    <row r="990" ht="15.75" customHeight="1">
      <c r="A990" s="7"/>
      <c r="B990" s="7"/>
      <c r="C990" s="7"/>
      <c r="D990" s="7"/>
      <c r="E990" s="7"/>
      <c r="F990" s="7"/>
    </row>
    <row r="991" ht="15.75" customHeight="1">
      <c r="A991" s="7"/>
      <c r="B991" s="7"/>
      <c r="C991" s="7"/>
      <c r="D991" s="7"/>
      <c r="E991" s="7"/>
      <c r="F991" s="7"/>
    </row>
    <row r="992" ht="15.75" customHeight="1">
      <c r="A992" s="7"/>
      <c r="B992" s="7"/>
      <c r="C992" s="7"/>
      <c r="D992" s="7"/>
      <c r="E992" s="7"/>
      <c r="F992" s="7"/>
    </row>
    <row r="993" ht="15.75" customHeight="1">
      <c r="A993" s="7"/>
      <c r="B993" s="7"/>
      <c r="C993" s="7"/>
      <c r="D993" s="7"/>
      <c r="E993" s="7"/>
      <c r="F993" s="7"/>
    </row>
    <row r="994" ht="15.75" customHeight="1">
      <c r="A994" s="7"/>
      <c r="B994" s="7"/>
      <c r="C994" s="7"/>
      <c r="D994" s="7"/>
      <c r="E994" s="7"/>
      <c r="F994" s="7"/>
    </row>
    <row r="995" ht="15.75" customHeight="1">
      <c r="A995" s="7"/>
      <c r="B995" s="7"/>
      <c r="C995" s="7"/>
      <c r="D995" s="7"/>
      <c r="E995" s="7"/>
      <c r="F995" s="7"/>
    </row>
    <row r="996" ht="15.75" customHeight="1">
      <c r="A996" s="7"/>
      <c r="B996" s="7"/>
      <c r="C996" s="7"/>
      <c r="D996" s="7"/>
      <c r="E996" s="7"/>
      <c r="F996" s="7"/>
    </row>
    <row r="997" ht="15.75" customHeight="1">
      <c r="A997" s="7"/>
      <c r="B997" s="7"/>
      <c r="C997" s="7"/>
      <c r="D997" s="7"/>
      <c r="E997" s="7"/>
      <c r="F997" s="7"/>
    </row>
    <row r="998" ht="15.75" customHeight="1">
      <c r="A998" s="7"/>
      <c r="B998" s="7"/>
      <c r="C998" s="7"/>
      <c r="D998" s="7"/>
      <c r="E998" s="7"/>
      <c r="F998" s="7"/>
    </row>
    <row r="999" ht="15.75" customHeight="1">
      <c r="A999" s="7"/>
      <c r="B999" s="7"/>
      <c r="C999" s="7"/>
      <c r="D999" s="7"/>
      <c r="E999" s="7"/>
      <c r="F999" s="7"/>
    </row>
    <row r="1000" ht="15.75" customHeight="1">
      <c r="A1000" s="7"/>
      <c r="B1000" s="7"/>
      <c r="C1000" s="7"/>
      <c r="D1000" s="7"/>
      <c r="E1000" s="7"/>
      <c r="F1000" s="7"/>
    </row>
  </sheetData>
  <mergeCells count="7">
    <mergeCell ref="A1:E1"/>
    <mergeCell ref="A2:E2"/>
    <mergeCell ref="A4:E4"/>
    <mergeCell ref="A13:E13"/>
    <mergeCell ref="A21:E21"/>
    <mergeCell ref="A27:E27"/>
    <mergeCell ref="A36:E36"/>
  </mergeCells>
  <printOptions/>
  <pageMargins bottom="1.0" footer="0.0" header="0.0" left="0.75" right="0.75" top="1.0"/>
  <pageSetup paperSize="9" orientation="portrait"/>
  <drawing r:id="rId1"/>
</worksheet>
</file>